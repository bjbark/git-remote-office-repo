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fc651a0a498845c/엘림컨테이너/시스템 개발 기획/"/>
    </mc:Choice>
  </mc:AlternateContent>
  <xr:revisionPtr revIDLastSave="10" documentId="8_{9B75F7B2-B016-43F8-90AE-BB3FDC01E07E}" xr6:coauthVersionLast="47" xr6:coauthVersionMax="47" xr10:uidLastSave="{A26E34C6-A2B8-474E-B2AF-E16F6B1C093C}"/>
  <bookViews>
    <workbookView xWindow="-110" yWindow="-110" windowWidth="38620" windowHeight="21100" xr2:uid="{00000000-000D-0000-FFFF-FFFF00000000}"/>
  </bookViews>
  <sheets>
    <sheet name="sscd_mast" sheetId="1" r:id="rId1"/>
    <sheet name="변경내용 메모" sheetId="6" r:id="rId2"/>
    <sheet name="Sheet4" sheetId="5" r:id="rId3"/>
  </sheets>
  <functionGroups builtInGroupCount="19"/>
  <definedNames>
    <definedName name="_xlnm._FilterDatabase" localSheetId="0" hidden="1">sscd_mast!$A$1:$DK$401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0" i="1" l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61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47" i="1"/>
  <c r="C246" i="1"/>
  <c r="C245" i="1"/>
  <c r="C244" i="1"/>
  <c r="C243" i="1"/>
  <c r="C242" i="1"/>
  <c r="C241" i="1"/>
  <c r="C240" i="1"/>
  <c r="C239" i="1"/>
  <c r="C238" i="1"/>
  <c r="C237" i="1"/>
  <c r="C33" i="1"/>
  <c r="C236" i="1"/>
  <c r="C235" i="1"/>
  <c r="C32" i="1"/>
  <c r="C234" i="1"/>
  <c r="C233" i="1"/>
  <c r="C232" i="1"/>
  <c r="C231" i="1"/>
  <c r="C230" i="1"/>
  <c r="C48" i="1"/>
  <c r="C229" i="1"/>
  <c r="C3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47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46" i="1"/>
  <c r="C196" i="1"/>
  <c r="C195" i="1"/>
  <c r="C13" i="1"/>
  <c r="C194" i="1"/>
  <c r="C193" i="1"/>
  <c r="C192" i="1"/>
  <c r="C191" i="1"/>
  <c r="C190" i="1"/>
  <c r="C189" i="1"/>
  <c r="C188" i="1"/>
  <c r="C187" i="1"/>
  <c r="C186" i="1"/>
  <c r="C185" i="1"/>
  <c r="C184" i="1"/>
  <c r="C45" i="1"/>
  <c r="C183" i="1"/>
  <c r="C182" i="1"/>
  <c r="C181" i="1"/>
  <c r="C12" i="1"/>
  <c r="C180" i="1"/>
  <c r="C179" i="1"/>
  <c r="C178" i="1"/>
  <c r="C177" i="1"/>
  <c r="C176" i="1"/>
  <c r="C175" i="1"/>
  <c r="C11" i="1"/>
  <c r="C10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5" i="1"/>
  <c r="C137" i="1"/>
  <c r="C136" i="1"/>
  <c r="C135" i="1"/>
  <c r="C134" i="1"/>
  <c r="C133" i="1"/>
  <c r="C132" i="1"/>
  <c r="C131" i="1"/>
  <c r="C38" i="1"/>
  <c r="C130" i="1"/>
  <c r="C17" i="1"/>
  <c r="C129" i="1"/>
  <c r="C128" i="1"/>
  <c r="C127" i="1"/>
  <c r="C126" i="1"/>
  <c r="C125" i="1"/>
  <c r="C124" i="1"/>
  <c r="C123" i="1"/>
  <c r="C14" i="1"/>
  <c r="C122" i="1"/>
  <c r="C35" i="1"/>
  <c r="C9" i="1"/>
  <c r="C121" i="1"/>
  <c r="C120" i="1"/>
  <c r="C26" i="1"/>
  <c r="C119" i="1"/>
  <c r="C31" i="1"/>
  <c r="C118" i="1"/>
  <c r="C117" i="1"/>
  <c r="C116" i="1"/>
  <c r="C115" i="1"/>
  <c r="C30" i="1"/>
  <c r="C29" i="1"/>
  <c r="C114" i="1"/>
  <c r="C28" i="1"/>
  <c r="C113" i="1"/>
  <c r="C44" i="1"/>
  <c r="C112" i="1"/>
  <c r="C8" i="1"/>
  <c r="C27" i="1"/>
  <c r="C111" i="1"/>
  <c r="C110" i="1"/>
  <c r="C109" i="1"/>
  <c r="C108" i="1"/>
  <c r="C107" i="1"/>
  <c r="C106" i="1"/>
  <c r="C105" i="1"/>
  <c r="C24" i="1"/>
  <c r="C23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25" i="1"/>
  <c r="C86" i="1"/>
  <c r="C6" i="1"/>
  <c r="C85" i="1"/>
  <c r="C34" i="1"/>
  <c r="C84" i="1"/>
  <c r="C83" i="1"/>
  <c r="C36" i="1"/>
  <c r="C82" i="1"/>
  <c r="C81" i="1"/>
  <c r="C43" i="1"/>
  <c r="C80" i="1"/>
  <c r="C16" i="1"/>
  <c r="C79" i="1"/>
  <c r="C78" i="1"/>
  <c r="C77" i="1"/>
  <c r="C76" i="1"/>
  <c r="C75" i="1"/>
  <c r="C42" i="1"/>
  <c r="C74" i="1"/>
  <c r="C73" i="1"/>
  <c r="C72" i="1"/>
  <c r="C71" i="1"/>
  <c r="C70" i="1"/>
  <c r="C69" i="1"/>
  <c r="C68" i="1"/>
  <c r="C41" i="1"/>
  <c r="C67" i="1"/>
  <c r="C66" i="1"/>
  <c r="C65" i="1"/>
  <c r="C64" i="1"/>
  <c r="C40" i="1"/>
  <c r="C63" i="1"/>
  <c r="C62" i="1"/>
  <c r="C61" i="1"/>
  <c r="C60" i="1"/>
  <c r="C59" i="1"/>
  <c r="C58" i="1"/>
  <c r="C39" i="1"/>
  <c r="C57" i="1"/>
  <c r="C18" i="1"/>
  <c r="C21" i="1"/>
  <c r="C20" i="1"/>
  <c r="C19" i="1"/>
  <c r="C56" i="1"/>
  <c r="C22" i="1"/>
  <c r="C55" i="1"/>
  <c r="C54" i="1"/>
  <c r="C7" i="1"/>
  <c r="C5" i="1"/>
  <c r="C4" i="1"/>
  <c r="C53" i="1"/>
  <c r="C52" i="1"/>
  <c r="C51" i="1"/>
  <c r="C50" i="1"/>
  <c r="C49" i="1"/>
  <c r="K37" i="1"/>
  <c r="I37" i="1"/>
  <c r="H37" i="1" s="1"/>
  <c r="Q37" i="1" s="1"/>
  <c r="A37" i="1"/>
  <c r="CA37" i="1" s="1"/>
  <c r="F37" i="1" l="1"/>
  <c r="CB37" i="1"/>
  <c r="B272" i="1" l="1"/>
  <c r="A272" i="1"/>
  <c r="B271" i="1"/>
  <c r="A271" i="1"/>
  <c r="B270" i="1"/>
  <c r="A270" i="1"/>
  <c r="B269" i="1"/>
  <c r="A269" i="1"/>
  <c r="B268" i="1"/>
  <c r="A268" i="1"/>
  <c r="B267" i="1"/>
  <c r="A267" i="1"/>
  <c r="B266" i="1"/>
  <c r="A266" i="1"/>
  <c r="B265" i="1"/>
  <c r="A265" i="1"/>
  <c r="B264" i="1"/>
  <c r="A264" i="1"/>
  <c r="B263" i="1"/>
  <c r="A263" i="1"/>
  <c r="B262" i="1"/>
  <c r="A262" i="1"/>
  <c r="A259" i="1"/>
  <c r="P255" i="1" l="1"/>
  <c r="K255" i="1"/>
  <c r="I255" i="1"/>
  <c r="H255" i="1" s="1"/>
  <c r="Q255" i="1" s="1"/>
  <c r="P254" i="1"/>
  <c r="K254" i="1"/>
  <c r="I254" i="1"/>
  <c r="H254" i="1" s="1"/>
  <c r="Q254" i="1" s="1"/>
  <c r="P253" i="1"/>
  <c r="K253" i="1"/>
  <c r="I253" i="1"/>
  <c r="H253" i="1" s="1"/>
  <c r="Q253" i="1" s="1"/>
  <c r="K48" i="1"/>
  <c r="K229" i="1"/>
  <c r="K3" i="1"/>
  <c r="K228" i="1"/>
  <c r="K227" i="1"/>
  <c r="K226" i="1"/>
  <c r="K225" i="1"/>
  <c r="K224" i="1"/>
  <c r="K223" i="1"/>
  <c r="K222" i="1"/>
  <c r="K221" i="1"/>
  <c r="K220" i="1"/>
  <c r="K219" i="1"/>
  <c r="K218" i="1"/>
  <c r="K248" i="1"/>
  <c r="K217" i="1"/>
  <c r="K249" i="1"/>
  <c r="K216" i="1"/>
  <c r="K252" i="1"/>
  <c r="K251" i="1"/>
  <c r="K250" i="1"/>
  <c r="K215" i="1"/>
  <c r="K214" i="1"/>
  <c r="K257" i="1"/>
  <c r="K256" i="1"/>
  <c r="K213" i="1"/>
  <c r="K212" i="1"/>
  <c r="K211" i="1"/>
  <c r="K210" i="1"/>
  <c r="K258" i="1"/>
  <c r="K47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46" i="1"/>
  <c r="K196" i="1"/>
  <c r="K195" i="1"/>
  <c r="K13" i="1"/>
  <c r="K194" i="1"/>
  <c r="K193" i="1"/>
  <c r="K192" i="1"/>
  <c r="K191" i="1"/>
  <c r="K190" i="1"/>
  <c r="K189" i="1"/>
  <c r="K188" i="1"/>
  <c r="K187" i="1"/>
  <c r="K186" i="1"/>
  <c r="K185" i="1"/>
  <c r="K184" i="1"/>
  <c r="K45" i="1"/>
  <c r="K183" i="1"/>
  <c r="K182" i="1"/>
  <c r="K181" i="1"/>
  <c r="K12" i="1"/>
  <c r="K180" i="1"/>
  <c r="K179" i="1"/>
  <c r="K178" i="1"/>
  <c r="K177" i="1"/>
  <c r="K176" i="1"/>
  <c r="K175" i="1"/>
  <c r="K11" i="1"/>
  <c r="K10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5" i="1"/>
  <c r="K137" i="1"/>
  <c r="K136" i="1"/>
  <c r="K135" i="1"/>
  <c r="K134" i="1"/>
  <c r="K133" i="1"/>
  <c r="K132" i="1"/>
  <c r="K131" i="1"/>
  <c r="K38" i="1"/>
  <c r="K130" i="1"/>
  <c r="K17" i="1"/>
  <c r="K129" i="1"/>
  <c r="K128" i="1"/>
  <c r="K127" i="1"/>
  <c r="K126" i="1"/>
  <c r="K125" i="1"/>
  <c r="K124" i="1"/>
  <c r="K123" i="1"/>
  <c r="K14" i="1"/>
  <c r="K122" i="1"/>
  <c r="K35" i="1"/>
  <c r="K9" i="1"/>
  <c r="K121" i="1"/>
  <c r="K120" i="1"/>
  <c r="K26" i="1"/>
  <c r="K119" i="1"/>
  <c r="K31" i="1"/>
  <c r="K118" i="1"/>
  <c r="K117" i="1"/>
  <c r="K116" i="1"/>
  <c r="K115" i="1"/>
  <c r="K30" i="1"/>
  <c r="K29" i="1"/>
  <c r="K114" i="1"/>
  <c r="K28" i="1"/>
  <c r="K113" i="1"/>
  <c r="K44" i="1"/>
  <c r="K112" i="1"/>
  <c r="K8" i="1"/>
  <c r="K27" i="1"/>
  <c r="K111" i="1"/>
  <c r="K110" i="1"/>
  <c r="K109" i="1"/>
  <c r="K108" i="1"/>
  <c r="K107" i="1"/>
  <c r="K106" i="1"/>
  <c r="K105" i="1"/>
  <c r="K24" i="1"/>
  <c r="K23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25" i="1"/>
  <c r="K86" i="1"/>
  <c r="K6" i="1"/>
  <c r="K85" i="1"/>
  <c r="K34" i="1"/>
  <c r="K84" i="1"/>
  <c r="K83" i="1"/>
  <c r="K36" i="1"/>
  <c r="K82" i="1"/>
  <c r="K81" i="1"/>
  <c r="K43" i="1"/>
  <c r="K80" i="1"/>
  <c r="K16" i="1"/>
  <c r="K79" i="1"/>
  <c r="K78" i="1"/>
  <c r="K77" i="1"/>
  <c r="K76" i="1"/>
  <c r="K75" i="1"/>
  <c r="K42" i="1"/>
  <c r="K74" i="1"/>
  <c r="K73" i="1"/>
  <c r="K72" i="1"/>
  <c r="K71" i="1"/>
  <c r="K70" i="1"/>
  <c r="K69" i="1"/>
  <c r="K68" i="1"/>
  <c r="K41" i="1"/>
  <c r="K67" i="1"/>
  <c r="K66" i="1"/>
  <c r="K65" i="1"/>
  <c r="K64" i="1"/>
  <c r="K40" i="1"/>
  <c r="K63" i="1"/>
  <c r="K62" i="1"/>
  <c r="K61" i="1"/>
  <c r="K60" i="1"/>
  <c r="K59" i="1"/>
  <c r="K58" i="1"/>
  <c r="K39" i="1"/>
  <c r="K57" i="1"/>
  <c r="K18" i="1"/>
  <c r="K21" i="1"/>
  <c r="K20" i="1"/>
  <c r="K19" i="1"/>
  <c r="K56" i="1"/>
  <c r="K22" i="1"/>
  <c r="K55" i="1"/>
  <c r="K54" i="1"/>
  <c r="K7" i="1"/>
  <c r="K5" i="1"/>
  <c r="K4" i="1"/>
  <c r="K53" i="1"/>
  <c r="K52" i="1"/>
  <c r="K51" i="1"/>
  <c r="K50" i="1"/>
  <c r="K49" i="1"/>
  <c r="P220" i="1" l="1"/>
  <c r="I220" i="1"/>
  <c r="H220" i="1" s="1"/>
  <c r="Q220" i="1" s="1"/>
  <c r="P257" i="1" l="1"/>
  <c r="I257" i="1"/>
  <c r="H257" i="1" s="1"/>
  <c r="Q257" i="1" s="1"/>
  <c r="P250" i="1" l="1"/>
  <c r="I250" i="1"/>
  <c r="H250" i="1" s="1"/>
  <c r="Q250" i="1" s="1"/>
  <c r="I43" i="1" l="1"/>
  <c r="H43" i="1" s="1"/>
  <c r="Q43" i="1" s="1"/>
  <c r="A43" i="1"/>
  <c r="CA43" i="1" s="1"/>
  <c r="F43" i="1" l="1"/>
  <c r="I53" i="1"/>
  <c r="H53" i="1" s="1"/>
  <c r="Q53" i="1" s="1"/>
  <c r="A53" i="1"/>
  <c r="F53" i="1" s="1"/>
  <c r="I52" i="1"/>
  <c r="H52" i="1" s="1"/>
  <c r="Q52" i="1" s="1"/>
  <c r="A52" i="1"/>
  <c r="F52" i="1" s="1"/>
  <c r="CB52" i="1"/>
  <c r="CB43" i="1"/>
  <c r="CB53" i="1"/>
  <c r="CA53" i="1" l="1"/>
  <c r="CA52" i="1"/>
  <c r="CA309" i="1" l="1"/>
  <c r="CA308" i="1"/>
  <c r="CA307" i="1"/>
  <c r="CA306" i="1"/>
  <c r="CA305" i="1"/>
  <c r="CA304" i="1"/>
  <c r="CA303" i="1"/>
  <c r="CA302" i="1"/>
  <c r="CA301" i="1"/>
  <c r="CA300" i="1"/>
  <c r="CA299" i="1"/>
  <c r="CA298" i="1"/>
  <c r="CA297" i="1"/>
  <c r="CA296" i="1"/>
  <c r="CA295" i="1"/>
  <c r="CA294" i="1"/>
  <c r="CA293" i="1"/>
  <c r="CA292" i="1"/>
  <c r="CA291" i="1"/>
  <c r="CA290" i="1"/>
  <c r="CA289" i="1"/>
  <c r="CA288" i="1"/>
  <c r="CA287" i="1"/>
  <c r="CA286" i="1"/>
  <c r="CA285" i="1"/>
  <c r="CA284" i="1"/>
  <c r="CA283" i="1"/>
  <c r="CA282" i="1"/>
  <c r="CA281" i="1"/>
  <c r="CA280" i="1"/>
  <c r="CA279" i="1"/>
  <c r="CA278" i="1"/>
  <c r="CA277" i="1"/>
  <c r="CA276" i="1"/>
  <c r="CA275" i="1"/>
  <c r="CA274" i="1"/>
  <c r="CA273" i="1"/>
  <c r="CA272" i="1"/>
  <c r="CA271" i="1"/>
  <c r="CA270" i="1"/>
  <c r="CA269" i="1"/>
  <c r="CA268" i="1"/>
  <c r="CA267" i="1"/>
  <c r="CA266" i="1"/>
  <c r="CA265" i="1"/>
  <c r="CA264" i="1"/>
  <c r="CA263" i="1"/>
  <c r="CA262" i="1"/>
  <c r="CA259" i="1"/>
  <c r="Q375" i="1" l="1"/>
  <c r="P375" i="1"/>
  <c r="O375" i="1"/>
  <c r="N375" i="1"/>
  <c r="M375" i="1"/>
  <c r="K375" i="1"/>
  <c r="I375" i="1"/>
  <c r="H375" i="1" s="1"/>
  <c r="F375" i="1"/>
  <c r="Q374" i="1"/>
  <c r="P374" i="1"/>
  <c r="O374" i="1"/>
  <c r="N374" i="1"/>
  <c r="M374" i="1"/>
  <c r="K374" i="1"/>
  <c r="I374" i="1"/>
  <c r="H374" i="1" s="1"/>
  <c r="F374" i="1"/>
  <c r="Q373" i="1"/>
  <c r="P373" i="1"/>
  <c r="O373" i="1"/>
  <c r="N373" i="1"/>
  <c r="M373" i="1"/>
  <c r="K373" i="1"/>
  <c r="I373" i="1"/>
  <c r="H373" i="1" s="1"/>
  <c r="F373" i="1"/>
  <c r="Q372" i="1"/>
  <c r="P372" i="1"/>
  <c r="O372" i="1"/>
  <c r="N372" i="1"/>
  <c r="M372" i="1"/>
  <c r="K372" i="1"/>
  <c r="I372" i="1"/>
  <c r="H372" i="1" s="1"/>
  <c r="F372" i="1"/>
  <c r="Q371" i="1"/>
  <c r="P371" i="1"/>
  <c r="O371" i="1"/>
  <c r="N371" i="1"/>
  <c r="M371" i="1"/>
  <c r="K371" i="1"/>
  <c r="I371" i="1"/>
  <c r="H371" i="1" s="1"/>
  <c r="F371" i="1"/>
  <c r="Q370" i="1"/>
  <c r="P370" i="1"/>
  <c r="O370" i="1"/>
  <c r="N370" i="1"/>
  <c r="M370" i="1"/>
  <c r="K370" i="1"/>
  <c r="I370" i="1"/>
  <c r="H370" i="1" s="1"/>
  <c r="F370" i="1"/>
  <c r="Q369" i="1"/>
  <c r="P369" i="1"/>
  <c r="O369" i="1"/>
  <c r="N369" i="1"/>
  <c r="M369" i="1"/>
  <c r="K369" i="1"/>
  <c r="I369" i="1"/>
  <c r="H369" i="1" s="1"/>
  <c r="F369" i="1"/>
  <c r="Q368" i="1"/>
  <c r="P368" i="1"/>
  <c r="O368" i="1"/>
  <c r="N368" i="1"/>
  <c r="M368" i="1"/>
  <c r="K368" i="1"/>
  <c r="I368" i="1"/>
  <c r="H368" i="1" s="1"/>
  <c r="F368" i="1"/>
  <c r="Q367" i="1"/>
  <c r="P367" i="1"/>
  <c r="O367" i="1"/>
  <c r="N367" i="1"/>
  <c r="M367" i="1"/>
  <c r="K367" i="1"/>
  <c r="I367" i="1"/>
  <c r="H367" i="1" s="1"/>
  <c r="F367" i="1"/>
  <c r="Q366" i="1"/>
  <c r="P366" i="1"/>
  <c r="O366" i="1"/>
  <c r="N366" i="1"/>
  <c r="M366" i="1"/>
  <c r="K366" i="1"/>
  <c r="I366" i="1"/>
  <c r="H366" i="1" s="1"/>
  <c r="F366" i="1"/>
  <c r="Q365" i="1"/>
  <c r="P365" i="1"/>
  <c r="O365" i="1"/>
  <c r="N365" i="1"/>
  <c r="M365" i="1"/>
  <c r="K365" i="1"/>
  <c r="I365" i="1"/>
  <c r="H365" i="1" s="1"/>
  <c r="F365" i="1"/>
  <c r="Q364" i="1"/>
  <c r="P364" i="1"/>
  <c r="O364" i="1"/>
  <c r="N364" i="1"/>
  <c r="M364" i="1"/>
  <c r="K364" i="1"/>
  <c r="I364" i="1"/>
  <c r="H364" i="1" s="1"/>
  <c r="F364" i="1"/>
  <c r="Q363" i="1"/>
  <c r="P363" i="1"/>
  <c r="O363" i="1"/>
  <c r="N363" i="1"/>
  <c r="M363" i="1"/>
  <c r="K363" i="1"/>
  <c r="I363" i="1"/>
  <c r="H363" i="1" s="1"/>
  <c r="F363" i="1"/>
  <c r="Q362" i="1"/>
  <c r="P362" i="1"/>
  <c r="O362" i="1"/>
  <c r="N362" i="1"/>
  <c r="M362" i="1"/>
  <c r="K362" i="1"/>
  <c r="I362" i="1"/>
  <c r="H362" i="1" s="1"/>
  <c r="F362" i="1"/>
  <c r="Q361" i="1"/>
  <c r="P361" i="1"/>
  <c r="O361" i="1"/>
  <c r="N361" i="1"/>
  <c r="M361" i="1"/>
  <c r="K361" i="1"/>
  <c r="I361" i="1"/>
  <c r="H361" i="1" s="1"/>
  <c r="F361" i="1"/>
  <c r="Q360" i="1"/>
  <c r="P360" i="1"/>
  <c r="O360" i="1"/>
  <c r="N360" i="1"/>
  <c r="M360" i="1"/>
  <c r="K360" i="1"/>
  <c r="I360" i="1"/>
  <c r="H360" i="1" s="1"/>
  <c r="F360" i="1"/>
  <c r="Q359" i="1"/>
  <c r="P359" i="1"/>
  <c r="O359" i="1"/>
  <c r="N359" i="1"/>
  <c r="M359" i="1"/>
  <c r="K359" i="1"/>
  <c r="I359" i="1"/>
  <c r="H359" i="1" s="1"/>
  <c r="F359" i="1"/>
  <c r="Q358" i="1"/>
  <c r="P358" i="1"/>
  <c r="O358" i="1"/>
  <c r="N358" i="1"/>
  <c r="M358" i="1"/>
  <c r="K358" i="1"/>
  <c r="I358" i="1"/>
  <c r="H358" i="1" s="1"/>
  <c r="F358" i="1"/>
  <c r="Q357" i="1"/>
  <c r="P357" i="1"/>
  <c r="O357" i="1"/>
  <c r="N357" i="1"/>
  <c r="M357" i="1"/>
  <c r="K357" i="1"/>
  <c r="I357" i="1"/>
  <c r="H357" i="1" s="1"/>
  <c r="F357" i="1"/>
  <c r="Q356" i="1"/>
  <c r="P356" i="1"/>
  <c r="O356" i="1"/>
  <c r="N356" i="1"/>
  <c r="M356" i="1"/>
  <c r="K356" i="1"/>
  <c r="I356" i="1"/>
  <c r="H356" i="1" s="1"/>
  <c r="F356" i="1"/>
  <c r="Q355" i="1"/>
  <c r="P355" i="1"/>
  <c r="O355" i="1"/>
  <c r="N355" i="1"/>
  <c r="M355" i="1"/>
  <c r="K355" i="1"/>
  <c r="I355" i="1"/>
  <c r="H355" i="1" s="1"/>
  <c r="F355" i="1"/>
  <c r="Q354" i="1"/>
  <c r="P354" i="1"/>
  <c r="O354" i="1"/>
  <c r="N354" i="1"/>
  <c r="M354" i="1"/>
  <c r="K354" i="1"/>
  <c r="I354" i="1"/>
  <c r="H354" i="1" s="1"/>
  <c r="F354" i="1"/>
  <c r="Q353" i="1"/>
  <c r="P353" i="1"/>
  <c r="O353" i="1"/>
  <c r="N353" i="1"/>
  <c r="M353" i="1"/>
  <c r="K353" i="1"/>
  <c r="I353" i="1"/>
  <c r="H353" i="1" s="1"/>
  <c r="F353" i="1"/>
  <c r="Q352" i="1"/>
  <c r="P352" i="1"/>
  <c r="O352" i="1"/>
  <c r="N352" i="1"/>
  <c r="M352" i="1"/>
  <c r="K352" i="1"/>
  <c r="I352" i="1"/>
  <c r="H352" i="1" s="1"/>
  <c r="F352" i="1"/>
  <c r="Q351" i="1"/>
  <c r="P351" i="1"/>
  <c r="O351" i="1"/>
  <c r="N351" i="1"/>
  <c r="M351" i="1"/>
  <c r="K351" i="1"/>
  <c r="I351" i="1"/>
  <c r="H351" i="1" s="1"/>
  <c r="F351" i="1"/>
  <c r="Q350" i="1"/>
  <c r="P350" i="1"/>
  <c r="O350" i="1"/>
  <c r="N350" i="1"/>
  <c r="M350" i="1"/>
  <c r="K350" i="1"/>
  <c r="I350" i="1"/>
  <c r="H350" i="1" s="1"/>
  <c r="F350" i="1"/>
  <c r="Q349" i="1"/>
  <c r="P349" i="1"/>
  <c r="O349" i="1"/>
  <c r="N349" i="1"/>
  <c r="M349" i="1"/>
  <c r="K349" i="1"/>
  <c r="I349" i="1"/>
  <c r="H349" i="1" s="1"/>
  <c r="F349" i="1"/>
  <c r="Q348" i="1"/>
  <c r="P348" i="1"/>
  <c r="O348" i="1"/>
  <c r="N348" i="1"/>
  <c r="M348" i="1"/>
  <c r="K348" i="1"/>
  <c r="I348" i="1"/>
  <c r="H348" i="1" s="1"/>
  <c r="F348" i="1"/>
  <c r="Q347" i="1"/>
  <c r="P347" i="1"/>
  <c r="O347" i="1"/>
  <c r="N347" i="1"/>
  <c r="M347" i="1"/>
  <c r="K347" i="1"/>
  <c r="I347" i="1"/>
  <c r="H347" i="1" s="1"/>
  <c r="F347" i="1"/>
  <c r="Q346" i="1"/>
  <c r="P346" i="1"/>
  <c r="O346" i="1"/>
  <c r="N346" i="1"/>
  <c r="M346" i="1"/>
  <c r="K346" i="1"/>
  <c r="I346" i="1"/>
  <c r="H346" i="1" s="1"/>
  <c r="F346" i="1"/>
  <c r="Q345" i="1"/>
  <c r="P345" i="1"/>
  <c r="O345" i="1"/>
  <c r="N345" i="1"/>
  <c r="M345" i="1"/>
  <c r="K345" i="1"/>
  <c r="I345" i="1"/>
  <c r="H345" i="1" s="1"/>
  <c r="F345" i="1"/>
  <c r="Q344" i="1"/>
  <c r="P344" i="1"/>
  <c r="O344" i="1"/>
  <c r="N344" i="1"/>
  <c r="M344" i="1"/>
  <c r="K344" i="1"/>
  <c r="I344" i="1"/>
  <c r="H344" i="1" s="1"/>
  <c r="F344" i="1"/>
  <c r="Q343" i="1"/>
  <c r="P343" i="1"/>
  <c r="O343" i="1"/>
  <c r="N343" i="1"/>
  <c r="M343" i="1"/>
  <c r="K343" i="1"/>
  <c r="I343" i="1"/>
  <c r="H343" i="1" s="1"/>
  <c r="F343" i="1"/>
  <c r="Q342" i="1"/>
  <c r="P342" i="1"/>
  <c r="O342" i="1"/>
  <c r="N342" i="1"/>
  <c r="M342" i="1"/>
  <c r="K342" i="1"/>
  <c r="I342" i="1"/>
  <c r="H342" i="1" s="1"/>
  <c r="F342" i="1"/>
  <c r="Q341" i="1"/>
  <c r="P341" i="1"/>
  <c r="O341" i="1"/>
  <c r="N341" i="1"/>
  <c r="M341" i="1"/>
  <c r="K341" i="1"/>
  <c r="I341" i="1"/>
  <c r="H341" i="1" s="1"/>
  <c r="F341" i="1"/>
  <c r="Q340" i="1"/>
  <c r="P340" i="1"/>
  <c r="O340" i="1"/>
  <c r="N340" i="1"/>
  <c r="M340" i="1"/>
  <c r="K340" i="1"/>
  <c r="I340" i="1"/>
  <c r="H340" i="1" s="1"/>
  <c r="F340" i="1"/>
  <c r="Q339" i="1"/>
  <c r="P339" i="1"/>
  <c r="O339" i="1"/>
  <c r="N339" i="1"/>
  <c r="M339" i="1"/>
  <c r="K339" i="1"/>
  <c r="I339" i="1"/>
  <c r="H339" i="1" s="1"/>
  <c r="F339" i="1"/>
  <c r="Q338" i="1"/>
  <c r="P338" i="1"/>
  <c r="O338" i="1"/>
  <c r="N338" i="1"/>
  <c r="M338" i="1"/>
  <c r="K338" i="1"/>
  <c r="I338" i="1"/>
  <c r="H338" i="1" s="1"/>
  <c r="F338" i="1"/>
  <c r="Q337" i="1"/>
  <c r="P337" i="1"/>
  <c r="O337" i="1"/>
  <c r="N337" i="1"/>
  <c r="M337" i="1"/>
  <c r="K337" i="1"/>
  <c r="I337" i="1"/>
  <c r="H337" i="1" s="1"/>
  <c r="F337" i="1"/>
  <c r="Q336" i="1"/>
  <c r="P336" i="1"/>
  <c r="O336" i="1"/>
  <c r="N336" i="1"/>
  <c r="M336" i="1"/>
  <c r="K336" i="1"/>
  <c r="I336" i="1"/>
  <c r="H336" i="1" s="1"/>
  <c r="F336" i="1"/>
  <c r="Q335" i="1"/>
  <c r="P335" i="1"/>
  <c r="O335" i="1"/>
  <c r="N335" i="1"/>
  <c r="M335" i="1"/>
  <c r="K335" i="1"/>
  <c r="I335" i="1"/>
  <c r="H335" i="1" s="1"/>
  <c r="F335" i="1"/>
  <c r="Q334" i="1"/>
  <c r="P334" i="1"/>
  <c r="O334" i="1"/>
  <c r="N334" i="1"/>
  <c r="M334" i="1"/>
  <c r="K334" i="1"/>
  <c r="I334" i="1"/>
  <c r="H334" i="1" s="1"/>
  <c r="F334" i="1"/>
  <c r="Q333" i="1"/>
  <c r="P333" i="1"/>
  <c r="O333" i="1"/>
  <c r="N333" i="1"/>
  <c r="M333" i="1"/>
  <c r="K333" i="1"/>
  <c r="I333" i="1"/>
  <c r="H333" i="1" s="1"/>
  <c r="F333" i="1"/>
  <c r="Q332" i="1"/>
  <c r="P332" i="1"/>
  <c r="O332" i="1"/>
  <c r="N332" i="1"/>
  <c r="M332" i="1"/>
  <c r="K332" i="1"/>
  <c r="I332" i="1"/>
  <c r="H332" i="1" s="1"/>
  <c r="F332" i="1"/>
  <c r="Q331" i="1"/>
  <c r="P331" i="1"/>
  <c r="O331" i="1"/>
  <c r="N331" i="1"/>
  <c r="M331" i="1"/>
  <c r="K331" i="1"/>
  <c r="I331" i="1"/>
  <c r="H331" i="1" s="1"/>
  <c r="F331" i="1"/>
  <c r="Q330" i="1"/>
  <c r="P330" i="1"/>
  <c r="O330" i="1"/>
  <c r="N330" i="1"/>
  <c r="M330" i="1"/>
  <c r="K330" i="1"/>
  <c r="I330" i="1"/>
  <c r="H330" i="1" s="1"/>
  <c r="F330" i="1"/>
  <c r="Q329" i="1"/>
  <c r="P329" i="1"/>
  <c r="O329" i="1"/>
  <c r="N329" i="1"/>
  <c r="M329" i="1"/>
  <c r="K329" i="1"/>
  <c r="I329" i="1"/>
  <c r="H329" i="1" s="1"/>
  <c r="F329" i="1"/>
  <c r="Q328" i="1"/>
  <c r="P328" i="1"/>
  <c r="O328" i="1"/>
  <c r="N328" i="1"/>
  <c r="M328" i="1"/>
  <c r="K328" i="1"/>
  <c r="I328" i="1"/>
  <c r="H328" i="1" s="1"/>
  <c r="F328" i="1"/>
  <c r="Q327" i="1"/>
  <c r="P327" i="1"/>
  <c r="O327" i="1"/>
  <c r="N327" i="1"/>
  <c r="M327" i="1"/>
  <c r="K327" i="1"/>
  <c r="I327" i="1"/>
  <c r="H327" i="1" s="1"/>
  <c r="F327" i="1"/>
  <c r="Q326" i="1"/>
  <c r="P326" i="1"/>
  <c r="O326" i="1"/>
  <c r="N326" i="1"/>
  <c r="M326" i="1"/>
  <c r="K326" i="1"/>
  <c r="I326" i="1"/>
  <c r="H326" i="1" s="1"/>
  <c r="F326" i="1"/>
  <c r="Q325" i="1"/>
  <c r="P325" i="1"/>
  <c r="O325" i="1"/>
  <c r="N325" i="1"/>
  <c r="M325" i="1"/>
  <c r="K325" i="1"/>
  <c r="I325" i="1"/>
  <c r="H325" i="1" s="1"/>
  <c r="F325" i="1"/>
  <c r="Q324" i="1"/>
  <c r="P324" i="1"/>
  <c r="O324" i="1"/>
  <c r="N324" i="1"/>
  <c r="M324" i="1"/>
  <c r="K324" i="1"/>
  <c r="I324" i="1"/>
  <c r="H324" i="1" s="1"/>
  <c r="F324" i="1"/>
  <c r="Q323" i="1"/>
  <c r="P323" i="1"/>
  <c r="O323" i="1"/>
  <c r="N323" i="1"/>
  <c r="M323" i="1"/>
  <c r="K323" i="1"/>
  <c r="I323" i="1"/>
  <c r="H323" i="1" s="1"/>
  <c r="F323" i="1"/>
  <c r="Q322" i="1"/>
  <c r="P322" i="1"/>
  <c r="O322" i="1"/>
  <c r="N322" i="1"/>
  <c r="M322" i="1"/>
  <c r="K322" i="1"/>
  <c r="I322" i="1"/>
  <c r="H322" i="1" s="1"/>
  <c r="F322" i="1"/>
  <c r="Q321" i="1"/>
  <c r="P321" i="1"/>
  <c r="O321" i="1"/>
  <c r="N321" i="1"/>
  <c r="M321" i="1"/>
  <c r="K321" i="1"/>
  <c r="I321" i="1"/>
  <c r="H321" i="1" s="1"/>
  <c r="F321" i="1"/>
  <c r="Q320" i="1"/>
  <c r="P320" i="1"/>
  <c r="O320" i="1"/>
  <c r="N320" i="1"/>
  <c r="M320" i="1"/>
  <c r="K320" i="1"/>
  <c r="I320" i="1"/>
  <c r="H320" i="1" s="1"/>
  <c r="F320" i="1"/>
  <c r="Q319" i="1"/>
  <c r="P319" i="1"/>
  <c r="O319" i="1"/>
  <c r="N319" i="1"/>
  <c r="M319" i="1"/>
  <c r="K319" i="1"/>
  <c r="I319" i="1"/>
  <c r="H319" i="1" s="1"/>
  <c r="F319" i="1"/>
  <c r="Q318" i="1"/>
  <c r="P318" i="1"/>
  <c r="O318" i="1"/>
  <c r="N318" i="1"/>
  <c r="M318" i="1"/>
  <c r="K318" i="1"/>
  <c r="I318" i="1"/>
  <c r="H318" i="1" s="1"/>
  <c r="F318" i="1"/>
  <c r="Q317" i="1"/>
  <c r="P317" i="1"/>
  <c r="O317" i="1"/>
  <c r="N317" i="1"/>
  <c r="M317" i="1"/>
  <c r="K317" i="1"/>
  <c r="I317" i="1"/>
  <c r="H317" i="1" s="1"/>
  <c r="F317" i="1"/>
  <c r="Q316" i="1"/>
  <c r="P316" i="1"/>
  <c r="O316" i="1"/>
  <c r="N316" i="1"/>
  <c r="M316" i="1"/>
  <c r="K316" i="1"/>
  <c r="I316" i="1"/>
  <c r="H316" i="1" s="1"/>
  <c r="F316" i="1"/>
  <c r="Q315" i="1"/>
  <c r="P315" i="1"/>
  <c r="O315" i="1"/>
  <c r="N315" i="1"/>
  <c r="M315" i="1"/>
  <c r="K315" i="1"/>
  <c r="I315" i="1"/>
  <c r="H315" i="1" s="1"/>
  <c r="F315" i="1"/>
  <c r="Q314" i="1"/>
  <c r="P314" i="1"/>
  <c r="O314" i="1"/>
  <c r="N314" i="1"/>
  <c r="M314" i="1"/>
  <c r="K314" i="1"/>
  <c r="I314" i="1"/>
  <c r="H314" i="1" s="1"/>
  <c r="F314" i="1"/>
  <c r="Q313" i="1"/>
  <c r="P313" i="1"/>
  <c r="O313" i="1"/>
  <c r="N313" i="1"/>
  <c r="M313" i="1"/>
  <c r="K313" i="1"/>
  <c r="I313" i="1"/>
  <c r="H313" i="1" s="1"/>
  <c r="F313" i="1"/>
  <c r="Q312" i="1"/>
  <c r="P312" i="1"/>
  <c r="O312" i="1"/>
  <c r="N312" i="1"/>
  <c r="M312" i="1"/>
  <c r="K312" i="1"/>
  <c r="I312" i="1"/>
  <c r="H312" i="1" s="1"/>
  <c r="F312" i="1"/>
  <c r="Q311" i="1"/>
  <c r="P311" i="1"/>
  <c r="O311" i="1"/>
  <c r="N311" i="1"/>
  <c r="M311" i="1"/>
  <c r="K311" i="1"/>
  <c r="I311" i="1"/>
  <c r="H311" i="1" s="1"/>
  <c r="F311" i="1"/>
  <c r="Q310" i="1"/>
  <c r="P310" i="1"/>
  <c r="O310" i="1"/>
  <c r="N310" i="1"/>
  <c r="M310" i="1"/>
  <c r="K310" i="1"/>
  <c r="I310" i="1"/>
  <c r="H310" i="1" s="1"/>
  <c r="F310" i="1"/>
  <c r="Q309" i="1"/>
  <c r="P309" i="1"/>
  <c r="O309" i="1"/>
  <c r="N309" i="1"/>
  <c r="M309" i="1"/>
  <c r="K309" i="1"/>
  <c r="I309" i="1"/>
  <c r="H309" i="1" s="1"/>
  <c r="F309" i="1"/>
  <c r="Q308" i="1"/>
  <c r="P308" i="1"/>
  <c r="O308" i="1"/>
  <c r="N308" i="1"/>
  <c r="M308" i="1"/>
  <c r="K308" i="1"/>
  <c r="I308" i="1"/>
  <c r="H308" i="1" s="1"/>
  <c r="F308" i="1"/>
  <c r="Q307" i="1"/>
  <c r="P307" i="1"/>
  <c r="O307" i="1"/>
  <c r="N307" i="1"/>
  <c r="M307" i="1"/>
  <c r="K307" i="1"/>
  <c r="I307" i="1"/>
  <c r="H307" i="1" s="1"/>
  <c r="F307" i="1"/>
  <c r="Q306" i="1"/>
  <c r="P306" i="1"/>
  <c r="O306" i="1"/>
  <c r="N306" i="1"/>
  <c r="M306" i="1"/>
  <c r="K306" i="1"/>
  <c r="I306" i="1"/>
  <c r="H306" i="1" s="1"/>
  <c r="F306" i="1"/>
  <c r="Q305" i="1"/>
  <c r="P305" i="1"/>
  <c r="O305" i="1"/>
  <c r="N305" i="1"/>
  <c r="M305" i="1"/>
  <c r="K305" i="1"/>
  <c r="I305" i="1"/>
  <c r="H305" i="1" s="1"/>
  <c r="F305" i="1"/>
  <c r="Q304" i="1"/>
  <c r="P304" i="1"/>
  <c r="O304" i="1"/>
  <c r="N304" i="1"/>
  <c r="M304" i="1"/>
  <c r="K304" i="1"/>
  <c r="I304" i="1"/>
  <c r="H304" i="1" s="1"/>
  <c r="F304" i="1"/>
  <c r="Q303" i="1"/>
  <c r="P303" i="1"/>
  <c r="O303" i="1"/>
  <c r="N303" i="1"/>
  <c r="M303" i="1"/>
  <c r="K303" i="1"/>
  <c r="I303" i="1"/>
  <c r="H303" i="1" s="1"/>
  <c r="F303" i="1"/>
  <c r="Q302" i="1"/>
  <c r="P302" i="1"/>
  <c r="O302" i="1"/>
  <c r="N302" i="1"/>
  <c r="M302" i="1"/>
  <c r="K302" i="1"/>
  <c r="I302" i="1"/>
  <c r="H302" i="1" s="1"/>
  <c r="F302" i="1"/>
  <c r="Q301" i="1"/>
  <c r="P301" i="1"/>
  <c r="O301" i="1"/>
  <c r="N301" i="1"/>
  <c r="M301" i="1"/>
  <c r="K301" i="1"/>
  <c r="I301" i="1"/>
  <c r="H301" i="1" s="1"/>
  <c r="F301" i="1"/>
  <c r="Q300" i="1"/>
  <c r="P300" i="1"/>
  <c r="O300" i="1"/>
  <c r="N300" i="1"/>
  <c r="M300" i="1"/>
  <c r="K300" i="1"/>
  <c r="I300" i="1"/>
  <c r="H300" i="1" s="1"/>
  <c r="F300" i="1"/>
  <c r="Q299" i="1"/>
  <c r="P299" i="1"/>
  <c r="O299" i="1"/>
  <c r="N299" i="1"/>
  <c r="M299" i="1"/>
  <c r="K299" i="1"/>
  <c r="I299" i="1"/>
  <c r="H299" i="1" s="1"/>
  <c r="F299" i="1"/>
  <c r="Q298" i="1"/>
  <c r="P298" i="1"/>
  <c r="O298" i="1"/>
  <c r="N298" i="1"/>
  <c r="M298" i="1"/>
  <c r="K298" i="1"/>
  <c r="I298" i="1"/>
  <c r="H298" i="1" s="1"/>
  <c r="F298" i="1"/>
  <c r="Q297" i="1"/>
  <c r="P297" i="1"/>
  <c r="O297" i="1"/>
  <c r="N297" i="1"/>
  <c r="M297" i="1"/>
  <c r="K297" i="1"/>
  <c r="I297" i="1"/>
  <c r="H297" i="1" s="1"/>
  <c r="F297" i="1"/>
  <c r="Q296" i="1"/>
  <c r="P296" i="1"/>
  <c r="O296" i="1"/>
  <c r="N296" i="1"/>
  <c r="M296" i="1"/>
  <c r="K296" i="1"/>
  <c r="I296" i="1"/>
  <c r="H296" i="1" s="1"/>
  <c r="F296" i="1"/>
  <c r="Q295" i="1"/>
  <c r="P295" i="1"/>
  <c r="O295" i="1"/>
  <c r="N295" i="1"/>
  <c r="M295" i="1"/>
  <c r="K295" i="1"/>
  <c r="I295" i="1"/>
  <c r="H295" i="1" s="1"/>
  <c r="F295" i="1"/>
  <c r="Q294" i="1"/>
  <c r="P294" i="1"/>
  <c r="O294" i="1"/>
  <c r="N294" i="1"/>
  <c r="M294" i="1"/>
  <c r="K294" i="1"/>
  <c r="I294" i="1"/>
  <c r="H294" i="1" s="1"/>
  <c r="F294" i="1"/>
  <c r="Q293" i="1"/>
  <c r="P293" i="1"/>
  <c r="O293" i="1"/>
  <c r="N293" i="1"/>
  <c r="M293" i="1"/>
  <c r="K293" i="1"/>
  <c r="I293" i="1"/>
  <c r="H293" i="1" s="1"/>
  <c r="F293" i="1"/>
  <c r="Q292" i="1"/>
  <c r="P292" i="1"/>
  <c r="O292" i="1"/>
  <c r="N292" i="1"/>
  <c r="M292" i="1"/>
  <c r="K292" i="1"/>
  <c r="I292" i="1"/>
  <c r="H292" i="1" s="1"/>
  <c r="F292" i="1"/>
  <c r="Q291" i="1"/>
  <c r="P291" i="1"/>
  <c r="O291" i="1"/>
  <c r="N291" i="1"/>
  <c r="M291" i="1"/>
  <c r="K291" i="1"/>
  <c r="I291" i="1"/>
  <c r="H291" i="1" s="1"/>
  <c r="F291" i="1"/>
  <c r="Q290" i="1"/>
  <c r="P290" i="1"/>
  <c r="O290" i="1"/>
  <c r="N290" i="1"/>
  <c r="M290" i="1"/>
  <c r="K290" i="1"/>
  <c r="I290" i="1"/>
  <c r="H290" i="1" s="1"/>
  <c r="F290" i="1"/>
  <c r="Q289" i="1"/>
  <c r="P289" i="1"/>
  <c r="O289" i="1"/>
  <c r="N289" i="1"/>
  <c r="M289" i="1"/>
  <c r="K289" i="1"/>
  <c r="I289" i="1"/>
  <c r="H289" i="1" s="1"/>
  <c r="F289" i="1"/>
  <c r="Q288" i="1"/>
  <c r="P288" i="1"/>
  <c r="O288" i="1"/>
  <c r="N288" i="1"/>
  <c r="M288" i="1"/>
  <c r="K288" i="1"/>
  <c r="I288" i="1"/>
  <c r="H288" i="1" s="1"/>
  <c r="F288" i="1"/>
  <c r="Q287" i="1"/>
  <c r="P287" i="1"/>
  <c r="O287" i="1"/>
  <c r="N287" i="1"/>
  <c r="M287" i="1"/>
  <c r="K287" i="1"/>
  <c r="I287" i="1"/>
  <c r="H287" i="1" s="1"/>
  <c r="F287" i="1"/>
  <c r="Q286" i="1"/>
  <c r="P286" i="1"/>
  <c r="O286" i="1"/>
  <c r="N286" i="1"/>
  <c r="M286" i="1"/>
  <c r="K286" i="1"/>
  <c r="I286" i="1"/>
  <c r="H286" i="1" s="1"/>
  <c r="F286" i="1"/>
  <c r="Q285" i="1"/>
  <c r="P285" i="1"/>
  <c r="O285" i="1"/>
  <c r="N285" i="1"/>
  <c r="M285" i="1"/>
  <c r="K285" i="1"/>
  <c r="I285" i="1"/>
  <c r="H285" i="1" s="1"/>
  <c r="F285" i="1"/>
  <c r="Q284" i="1"/>
  <c r="P284" i="1"/>
  <c r="O284" i="1"/>
  <c r="N284" i="1"/>
  <c r="M284" i="1"/>
  <c r="K284" i="1"/>
  <c r="I284" i="1"/>
  <c r="H284" i="1" s="1"/>
  <c r="F284" i="1"/>
  <c r="Q283" i="1"/>
  <c r="P283" i="1"/>
  <c r="O283" i="1"/>
  <c r="N283" i="1"/>
  <c r="M283" i="1"/>
  <c r="K283" i="1"/>
  <c r="I283" i="1"/>
  <c r="H283" i="1" s="1"/>
  <c r="F283" i="1"/>
  <c r="Q282" i="1"/>
  <c r="P282" i="1"/>
  <c r="O282" i="1"/>
  <c r="N282" i="1"/>
  <c r="M282" i="1"/>
  <c r="K282" i="1"/>
  <c r="I282" i="1"/>
  <c r="H282" i="1" s="1"/>
  <c r="F282" i="1"/>
  <c r="Q281" i="1"/>
  <c r="P281" i="1"/>
  <c r="O281" i="1"/>
  <c r="N281" i="1"/>
  <c r="M281" i="1"/>
  <c r="K281" i="1"/>
  <c r="I281" i="1"/>
  <c r="H281" i="1" s="1"/>
  <c r="F281" i="1"/>
  <c r="Q280" i="1"/>
  <c r="P280" i="1"/>
  <c r="O280" i="1"/>
  <c r="N280" i="1"/>
  <c r="M280" i="1"/>
  <c r="K280" i="1"/>
  <c r="I280" i="1"/>
  <c r="H280" i="1" s="1"/>
  <c r="F280" i="1"/>
  <c r="Q279" i="1"/>
  <c r="P279" i="1"/>
  <c r="O279" i="1"/>
  <c r="N279" i="1"/>
  <c r="M279" i="1"/>
  <c r="K279" i="1"/>
  <c r="I279" i="1"/>
  <c r="H279" i="1" s="1"/>
  <c r="F279" i="1"/>
  <c r="Q278" i="1"/>
  <c r="P278" i="1"/>
  <c r="O278" i="1"/>
  <c r="N278" i="1"/>
  <c r="M278" i="1"/>
  <c r="K278" i="1"/>
  <c r="I278" i="1"/>
  <c r="H278" i="1" s="1"/>
  <c r="F278" i="1"/>
  <c r="Q277" i="1"/>
  <c r="P277" i="1"/>
  <c r="O277" i="1"/>
  <c r="N277" i="1"/>
  <c r="M277" i="1"/>
  <c r="K277" i="1"/>
  <c r="I277" i="1"/>
  <c r="H277" i="1" s="1"/>
  <c r="F277" i="1"/>
  <c r="Q276" i="1"/>
  <c r="P276" i="1"/>
  <c r="O276" i="1"/>
  <c r="N276" i="1"/>
  <c r="M276" i="1"/>
  <c r="K276" i="1"/>
  <c r="I276" i="1"/>
  <c r="H276" i="1" s="1"/>
  <c r="F276" i="1"/>
  <c r="Q275" i="1"/>
  <c r="P275" i="1"/>
  <c r="O275" i="1"/>
  <c r="N275" i="1"/>
  <c r="M275" i="1"/>
  <c r="K275" i="1"/>
  <c r="I275" i="1"/>
  <c r="H275" i="1" s="1"/>
  <c r="F275" i="1"/>
  <c r="Q274" i="1"/>
  <c r="P274" i="1"/>
  <c r="O274" i="1"/>
  <c r="N274" i="1"/>
  <c r="M274" i="1"/>
  <c r="K274" i="1"/>
  <c r="I274" i="1"/>
  <c r="H274" i="1" s="1"/>
  <c r="F274" i="1"/>
  <c r="Q273" i="1"/>
  <c r="P273" i="1"/>
  <c r="O273" i="1"/>
  <c r="N273" i="1"/>
  <c r="M273" i="1"/>
  <c r="K273" i="1"/>
  <c r="I273" i="1"/>
  <c r="H273" i="1" s="1"/>
  <c r="F273" i="1"/>
  <c r="Q272" i="1"/>
  <c r="P272" i="1"/>
  <c r="O272" i="1"/>
  <c r="N272" i="1"/>
  <c r="M272" i="1"/>
  <c r="K272" i="1"/>
  <c r="I272" i="1"/>
  <c r="H272" i="1" s="1"/>
  <c r="F272" i="1"/>
  <c r="Q271" i="1"/>
  <c r="P271" i="1"/>
  <c r="O271" i="1"/>
  <c r="N271" i="1"/>
  <c r="M271" i="1"/>
  <c r="K271" i="1"/>
  <c r="I271" i="1"/>
  <c r="H271" i="1" s="1"/>
  <c r="F271" i="1"/>
  <c r="Q270" i="1"/>
  <c r="P270" i="1"/>
  <c r="O270" i="1"/>
  <c r="N270" i="1"/>
  <c r="M270" i="1"/>
  <c r="K270" i="1"/>
  <c r="I270" i="1"/>
  <c r="H270" i="1" s="1"/>
  <c r="F270" i="1"/>
  <c r="Q269" i="1"/>
  <c r="P269" i="1"/>
  <c r="O269" i="1"/>
  <c r="N269" i="1"/>
  <c r="M269" i="1"/>
  <c r="K269" i="1"/>
  <c r="I269" i="1"/>
  <c r="H269" i="1" s="1"/>
  <c r="F269" i="1"/>
  <c r="Q268" i="1"/>
  <c r="P268" i="1"/>
  <c r="O268" i="1"/>
  <c r="N268" i="1"/>
  <c r="M268" i="1"/>
  <c r="K268" i="1"/>
  <c r="I268" i="1"/>
  <c r="H268" i="1" s="1"/>
  <c r="F268" i="1"/>
  <c r="Q267" i="1"/>
  <c r="P267" i="1"/>
  <c r="O267" i="1"/>
  <c r="N267" i="1"/>
  <c r="M267" i="1"/>
  <c r="K267" i="1"/>
  <c r="I267" i="1"/>
  <c r="H267" i="1" s="1"/>
  <c r="F267" i="1"/>
  <c r="Q266" i="1"/>
  <c r="P266" i="1"/>
  <c r="O266" i="1"/>
  <c r="N266" i="1"/>
  <c r="M266" i="1"/>
  <c r="K266" i="1"/>
  <c r="I266" i="1"/>
  <c r="H266" i="1" s="1"/>
  <c r="F266" i="1"/>
  <c r="Q265" i="1"/>
  <c r="P265" i="1"/>
  <c r="O265" i="1"/>
  <c r="N265" i="1"/>
  <c r="M265" i="1"/>
  <c r="K265" i="1"/>
  <c r="I265" i="1"/>
  <c r="H265" i="1" s="1"/>
  <c r="F265" i="1"/>
  <c r="Q264" i="1"/>
  <c r="P264" i="1"/>
  <c r="O264" i="1"/>
  <c r="N264" i="1"/>
  <c r="M264" i="1"/>
  <c r="K264" i="1"/>
  <c r="I264" i="1"/>
  <c r="H264" i="1" s="1"/>
  <c r="F264" i="1"/>
  <c r="Q263" i="1"/>
  <c r="P263" i="1"/>
  <c r="O263" i="1"/>
  <c r="N263" i="1"/>
  <c r="M263" i="1"/>
  <c r="K263" i="1"/>
  <c r="I263" i="1"/>
  <c r="H263" i="1" s="1"/>
  <c r="F263" i="1"/>
  <c r="Q262" i="1"/>
  <c r="P262" i="1"/>
  <c r="O262" i="1"/>
  <c r="N262" i="1"/>
  <c r="M262" i="1"/>
  <c r="K262" i="1"/>
  <c r="I262" i="1"/>
  <c r="H262" i="1" s="1"/>
  <c r="F262" i="1"/>
  <c r="P261" i="1"/>
  <c r="K261" i="1"/>
  <c r="I261" i="1"/>
  <c r="H261" i="1" s="1"/>
  <c r="Q261" i="1" s="1"/>
  <c r="P260" i="1"/>
  <c r="K260" i="1"/>
  <c r="I260" i="1"/>
  <c r="H260" i="1" s="1"/>
  <c r="Q260" i="1" s="1"/>
  <c r="P259" i="1"/>
  <c r="O259" i="1"/>
  <c r="N259" i="1"/>
  <c r="M259" i="1"/>
  <c r="K259" i="1"/>
  <c r="I259" i="1"/>
  <c r="H259" i="1" s="1"/>
  <c r="Q259" i="1" s="1"/>
  <c r="F259" i="1"/>
  <c r="P247" i="1"/>
  <c r="K247" i="1"/>
  <c r="I247" i="1"/>
  <c r="H247" i="1" s="1"/>
  <c r="Q247" i="1" s="1"/>
  <c r="P246" i="1"/>
  <c r="K246" i="1"/>
  <c r="I246" i="1"/>
  <c r="H246" i="1" s="1"/>
  <c r="Q246" i="1" s="1"/>
  <c r="P245" i="1"/>
  <c r="K245" i="1"/>
  <c r="I245" i="1"/>
  <c r="H245" i="1" s="1"/>
  <c r="Q245" i="1" s="1"/>
  <c r="P244" i="1"/>
  <c r="K244" i="1"/>
  <c r="I244" i="1"/>
  <c r="H244" i="1" s="1"/>
  <c r="Q244" i="1" s="1"/>
  <c r="P243" i="1"/>
  <c r="K243" i="1"/>
  <c r="I243" i="1"/>
  <c r="H243" i="1" s="1"/>
  <c r="Q243" i="1" s="1"/>
  <c r="P242" i="1"/>
  <c r="K242" i="1"/>
  <c r="I242" i="1"/>
  <c r="H242" i="1" s="1"/>
  <c r="Q242" i="1" s="1"/>
  <c r="P241" i="1"/>
  <c r="K241" i="1"/>
  <c r="I241" i="1"/>
  <c r="H241" i="1" s="1"/>
  <c r="Q241" i="1" s="1"/>
  <c r="P240" i="1"/>
  <c r="K240" i="1"/>
  <c r="I240" i="1"/>
  <c r="H240" i="1" s="1"/>
  <c r="Q240" i="1" s="1"/>
  <c r="P239" i="1"/>
  <c r="K239" i="1"/>
  <c r="I239" i="1"/>
  <c r="H239" i="1" s="1"/>
  <c r="Q239" i="1" s="1"/>
  <c r="P238" i="1"/>
  <c r="K238" i="1"/>
  <c r="I238" i="1"/>
  <c r="H238" i="1" s="1"/>
  <c r="Q238" i="1" s="1"/>
  <c r="P237" i="1"/>
  <c r="K237" i="1"/>
  <c r="I237" i="1"/>
  <c r="H237" i="1" s="1"/>
  <c r="Q237" i="1" s="1"/>
  <c r="P33" i="1"/>
  <c r="K33" i="1"/>
  <c r="I33" i="1"/>
  <c r="H33" i="1" s="1"/>
  <c r="Q33" i="1" s="1"/>
  <c r="P236" i="1"/>
  <c r="K236" i="1"/>
  <c r="I236" i="1"/>
  <c r="H236" i="1" s="1"/>
  <c r="Q236" i="1" s="1"/>
  <c r="P235" i="1"/>
  <c r="K235" i="1"/>
  <c r="I235" i="1"/>
  <c r="H235" i="1" s="1"/>
  <c r="Q235" i="1" s="1"/>
  <c r="P32" i="1"/>
  <c r="K32" i="1"/>
  <c r="I32" i="1"/>
  <c r="H32" i="1" s="1"/>
  <c r="Q32" i="1" s="1"/>
  <c r="P234" i="1"/>
  <c r="K234" i="1"/>
  <c r="I234" i="1"/>
  <c r="H234" i="1" s="1"/>
  <c r="Q234" i="1" s="1"/>
  <c r="P233" i="1"/>
  <c r="K233" i="1"/>
  <c r="I233" i="1"/>
  <c r="H233" i="1" s="1"/>
  <c r="Q233" i="1" s="1"/>
  <c r="P232" i="1"/>
  <c r="K232" i="1"/>
  <c r="I232" i="1"/>
  <c r="H232" i="1" s="1"/>
  <c r="Q232" i="1" s="1"/>
  <c r="P231" i="1"/>
  <c r="K231" i="1"/>
  <c r="I231" i="1"/>
  <c r="H231" i="1" s="1"/>
  <c r="Q231" i="1" s="1"/>
  <c r="P230" i="1"/>
  <c r="K230" i="1"/>
  <c r="I230" i="1"/>
  <c r="H230" i="1" s="1"/>
  <c r="Q230" i="1" s="1"/>
  <c r="P48" i="1"/>
  <c r="I48" i="1"/>
  <c r="H48" i="1" s="1"/>
  <c r="Q48" i="1" s="1"/>
  <c r="P229" i="1"/>
  <c r="I229" i="1"/>
  <c r="H229" i="1" s="1"/>
  <c r="Q229" i="1" s="1"/>
  <c r="P3" i="1"/>
  <c r="I3" i="1"/>
  <c r="H3" i="1" s="1"/>
  <c r="Q3" i="1" s="1"/>
  <c r="P228" i="1"/>
  <c r="I228" i="1"/>
  <c r="H228" i="1" s="1"/>
  <c r="Q228" i="1" s="1"/>
  <c r="P227" i="1"/>
  <c r="I227" i="1"/>
  <c r="H227" i="1" s="1"/>
  <c r="Q227" i="1" s="1"/>
  <c r="P226" i="1"/>
  <c r="I226" i="1"/>
  <c r="H226" i="1" s="1"/>
  <c r="Q226" i="1" s="1"/>
  <c r="P225" i="1"/>
  <c r="I225" i="1"/>
  <c r="H225" i="1" s="1"/>
  <c r="Q225" i="1" s="1"/>
  <c r="P224" i="1"/>
  <c r="I224" i="1"/>
  <c r="H224" i="1" s="1"/>
  <c r="Q224" i="1" s="1"/>
  <c r="P223" i="1"/>
  <c r="I223" i="1"/>
  <c r="H223" i="1" s="1"/>
  <c r="Q223" i="1" s="1"/>
  <c r="P222" i="1"/>
  <c r="I222" i="1"/>
  <c r="H222" i="1" s="1"/>
  <c r="Q222" i="1" s="1"/>
  <c r="P221" i="1"/>
  <c r="I221" i="1"/>
  <c r="H221" i="1" s="1"/>
  <c r="Q221" i="1" s="1"/>
  <c r="P219" i="1"/>
  <c r="I219" i="1"/>
  <c r="H219" i="1" s="1"/>
  <c r="Q219" i="1" s="1"/>
  <c r="P218" i="1"/>
  <c r="I218" i="1"/>
  <c r="H218" i="1" s="1"/>
  <c r="Q218" i="1" s="1"/>
  <c r="P248" i="1"/>
  <c r="I248" i="1"/>
  <c r="H248" i="1" s="1"/>
  <c r="Q248" i="1" s="1"/>
  <c r="P217" i="1"/>
  <c r="I217" i="1"/>
  <c r="H217" i="1" s="1"/>
  <c r="Q217" i="1" s="1"/>
  <c r="P249" i="1"/>
  <c r="I249" i="1"/>
  <c r="H249" i="1" s="1"/>
  <c r="Q249" i="1" s="1"/>
  <c r="P216" i="1"/>
  <c r="I216" i="1"/>
  <c r="H216" i="1" s="1"/>
  <c r="Q216" i="1" s="1"/>
  <c r="P252" i="1"/>
  <c r="I252" i="1"/>
  <c r="H252" i="1" s="1"/>
  <c r="Q252" i="1" s="1"/>
  <c r="P251" i="1"/>
  <c r="I251" i="1"/>
  <c r="H251" i="1" s="1"/>
  <c r="Q251" i="1" s="1"/>
  <c r="P215" i="1"/>
  <c r="I215" i="1"/>
  <c r="H215" i="1" s="1"/>
  <c r="Q215" i="1" s="1"/>
  <c r="P214" i="1"/>
  <c r="I214" i="1"/>
  <c r="H214" i="1" s="1"/>
  <c r="Q214" i="1" s="1"/>
  <c r="P256" i="1"/>
  <c r="I256" i="1"/>
  <c r="H256" i="1" s="1"/>
  <c r="Q256" i="1" s="1"/>
  <c r="P213" i="1"/>
  <c r="I213" i="1"/>
  <c r="H213" i="1" s="1"/>
  <c r="Q213" i="1" s="1"/>
  <c r="P212" i="1"/>
  <c r="I212" i="1"/>
  <c r="H212" i="1" s="1"/>
  <c r="Q212" i="1" s="1"/>
  <c r="P211" i="1"/>
  <c r="I211" i="1"/>
  <c r="H211" i="1" s="1"/>
  <c r="Q211" i="1" s="1"/>
  <c r="P210" i="1"/>
  <c r="I210" i="1"/>
  <c r="H210" i="1" s="1"/>
  <c r="Q210" i="1" s="1"/>
  <c r="P258" i="1"/>
  <c r="I258" i="1"/>
  <c r="H258" i="1" s="1"/>
  <c r="Q258" i="1" s="1"/>
  <c r="P47" i="1"/>
  <c r="I47" i="1"/>
  <c r="H47" i="1" s="1"/>
  <c r="Q47" i="1" s="1"/>
  <c r="P209" i="1"/>
  <c r="I209" i="1"/>
  <c r="H209" i="1" s="1"/>
  <c r="Q209" i="1" s="1"/>
  <c r="P208" i="1"/>
  <c r="I208" i="1"/>
  <c r="H208" i="1" s="1"/>
  <c r="Q208" i="1" s="1"/>
  <c r="P207" i="1"/>
  <c r="I207" i="1"/>
  <c r="H207" i="1" s="1"/>
  <c r="Q207" i="1" s="1"/>
  <c r="I206" i="1" l="1"/>
  <c r="I205" i="1"/>
  <c r="I204" i="1"/>
  <c r="I203" i="1"/>
  <c r="I202" i="1"/>
  <c r="I201" i="1"/>
  <c r="I200" i="1"/>
  <c r="I199" i="1"/>
  <c r="I198" i="1"/>
  <c r="I197" i="1"/>
  <c r="I46" i="1"/>
  <c r="I196" i="1"/>
  <c r="I195" i="1"/>
  <c r="I13" i="1"/>
  <c r="I194" i="1"/>
  <c r="I193" i="1"/>
  <c r="I192" i="1"/>
  <c r="I191" i="1"/>
  <c r="I190" i="1"/>
  <c r="I189" i="1"/>
  <c r="I188" i="1"/>
  <c r="I187" i="1"/>
  <c r="I186" i="1"/>
  <c r="I185" i="1"/>
  <c r="I184" i="1"/>
  <c r="I45" i="1"/>
  <c r="I183" i="1"/>
  <c r="I182" i="1"/>
  <c r="I181" i="1"/>
  <c r="I12" i="1"/>
  <c r="I180" i="1"/>
  <c r="I179" i="1"/>
  <c r="I178" i="1"/>
  <c r="I177" i="1"/>
  <c r="I176" i="1"/>
  <c r="I175" i="1"/>
  <c r="I11" i="1"/>
  <c r="I10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5" i="1"/>
  <c r="I137" i="1"/>
  <c r="I136" i="1"/>
  <c r="I135" i="1"/>
  <c r="I134" i="1"/>
  <c r="I133" i="1"/>
  <c r="I132" i="1"/>
  <c r="I131" i="1"/>
  <c r="I38" i="1"/>
  <c r="I130" i="1"/>
  <c r="I17" i="1"/>
  <c r="I129" i="1"/>
  <c r="I128" i="1"/>
  <c r="I127" i="1"/>
  <c r="I126" i="1"/>
  <c r="I125" i="1"/>
  <c r="I124" i="1"/>
  <c r="I123" i="1"/>
  <c r="I14" i="1"/>
  <c r="I122" i="1"/>
  <c r="I35" i="1"/>
  <c r="I9" i="1"/>
  <c r="I121" i="1"/>
  <c r="I120" i="1"/>
  <c r="I26" i="1"/>
  <c r="I119" i="1"/>
  <c r="I31" i="1"/>
  <c r="I118" i="1"/>
  <c r="I117" i="1"/>
  <c r="I116" i="1"/>
  <c r="I115" i="1"/>
  <c r="I30" i="1"/>
  <c r="I29" i="1"/>
  <c r="I114" i="1"/>
  <c r="I28" i="1"/>
  <c r="I113" i="1"/>
  <c r="I44" i="1"/>
  <c r="I112" i="1"/>
  <c r="I8" i="1"/>
  <c r="I27" i="1"/>
  <c r="I111" i="1"/>
  <c r="I110" i="1"/>
  <c r="I109" i="1"/>
  <c r="I108" i="1"/>
  <c r="I107" i="1"/>
  <c r="I106" i="1"/>
  <c r="I105" i="1"/>
  <c r="I24" i="1"/>
  <c r="I23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25" i="1"/>
  <c r="I86" i="1"/>
  <c r="I6" i="1"/>
  <c r="I85" i="1"/>
  <c r="I34" i="1"/>
  <c r="I84" i="1"/>
  <c r="I83" i="1"/>
  <c r="I36" i="1"/>
  <c r="I82" i="1"/>
  <c r="I81" i="1"/>
  <c r="I80" i="1"/>
  <c r="I16" i="1"/>
  <c r="I79" i="1"/>
  <c r="I78" i="1"/>
  <c r="I77" i="1"/>
  <c r="I76" i="1"/>
  <c r="I75" i="1"/>
  <c r="I42" i="1"/>
  <c r="I74" i="1"/>
  <c r="I73" i="1"/>
  <c r="I72" i="1"/>
  <c r="I71" i="1"/>
  <c r="I70" i="1"/>
  <c r="I69" i="1"/>
  <c r="I68" i="1"/>
  <c r="I41" i="1"/>
  <c r="I67" i="1"/>
  <c r="I66" i="1"/>
  <c r="I65" i="1"/>
  <c r="I64" i="1"/>
  <c r="I40" i="1"/>
  <c r="I63" i="1"/>
  <c r="I62" i="1"/>
  <c r="I61" i="1"/>
  <c r="I60" i="1"/>
  <c r="I59" i="1"/>
  <c r="I58" i="1"/>
  <c r="I39" i="1"/>
  <c r="I57" i="1"/>
  <c r="I18" i="1"/>
  <c r="I21" i="1"/>
  <c r="I20" i="1"/>
  <c r="I19" i="1"/>
  <c r="I56" i="1"/>
  <c r="I22" i="1"/>
  <c r="I55" i="1"/>
  <c r="I54" i="1"/>
  <c r="I7" i="1"/>
  <c r="I5" i="1"/>
  <c r="I4" i="1"/>
  <c r="I51" i="1"/>
  <c r="I50" i="1"/>
  <c r="I49" i="1"/>
  <c r="H49" i="1" l="1"/>
  <c r="CA375" i="1" l="1"/>
  <c r="CA374" i="1"/>
  <c r="CA373" i="1"/>
  <c r="CA372" i="1"/>
  <c r="CA371" i="1"/>
  <c r="CA370" i="1"/>
  <c r="CA369" i="1"/>
  <c r="CA368" i="1"/>
  <c r="CA367" i="1"/>
  <c r="CA366" i="1"/>
  <c r="CA365" i="1"/>
  <c r="CA364" i="1"/>
  <c r="CA363" i="1"/>
  <c r="CA362" i="1"/>
  <c r="CA361" i="1"/>
  <c r="CA360" i="1"/>
  <c r="CA359" i="1"/>
  <c r="CA358" i="1"/>
  <c r="CA357" i="1"/>
  <c r="CA356" i="1"/>
  <c r="CA355" i="1"/>
  <c r="CA354" i="1"/>
  <c r="CA353" i="1"/>
  <c r="CA352" i="1"/>
  <c r="CA351" i="1"/>
  <c r="CA350" i="1"/>
  <c r="CA349" i="1"/>
  <c r="CA348" i="1"/>
  <c r="CA347" i="1"/>
  <c r="CA346" i="1"/>
  <c r="CA345" i="1"/>
  <c r="CA344" i="1"/>
  <c r="CA343" i="1"/>
  <c r="CA342" i="1"/>
  <c r="CA341" i="1"/>
  <c r="CA340" i="1"/>
  <c r="CA339" i="1"/>
  <c r="CA338" i="1"/>
  <c r="CA337" i="1"/>
  <c r="CA336" i="1"/>
  <c r="CA335" i="1"/>
  <c r="CA334" i="1"/>
  <c r="CA333" i="1"/>
  <c r="CA332" i="1"/>
  <c r="CA331" i="1"/>
  <c r="CA330" i="1"/>
  <c r="CA329" i="1"/>
  <c r="CA328" i="1"/>
  <c r="CA327" i="1"/>
  <c r="CA326" i="1"/>
  <c r="CA325" i="1"/>
  <c r="CA324" i="1"/>
  <c r="CA323" i="1"/>
  <c r="CA322" i="1"/>
  <c r="CA321" i="1"/>
  <c r="CA320" i="1"/>
  <c r="CA319" i="1"/>
  <c r="CA318" i="1"/>
  <c r="CA317" i="1"/>
  <c r="CA316" i="1"/>
  <c r="CA315" i="1"/>
  <c r="CA314" i="1"/>
  <c r="CA313" i="1"/>
  <c r="CA312" i="1"/>
  <c r="CA311" i="1"/>
  <c r="CA310" i="1"/>
  <c r="CB2" i="1" l="1"/>
  <c r="A183" i="1" l="1"/>
  <c r="CA183" i="1" s="1"/>
  <c r="A182" i="1"/>
  <c r="CA182" i="1" s="1"/>
  <c r="A181" i="1"/>
  <c r="CA181" i="1" s="1"/>
  <c r="A12" i="1"/>
  <c r="CA12" i="1" s="1"/>
  <c r="A180" i="1"/>
  <c r="CA180" i="1" s="1"/>
  <c r="A179" i="1"/>
  <c r="CA179" i="1" s="1"/>
  <c r="A178" i="1"/>
  <c r="CA178" i="1" s="1"/>
  <c r="A177" i="1"/>
  <c r="CA177" i="1" s="1"/>
  <c r="A176" i="1"/>
  <c r="CA176" i="1" s="1"/>
  <c r="A175" i="1"/>
  <c r="CA175" i="1" s="1"/>
  <c r="A11" i="1"/>
  <c r="CA11" i="1" s="1"/>
  <c r="A10" i="1"/>
  <c r="CA10" i="1" s="1"/>
  <c r="A174" i="1"/>
  <c r="CA174" i="1" s="1"/>
  <c r="A173" i="1"/>
  <c r="CA173" i="1" s="1"/>
  <c r="A172" i="1"/>
  <c r="CA172" i="1" s="1"/>
  <c r="A171" i="1"/>
  <c r="CA171" i="1" s="1"/>
  <c r="A170" i="1"/>
  <c r="CA170" i="1" s="1"/>
  <c r="A169" i="1"/>
  <c r="CA169" i="1" s="1"/>
  <c r="A168" i="1"/>
  <c r="CA168" i="1" s="1"/>
  <c r="A167" i="1"/>
  <c r="CA167" i="1" s="1"/>
  <c r="A166" i="1"/>
  <c r="CA166" i="1" s="1"/>
  <c r="A165" i="1"/>
  <c r="CA165" i="1" s="1"/>
  <c r="A164" i="1"/>
  <c r="CA164" i="1" s="1"/>
  <c r="A163" i="1"/>
  <c r="CA163" i="1" s="1"/>
  <c r="A162" i="1"/>
  <c r="CA162" i="1" s="1"/>
  <c r="A161" i="1"/>
  <c r="CA161" i="1" s="1"/>
  <c r="A160" i="1"/>
  <c r="CA160" i="1" s="1"/>
  <c r="A159" i="1"/>
  <c r="CA159" i="1" s="1"/>
  <c r="A158" i="1"/>
  <c r="CA158" i="1" s="1"/>
  <c r="A157" i="1"/>
  <c r="CA157" i="1" s="1"/>
  <c r="A156" i="1"/>
  <c r="CA156" i="1" s="1"/>
  <c r="A155" i="1"/>
  <c r="CA155" i="1" s="1"/>
  <c r="A154" i="1"/>
  <c r="CA154" i="1" s="1"/>
  <c r="A153" i="1"/>
  <c r="CA153" i="1" s="1"/>
  <c r="A152" i="1"/>
  <c r="CA152" i="1" s="1"/>
  <c r="A151" i="1"/>
  <c r="CA151" i="1" s="1"/>
  <c r="A150" i="1"/>
  <c r="CA150" i="1" s="1"/>
  <c r="A149" i="1"/>
  <c r="CA149" i="1" s="1"/>
  <c r="A148" i="1"/>
  <c r="CA148" i="1" s="1"/>
  <c r="A147" i="1"/>
  <c r="CA147" i="1" s="1"/>
  <c r="A146" i="1"/>
  <c r="CA146" i="1" s="1"/>
  <c r="A145" i="1"/>
  <c r="CA145" i="1" s="1"/>
  <c r="A144" i="1"/>
  <c r="CA144" i="1" s="1"/>
  <c r="A143" i="1"/>
  <c r="CA143" i="1" s="1"/>
  <c r="A142" i="1"/>
  <c r="CA142" i="1" s="1"/>
  <c r="A141" i="1"/>
  <c r="CA141" i="1" s="1"/>
  <c r="A139" i="1"/>
  <c r="CA139" i="1" s="1"/>
  <c r="A138" i="1"/>
  <c r="CA138" i="1" s="1"/>
  <c r="A15" i="1"/>
  <c r="CA15" i="1" s="1"/>
  <c r="A137" i="1"/>
  <c r="CA137" i="1" s="1"/>
  <c r="A136" i="1"/>
  <c r="CA136" i="1" s="1"/>
  <c r="A135" i="1"/>
  <c r="CA135" i="1" s="1"/>
  <c r="A134" i="1"/>
  <c r="CA134" i="1" s="1"/>
  <c r="A133" i="1"/>
  <c r="CA133" i="1" s="1"/>
  <c r="A132" i="1"/>
  <c r="CA132" i="1" s="1"/>
  <c r="A131" i="1"/>
  <c r="CA131" i="1" s="1"/>
  <c r="A38" i="1"/>
  <c r="CA38" i="1" s="1"/>
  <c r="A130" i="1"/>
  <c r="CA130" i="1" s="1"/>
  <c r="A17" i="1"/>
  <c r="CA17" i="1" s="1"/>
  <c r="A129" i="1"/>
  <c r="CA129" i="1" s="1"/>
  <c r="A128" i="1"/>
  <c r="CA128" i="1" s="1"/>
  <c r="A127" i="1"/>
  <c r="CA127" i="1" s="1"/>
  <c r="A126" i="1"/>
  <c r="CA126" i="1" s="1"/>
  <c r="A125" i="1"/>
  <c r="CA125" i="1" s="1"/>
  <c r="A124" i="1"/>
  <c r="CA124" i="1" s="1"/>
  <c r="A123" i="1"/>
  <c r="CA123" i="1" s="1"/>
  <c r="A14" i="1"/>
  <c r="CA14" i="1" s="1"/>
  <c r="A122" i="1"/>
  <c r="CA122" i="1" s="1"/>
  <c r="A9" i="1"/>
  <c r="CA9" i="1" s="1"/>
  <c r="A121" i="1"/>
  <c r="CA121" i="1" s="1"/>
  <c r="A120" i="1"/>
  <c r="CA120" i="1" s="1"/>
  <c r="A26" i="1"/>
  <c r="CA26" i="1" s="1"/>
  <c r="A119" i="1"/>
  <c r="CA119" i="1" s="1"/>
  <c r="A31" i="1"/>
  <c r="CA31" i="1" s="1"/>
  <c r="A118" i="1"/>
  <c r="CA118" i="1" s="1"/>
  <c r="A117" i="1"/>
  <c r="CA117" i="1" s="1"/>
  <c r="A116" i="1"/>
  <c r="CA116" i="1" s="1"/>
  <c r="A115" i="1"/>
  <c r="CA115" i="1" s="1"/>
  <c r="A30" i="1"/>
  <c r="CA30" i="1" s="1"/>
  <c r="A114" i="1"/>
  <c r="CA114" i="1" s="1"/>
  <c r="A28" i="1"/>
  <c r="CA28" i="1" s="1"/>
  <c r="A113" i="1"/>
  <c r="CA113" i="1" s="1"/>
  <c r="A44" i="1"/>
  <c r="CA44" i="1" s="1"/>
  <c r="A112" i="1"/>
  <c r="CA112" i="1" s="1"/>
  <c r="A8" i="1"/>
  <c r="CA8" i="1" s="1"/>
  <c r="A27" i="1"/>
  <c r="CA27" i="1" s="1"/>
  <c r="A111" i="1"/>
  <c r="CA111" i="1" s="1"/>
  <c r="A110" i="1"/>
  <c r="CA110" i="1" s="1"/>
  <c r="A109" i="1"/>
  <c r="CA109" i="1" s="1"/>
  <c r="A108" i="1"/>
  <c r="CA108" i="1" s="1"/>
  <c r="A107" i="1"/>
  <c r="CA107" i="1" s="1"/>
  <c r="A106" i="1"/>
  <c r="CA106" i="1" s="1"/>
  <c r="A105" i="1"/>
  <c r="CA105" i="1" s="1"/>
  <c r="A24" i="1"/>
  <c r="CA24" i="1" s="1"/>
  <c r="A23" i="1"/>
  <c r="CA23" i="1" s="1"/>
  <c r="A104" i="1"/>
  <c r="CA104" i="1" s="1"/>
  <c r="A103" i="1"/>
  <c r="CA103" i="1" s="1"/>
  <c r="A102" i="1"/>
  <c r="CA102" i="1" s="1"/>
  <c r="A101" i="1"/>
  <c r="CA101" i="1" s="1"/>
  <c r="A100" i="1"/>
  <c r="CA100" i="1" s="1"/>
  <c r="A99" i="1"/>
  <c r="CA99" i="1" s="1"/>
  <c r="A98" i="1"/>
  <c r="CA98" i="1" s="1"/>
  <c r="A97" i="1"/>
  <c r="CA97" i="1" s="1"/>
  <c r="A96" i="1"/>
  <c r="CA96" i="1" s="1"/>
  <c r="A95" i="1"/>
  <c r="CA95" i="1" s="1"/>
  <c r="A94" i="1"/>
  <c r="CA94" i="1" s="1"/>
  <c r="A93" i="1"/>
  <c r="CA93" i="1" s="1"/>
  <c r="A92" i="1"/>
  <c r="CA92" i="1" s="1"/>
  <c r="A91" i="1"/>
  <c r="CA91" i="1" s="1"/>
  <c r="A90" i="1"/>
  <c r="CA90" i="1" s="1"/>
  <c r="A89" i="1"/>
  <c r="CA89" i="1" s="1"/>
  <c r="A88" i="1"/>
  <c r="CA88" i="1" s="1"/>
  <c r="A87" i="1"/>
  <c r="CA87" i="1" s="1"/>
  <c r="A86" i="1"/>
  <c r="CA86" i="1" s="1"/>
  <c r="A6" i="1"/>
  <c r="CA6" i="1" s="1"/>
  <c r="A85" i="1"/>
  <c r="CA85" i="1" s="1"/>
  <c r="A34" i="1"/>
  <c r="CA34" i="1" s="1"/>
  <c r="A84" i="1"/>
  <c r="CA84" i="1" s="1"/>
  <c r="A83" i="1"/>
  <c r="CA83" i="1" s="1"/>
  <c r="A36" i="1"/>
  <c r="CA36" i="1" s="1"/>
  <c r="A82" i="1"/>
  <c r="CA82" i="1" s="1"/>
  <c r="A81" i="1"/>
  <c r="CA81" i="1" s="1"/>
  <c r="A80" i="1"/>
  <c r="CA80" i="1" s="1"/>
  <c r="A16" i="1"/>
  <c r="CA16" i="1" s="1"/>
  <c r="A79" i="1"/>
  <c r="CA79" i="1" s="1"/>
  <c r="A78" i="1"/>
  <c r="CA78" i="1" s="1"/>
  <c r="A77" i="1"/>
  <c r="CA77" i="1" s="1"/>
  <c r="A76" i="1"/>
  <c r="CA76" i="1" s="1"/>
  <c r="A75" i="1"/>
  <c r="CA75" i="1" s="1"/>
  <c r="A42" i="1"/>
  <c r="CA42" i="1" s="1"/>
  <c r="A74" i="1"/>
  <c r="CA74" i="1" s="1"/>
  <c r="A73" i="1"/>
  <c r="CA73" i="1" s="1"/>
  <c r="A72" i="1"/>
  <c r="CA72" i="1" s="1"/>
  <c r="A71" i="1"/>
  <c r="CA71" i="1" s="1"/>
  <c r="A70" i="1"/>
  <c r="CA70" i="1" s="1"/>
  <c r="A69" i="1"/>
  <c r="CA69" i="1" s="1"/>
  <c r="A68" i="1"/>
  <c r="CA68" i="1" s="1"/>
  <c r="A41" i="1"/>
  <c r="CA41" i="1" s="1"/>
  <c r="A67" i="1"/>
  <c r="CA67" i="1" s="1"/>
  <c r="A66" i="1"/>
  <c r="CA66" i="1" s="1"/>
  <c r="A65" i="1"/>
  <c r="CA65" i="1" s="1"/>
  <c r="A64" i="1"/>
  <c r="CA64" i="1" s="1"/>
  <c r="A40" i="1"/>
  <c r="CA40" i="1" s="1"/>
  <c r="A63" i="1"/>
  <c r="CA63" i="1" s="1"/>
  <c r="A62" i="1"/>
  <c r="CA62" i="1" s="1"/>
  <c r="A61" i="1"/>
  <c r="CA61" i="1" s="1"/>
  <c r="A60" i="1"/>
  <c r="CA60" i="1" s="1"/>
  <c r="A59" i="1"/>
  <c r="CA59" i="1" s="1"/>
  <c r="A58" i="1"/>
  <c r="CA58" i="1" s="1"/>
  <c r="A39" i="1"/>
  <c r="CA39" i="1" s="1"/>
  <c r="A57" i="1"/>
  <c r="CA57" i="1" s="1"/>
  <c r="A18" i="1"/>
  <c r="CA18" i="1" s="1"/>
  <c r="A21" i="1"/>
  <c r="CA21" i="1" s="1"/>
  <c r="A20" i="1"/>
  <c r="CA20" i="1" s="1"/>
  <c r="A19" i="1"/>
  <c r="CA19" i="1" s="1"/>
  <c r="A56" i="1"/>
  <c r="CA56" i="1" s="1"/>
  <c r="A22" i="1"/>
  <c r="CA22" i="1" s="1"/>
  <c r="A55" i="1"/>
  <c r="CA55" i="1" s="1"/>
  <c r="A54" i="1"/>
  <c r="CA54" i="1" s="1"/>
  <c r="A7" i="1"/>
  <c r="CA7" i="1" s="1"/>
  <c r="A5" i="1"/>
  <c r="CA5" i="1" s="1"/>
  <c r="A4" i="1"/>
  <c r="CA4" i="1" s="1"/>
  <c r="A51" i="1"/>
  <c r="CA51" i="1" s="1"/>
  <c r="A50" i="1"/>
  <c r="CA50" i="1" s="1"/>
  <c r="A49" i="1"/>
  <c r="F49" i="1" l="1"/>
  <c r="CA49" i="1"/>
  <c r="F77" i="1"/>
  <c r="F101" i="1"/>
  <c r="F44" i="1"/>
  <c r="F136" i="1"/>
  <c r="F50" i="1"/>
  <c r="F65" i="1"/>
  <c r="F102" i="1"/>
  <c r="F113" i="1"/>
  <c r="F130" i="1"/>
  <c r="F152" i="1"/>
  <c r="F51" i="1"/>
  <c r="F4" i="1"/>
  <c r="F20" i="1"/>
  <c r="F61" i="1"/>
  <c r="F67" i="1"/>
  <c r="F74" i="1"/>
  <c r="F16" i="1"/>
  <c r="F84" i="1"/>
  <c r="F89" i="1"/>
  <c r="F96" i="1"/>
  <c r="F104" i="1"/>
  <c r="F110" i="1"/>
  <c r="F114" i="1"/>
  <c r="F26" i="1"/>
  <c r="F125" i="1"/>
  <c r="F131" i="1"/>
  <c r="F138" i="1"/>
  <c r="F146" i="1"/>
  <c r="F154" i="1"/>
  <c r="F162" i="1"/>
  <c r="F168" i="1"/>
  <c r="F11" i="1"/>
  <c r="F12" i="1"/>
  <c r="F22" i="1"/>
  <c r="F41" i="1"/>
  <c r="F23" i="1"/>
  <c r="F30" i="1"/>
  <c r="F120" i="1"/>
  <c r="F126" i="1"/>
  <c r="F132" i="1"/>
  <c r="F139" i="1"/>
  <c r="F147" i="1"/>
  <c r="F155" i="1"/>
  <c r="F163" i="1"/>
  <c r="F169" i="1"/>
  <c r="F181" i="1"/>
  <c r="F5" i="1"/>
  <c r="F42" i="1"/>
  <c r="F97" i="1"/>
  <c r="F62" i="1"/>
  <c r="F85" i="1"/>
  <c r="F27" i="1"/>
  <c r="F148" i="1"/>
  <c r="F34" i="1"/>
  <c r="F111" i="1"/>
  <c r="F18" i="1"/>
  <c r="F75" i="1"/>
  <c r="F91" i="1"/>
  <c r="F24" i="1"/>
  <c r="F121" i="1"/>
  <c r="F133" i="1"/>
  <c r="F156" i="1"/>
  <c r="F170" i="1"/>
  <c r="F182" i="1"/>
  <c r="F54" i="1"/>
  <c r="F57" i="1"/>
  <c r="F63" i="1"/>
  <c r="F69" i="1"/>
  <c r="F76" i="1"/>
  <c r="F82" i="1"/>
  <c r="F6" i="1"/>
  <c r="F92" i="1"/>
  <c r="F99" i="1"/>
  <c r="F105" i="1"/>
  <c r="F8" i="1"/>
  <c r="F116" i="1"/>
  <c r="F9" i="1"/>
  <c r="F128" i="1"/>
  <c r="F134" i="1"/>
  <c r="F142" i="1"/>
  <c r="F149" i="1"/>
  <c r="F157" i="1"/>
  <c r="F165" i="1"/>
  <c r="F171" i="1"/>
  <c r="F176" i="1"/>
  <c r="F183" i="1"/>
  <c r="F21" i="1"/>
  <c r="F80" i="1"/>
  <c r="F90" i="1"/>
  <c r="F7" i="1"/>
  <c r="F68" i="1"/>
  <c r="F81" i="1"/>
  <c r="F98" i="1"/>
  <c r="F115" i="1"/>
  <c r="F127" i="1"/>
  <c r="F141" i="1"/>
  <c r="F164" i="1"/>
  <c r="F175" i="1"/>
  <c r="F55" i="1"/>
  <c r="F39" i="1"/>
  <c r="F40" i="1"/>
  <c r="F70" i="1"/>
  <c r="F36" i="1"/>
  <c r="F86" i="1"/>
  <c r="F93" i="1"/>
  <c r="F100" i="1"/>
  <c r="F106" i="1"/>
  <c r="F112" i="1"/>
  <c r="F117" i="1"/>
  <c r="F122" i="1"/>
  <c r="F129" i="1"/>
  <c r="F135" i="1"/>
  <c r="F143" i="1"/>
  <c r="F150" i="1"/>
  <c r="F158" i="1"/>
  <c r="F166" i="1"/>
  <c r="F172" i="1"/>
  <c r="F177" i="1"/>
  <c r="F64" i="1"/>
  <c r="F14" i="1"/>
  <c r="F144" i="1"/>
  <c r="F173" i="1"/>
  <c r="F178" i="1"/>
  <c r="F71" i="1"/>
  <c r="F87" i="1"/>
  <c r="F118" i="1"/>
  <c r="F151" i="1"/>
  <c r="F56" i="1"/>
  <c r="F72" i="1"/>
  <c r="F88" i="1"/>
  <c r="F31" i="1"/>
  <c r="F137" i="1"/>
  <c r="F145" i="1"/>
  <c r="F174" i="1"/>
  <c r="F179" i="1"/>
  <c r="F58" i="1"/>
  <c r="F107" i="1"/>
  <c r="F17" i="1"/>
  <c r="F159" i="1"/>
  <c r="F59" i="1"/>
  <c r="F78" i="1"/>
  <c r="F94" i="1"/>
  <c r="F108" i="1"/>
  <c r="F123" i="1"/>
  <c r="F160" i="1"/>
  <c r="F19" i="1"/>
  <c r="F60" i="1"/>
  <c r="F66" i="1"/>
  <c r="F73" i="1"/>
  <c r="F79" i="1"/>
  <c r="F83" i="1"/>
  <c r="F95" i="1"/>
  <c r="F103" i="1"/>
  <c r="F109" i="1"/>
  <c r="F28" i="1"/>
  <c r="F119" i="1"/>
  <c r="F124" i="1"/>
  <c r="F38" i="1"/>
  <c r="F15" i="1"/>
  <c r="F153" i="1"/>
  <c r="F161" i="1"/>
  <c r="F167" i="1"/>
  <c r="F10" i="1"/>
  <c r="F180" i="1"/>
  <c r="H51" i="1"/>
  <c r="Q51" i="1" s="1"/>
  <c r="H50" i="1"/>
  <c r="Q50" i="1" s="1"/>
  <c r="CB50" i="1"/>
  <c r="CB51" i="1"/>
  <c r="B535" i="5" l="1"/>
  <c r="B534" i="5"/>
  <c r="B533" i="5"/>
  <c r="B532" i="5"/>
  <c r="B531" i="5"/>
  <c r="B530" i="5"/>
  <c r="B960" i="5"/>
  <c r="B959" i="5"/>
  <c r="B958" i="5"/>
  <c r="B957" i="5"/>
  <c r="B956" i="5"/>
  <c r="B955" i="5"/>
  <c r="B954" i="5"/>
  <c r="B953" i="5"/>
  <c r="B952" i="5"/>
  <c r="B951" i="5"/>
  <c r="B950" i="5"/>
  <c r="B949" i="5"/>
  <c r="B948" i="5"/>
  <c r="B947" i="5"/>
  <c r="B946" i="5"/>
  <c r="B945" i="5"/>
  <c r="B944" i="5"/>
  <c r="B943" i="5"/>
  <c r="B942" i="5"/>
  <c r="B941" i="5"/>
  <c r="B940" i="5"/>
  <c r="B939" i="5"/>
  <c r="B938" i="5"/>
  <c r="B937" i="5"/>
  <c r="B936" i="5"/>
  <c r="B935" i="5"/>
  <c r="B934" i="5"/>
  <c r="B933" i="5"/>
  <c r="B932" i="5"/>
  <c r="B931" i="5"/>
  <c r="B930" i="5"/>
  <c r="B929" i="5"/>
  <c r="B928" i="5"/>
  <c r="B927" i="5"/>
  <c r="B926" i="5"/>
  <c r="B925" i="5"/>
  <c r="B924" i="5"/>
  <c r="B923" i="5"/>
  <c r="B922" i="5"/>
  <c r="B921" i="5"/>
  <c r="B920" i="5"/>
  <c r="B919" i="5"/>
  <c r="B918" i="5"/>
  <c r="B917" i="5"/>
  <c r="B916" i="5"/>
  <c r="B915" i="5"/>
  <c r="B914" i="5"/>
  <c r="B913" i="5"/>
  <c r="B912" i="5"/>
  <c r="B911" i="5"/>
  <c r="B910" i="5"/>
  <c r="B909" i="5"/>
  <c r="B908" i="5"/>
  <c r="B907" i="5"/>
  <c r="B906" i="5"/>
  <c r="B905" i="5"/>
  <c r="B904" i="5"/>
  <c r="B903" i="5"/>
  <c r="B902" i="5"/>
  <c r="B901" i="5"/>
  <c r="B900" i="5"/>
  <c r="B899" i="5"/>
  <c r="B898" i="5"/>
  <c r="B897" i="5"/>
  <c r="B896" i="5"/>
  <c r="B895" i="5"/>
  <c r="B894" i="5"/>
  <c r="B893" i="5"/>
  <c r="B892" i="5"/>
  <c r="B891" i="5"/>
  <c r="B890" i="5"/>
  <c r="B889" i="5"/>
  <c r="B888" i="5"/>
  <c r="B887" i="5"/>
  <c r="B886" i="5"/>
  <c r="B885" i="5"/>
  <c r="B884" i="5"/>
  <c r="B883" i="5"/>
  <c r="B882" i="5"/>
  <c r="B881" i="5"/>
  <c r="B880" i="5"/>
  <c r="B879" i="5"/>
  <c r="B878" i="5"/>
  <c r="B877" i="5"/>
  <c r="B876" i="5"/>
  <c r="B875" i="5"/>
  <c r="B874" i="5"/>
  <c r="B873" i="5"/>
  <c r="B872" i="5"/>
  <c r="B871" i="5"/>
  <c r="B870" i="5"/>
  <c r="B869" i="5"/>
  <c r="B868" i="5"/>
  <c r="B867" i="5"/>
  <c r="B866" i="5"/>
  <c r="B865" i="5"/>
  <c r="B864" i="5"/>
  <c r="B863" i="5"/>
  <c r="B862" i="5"/>
  <c r="B861" i="5"/>
  <c r="B860" i="5"/>
  <c r="B859" i="5"/>
  <c r="B858" i="5"/>
  <c r="B857" i="5"/>
  <c r="B856" i="5"/>
  <c r="B855" i="5"/>
  <c r="B854" i="5"/>
  <c r="B853" i="5"/>
  <c r="B852" i="5"/>
  <c r="B851" i="5"/>
  <c r="B850" i="5"/>
  <c r="B849" i="5"/>
  <c r="B848" i="5"/>
  <c r="B847" i="5"/>
  <c r="B846" i="5"/>
  <c r="B845" i="5"/>
  <c r="B844" i="5"/>
  <c r="B843" i="5"/>
  <c r="B842" i="5"/>
  <c r="B841" i="5"/>
  <c r="B840" i="5"/>
  <c r="B839" i="5"/>
  <c r="B838" i="5"/>
  <c r="B837" i="5"/>
  <c r="B836" i="5"/>
  <c r="B835" i="5"/>
  <c r="B834" i="5"/>
  <c r="B833" i="5"/>
  <c r="B832" i="5"/>
  <c r="B831" i="5"/>
  <c r="B830" i="5"/>
  <c r="B829" i="5"/>
  <c r="B828" i="5"/>
  <c r="B827" i="5"/>
  <c r="B826" i="5"/>
  <c r="B825" i="5"/>
  <c r="B824" i="5"/>
  <c r="B823" i="5"/>
  <c r="B822" i="5"/>
  <c r="B821" i="5"/>
  <c r="B820" i="5"/>
  <c r="B819" i="5"/>
  <c r="B818" i="5"/>
  <c r="B817" i="5"/>
  <c r="B816" i="5"/>
  <c r="B815" i="5"/>
  <c r="B814" i="5"/>
  <c r="B813" i="5"/>
  <c r="B812" i="5"/>
  <c r="B811" i="5"/>
  <c r="B810" i="5"/>
  <c r="B809" i="5"/>
  <c r="B808" i="5"/>
  <c r="B807" i="5"/>
  <c r="B806" i="5"/>
  <c r="B805" i="5"/>
  <c r="B804" i="5"/>
  <c r="B803" i="5"/>
  <c r="B802" i="5"/>
  <c r="B801" i="5"/>
  <c r="B800" i="5"/>
  <c r="B799" i="5"/>
  <c r="B798" i="5"/>
  <c r="B797" i="5"/>
  <c r="B796" i="5"/>
  <c r="B795" i="5"/>
  <c r="B794" i="5"/>
  <c r="B793" i="5"/>
  <c r="B792" i="5"/>
  <c r="B791" i="5"/>
  <c r="B790" i="5"/>
  <c r="B789" i="5"/>
  <c r="B788" i="5"/>
  <c r="B787" i="5"/>
  <c r="B786" i="5"/>
  <c r="B785" i="5"/>
  <c r="B784" i="5"/>
  <c r="B783" i="5"/>
  <c r="B782" i="5"/>
  <c r="B781" i="5"/>
  <c r="B780" i="5"/>
  <c r="B779" i="5"/>
  <c r="B778" i="5"/>
  <c r="B777" i="5"/>
  <c r="B776" i="5"/>
  <c r="B775" i="5"/>
  <c r="B774" i="5"/>
  <c r="B773" i="5"/>
  <c r="B772" i="5"/>
  <c r="B771" i="5"/>
  <c r="B770" i="5"/>
  <c r="B769" i="5"/>
  <c r="B768" i="5"/>
  <c r="B767" i="5"/>
  <c r="B766" i="5"/>
  <c r="B765" i="5"/>
  <c r="B764" i="5"/>
  <c r="B763" i="5"/>
  <c r="B762" i="5"/>
  <c r="B761" i="5"/>
  <c r="B760" i="5"/>
  <c r="B759" i="5"/>
  <c r="B758" i="5"/>
  <c r="B757" i="5"/>
  <c r="B756" i="5"/>
  <c r="B755" i="5"/>
  <c r="B754" i="5"/>
  <c r="B753" i="5"/>
  <c r="B752" i="5"/>
  <c r="B751" i="5"/>
  <c r="B750" i="5"/>
  <c r="B749" i="5"/>
  <c r="B748" i="5"/>
  <c r="B747" i="5"/>
  <c r="B746" i="5"/>
  <c r="B745" i="5"/>
  <c r="B744" i="5"/>
  <c r="B743" i="5"/>
  <c r="B742" i="5"/>
  <c r="B741" i="5"/>
  <c r="B740" i="5"/>
  <c r="B739" i="5"/>
  <c r="B738" i="5"/>
  <c r="B737" i="5"/>
  <c r="B736" i="5"/>
  <c r="B735" i="5"/>
  <c r="B734" i="5"/>
  <c r="B733" i="5"/>
  <c r="B732" i="5"/>
  <c r="B731" i="5"/>
  <c r="B730" i="5"/>
  <c r="B729" i="5"/>
  <c r="B728" i="5"/>
  <c r="B727" i="5"/>
  <c r="B726" i="5"/>
  <c r="B725" i="5"/>
  <c r="B724" i="5"/>
  <c r="B723" i="5"/>
  <c r="B722" i="5"/>
  <c r="B721" i="5"/>
  <c r="B720" i="5"/>
  <c r="B719" i="5"/>
  <c r="B718" i="5"/>
  <c r="B717" i="5"/>
  <c r="B716" i="5"/>
  <c r="B715" i="5"/>
  <c r="B714" i="5"/>
  <c r="B713" i="5"/>
  <c r="B712" i="5"/>
  <c r="B711" i="5"/>
  <c r="B710" i="5"/>
  <c r="B709" i="5"/>
  <c r="B708" i="5"/>
  <c r="B707" i="5"/>
  <c r="B706" i="5"/>
  <c r="B705" i="5"/>
  <c r="B704" i="5"/>
  <c r="B703" i="5"/>
  <c r="B702" i="5"/>
  <c r="B701" i="5"/>
  <c r="B700" i="5"/>
  <c r="B699" i="5"/>
  <c r="B698" i="5"/>
  <c r="B697" i="5"/>
  <c r="B696" i="5"/>
  <c r="B695" i="5"/>
  <c r="B694" i="5"/>
  <c r="B693" i="5"/>
  <c r="B692" i="5"/>
  <c r="B691" i="5"/>
  <c r="B690" i="5"/>
  <c r="B689" i="5"/>
  <c r="B688" i="5"/>
  <c r="B687" i="5"/>
  <c r="B686" i="5"/>
  <c r="B685" i="5"/>
  <c r="B684" i="5"/>
  <c r="B683" i="5"/>
  <c r="B682" i="5"/>
  <c r="B681" i="5"/>
  <c r="B680" i="5"/>
  <c r="B679" i="5"/>
  <c r="B678" i="5"/>
  <c r="B677" i="5"/>
  <c r="B676" i="5"/>
  <c r="B675" i="5"/>
  <c r="B674" i="5"/>
  <c r="B673" i="5"/>
  <c r="B672" i="5"/>
  <c r="B671" i="5"/>
  <c r="B670" i="5"/>
  <c r="B669" i="5"/>
  <c r="B668" i="5"/>
  <c r="B667" i="5"/>
  <c r="B666" i="5"/>
  <c r="B665" i="5"/>
  <c r="B664" i="5"/>
  <c r="B663" i="5"/>
  <c r="B662" i="5"/>
  <c r="B661" i="5"/>
  <c r="B660" i="5"/>
  <c r="B659" i="5"/>
  <c r="B658" i="5"/>
  <c r="B657" i="5"/>
  <c r="B656" i="5"/>
  <c r="B655" i="5"/>
  <c r="B654" i="5"/>
  <c r="B653" i="5"/>
  <c r="B652" i="5"/>
  <c r="B651" i="5"/>
  <c r="B650" i="5"/>
  <c r="B649" i="5"/>
  <c r="B648" i="5"/>
  <c r="B647" i="5"/>
  <c r="B646" i="5"/>
  <c r="B645" i="5"/>
  <c r="B644" i="5"/>
  <c r="B643" i="5"/>
  <c r="B642" i="5"/>
  <c r="B641" i="5"/>
  <c r="B640" i="5"/>
  <c r="B639" i="5"/>
  <c r="B638" i="5"/>
  <c r="B637" i="5"/>
  <c r="B636" i="5"/>
  <c r="B635" i="5"/>
  <c r="B634" i="5"/>
  <c r="B633" i="5"/>
  <c r="B632" i="5"/>
  <c r="B631" i="5"/>
  <c r="B630" i="5"/>
  <c r="B629" i="5"/>
  <c r="B628" i="5"/>
  <c r="B627" i="5"/>
  <c r="B626" i="5"/>
  <c r="B625" i="5"/>
  <c r="B624" i="5"/>
  <c r="B623" i="5"/>
  <c r="B622" i="5"/>
  <c r="B621" i="5"/>
  <c r="B620" i="5"/>
  <c r="B619" i="5"/>
  <c r="B618" i="5"/>
  <c r="B617" i="5"/>
  <c r="B616" i="5"/>
  <c r="B615" i="5"/>
  <c r="B614" i="5"/>
  <c r="B613" i="5"/>
  <c r="B612" i="5"/>
  <c r="B611" i="5"/>
  <c r="B610" i="5"/>
  <c r="B609" i="5"/>
  <c r="B608" i="5"/>
  <c r="B607" i="5"/>
  <c r="B606" i="5"/>
  <c r="B605" i="5"/>
  <c r="B604" i="5"/>
  <c r="B603" i="5"/>
  <c r="B602" i="5"/>
  <c r="B601" i="5"/>
  <c r="B600" i="5"/>
  <c r="B599" i="5"/>
  <c r="B598" i="5"/>
  <c r="B597" i="5"/>
  <c r="B596" i="5"/>
  <c r="B595" i="5"/>
  <c r="B594" i="5"/>
  <c r="B593" i="5"/>
  <c r="B592" i="5"/>
  <c r="B591" i="5"/>
  <c r="B590" i="5"/>
  <c r="B589" i="5"/>
  <c r="B588" i="5"/>
  <c r="B587" i="5"/>
  <c r="B586" i="5"/>
  <c r="B585" i="5"/>
  <c r="B584" i="5"/>
  <c r="B583" i="5"/>
  <c r="B582" i="5"/>
  <c r="B581" i="5"/>
  <c r="B580" i="5"/>
  <c r="B579" i="5"/>
  <c r="B578" i="5"/>
  <c r="B577" i="5"/>
  <c r="B576" i="5"/>
  <c r="B575" i="5"/>
  <c r="B574" i="5"/>
  <c r="B573" i="5"/>
  <c r="B572" i="5"/>
  <c r="B571" i="5"/>
  <c r="B570" i="5"/>
  <c r="B569" i="5"/>
  <c r="B568" i="5"/>
  <c r="B567" i="5"/>
  <c r="B566" i="5"/>
  <c r="B565" i="5"/>
  <c r="B564" i="5"/>
  <c r="B563" i="5"/>
  <c r="B562" i="5"/>
  <c r="B561" i="5"/>
  <c r="B560" i="5"/>
  <c r="B559" i="5"/>
  <c r="B558" i="5"/>
  <c r="B557" i="5"/>
  <c r="B556" i="5"/>
  <c r="B555" i="5"/>
  <c r="B554" i="5"/>
  <c r="B553" i="5"/>
  <c r="B552" i="5"/>
  <c r="B551" i="5"/>
  <c r="B550" i="5"/>
  <c r="B549" i="5"/>
  <c r="B548" i="5"/>
  <c r="B547" i="5"/>
  <c r="B546" i="5"/>
  <c r="B545" i="5"/>
  <c r="B544" i="5"/>
  <c r="B543" i="5"/>
  <c r="B542" i="5"/>
  <c r="B541" i="5"/>
  <c r="B540" i="5"/>
  <c r="B539" i="5"/>
  <c r="B538" i="5"/>
  <c r="B537" i="5"/>
  <c r="B529" i="5"/>
  <c r="B528" i="5"/>
  <c r="B527" i="5"/>
  <c r="B526" i="5"/>
  <c r="B525" i="5"/>
  <c r="B524" i="5"/>
  <c r="B523" i="5"/>
  <c r="B521" i="5"/>
  <c r="B520" i="5"/>
  <c r="B519" i="5"/>
  <c r="B518" i="5"/>
  <c r="B517" i="5"/>
  <c r="B516" i="5"/>
  <c r="B515" i="5"/>
  <c r="B514" i="5"/>
  <c r="B513" i="5"/>
  <c r="B511" i="5" l="1"/>
  <c r="B510" i="5"/>
  <c r="B509" i="5"/>
  <c r="B508" i="5"/>
  <c r="B507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I2" i="5"/>
  <c r="H206" i="1" l="1"/>
  <c r="H205" i="1"/>
  <c r="H204" i="1"/>
  <c r="H203" i="1"/>
  <c r="H202" i="1"/>
  <c r="H201" i="1"/>
  <c r="H200" i="1"/>
  <c r="H199" i="1"/>
  <c r="H198" i="1"/>
  <c r="H197" i="1"/>
  <c r="H46" i="1"/>
  <c r="H196" i="1"/>
  <c r="H195" i="1"/>
  <c r="H13" i="1"/>
  <c r="H194" i="1"/>
  <c r="H193" i="1"/>
  <c r="H192" i="1"/>
  <c r="H191" i="1"/>
  <c r="H190" i="1"/>
  <c r="H189" i="1"/>
  <c r="H188" i="1"/>
  <c r="H187" i="1"/>
  <c r="H186" i="1"/>
  <c r="H185" i="1"/>
  <c r="H184" i="1"/>
  <c r="H45" i="1"/>
  <c r="H25" i="1"/>
  <c r="H140" i="1"/>
  <c r="P206" i="1" l="1"/>
  <c r="P205" i="1"/>
  <c r="P204" i="1"/>
  <c r="P203" i="1"/>
  <c r="P202" i="1"/>
  <c r="P201" i="1"/>
  <c r="P200" i="1"/>
  <c r="P199" i="1"/>
  <c r="P198" i="1"/>
  <c r="P197" i="1"/>
  <c r="P46" i="1"/>
  <c r="P196" i="1"/>
  <c r="P195" i="1"/>
  <c r="P13" i="1"/>
  <c r="P194" i="1"/>
  <c r="P193" i="1"/>
  <c r="P192" i="1"/>
  <c r="P191" i="1"/>
  <c r="P190" i="1"/>
  <c r="P189" i="1"/>
  <c r="P188" i="1"/>
  <c r="P187" i="1"/>
  <c r="P186" i="1"/>
  <c r="P185" i="1"/>
  <c r="P184" i="1"/>
  <c r="P45" i="1"/>
  <c r="P25" i="1"/>
  <c r="P140" i="1"/>
  <c r="P35" i="1" l="1"/>
  <c r="P29" i="1"/>
  <c r="Q206" i="1"/>
  <c r="Q205" i="1"/>
  <c r="Q204" i="1"/>
  <c r="Q203" i="1"/>
  <c r="Q202" i="1"/>
  <c r="Q201" i="1"/>
  <c r="Q200" i="1"/>
  <c r="Q199" i="1"/>
  <c r="Q198" i="1"/>
  <c r="Q197" i="1"/>
  <c r="Q46" i="1"/>
  <c r="Q196" i="1"/>
  <c r="Q195" i="1"/>
  <c r="Q13" i="1"/>
  <c r="Q194" i="1"/>
  <c r="Q193" i="1"/>
  <c r="Q192" i="1"/>
  <c r="Q191" i="1"/>
  <c r="Q190" i="1"/>
  <c r="Q189" i="1"/>
  <c r="Q188" i="1"/>
  <c r="Q187" i="1"/>
  <c r="Q186" i="1"/>
  <c r="Q185" i="1"/>
  <c r="Q184" i="1"/>
  <c r="Q45" i="1"/>
  <c r="Q25" i="1"/>
  <c r="Q140" i="1"/>
  <c r="B35" i="1"/>
  <c r="O35" i="1"/>
  <c r="O224" i="1"/>
  <c r="O248" i="1"/>
  <c r="O217" i="1"/>
  <c r="O249" i="1"/>
  <c r="O251" i="1"/>
  <c r="O213" i="1"/>
  <c r="O212" i="1"/>
  <c r="O211" i="1"/>
  <c r="O210" i="1"/>
  <c r="O258" i="1"/>
  <c r="B45" i="1"/>
  <c r="CB316" i="1"/>
  <c r="CB315" i="1"/>
  <c r="CB314" i="1"/>
  <c r="CB313" i="1"/>
  <c r="CB312" i="1"/>
  <c r="CB311" i="1"/>
  <c r="CB310" i="1"/>
  <c r="CB309" i="1"/>
  <c r="CB308" i="1"/>
  <c r="CB307" i="1"/>
  <c r="CB306" i="1"/>
  <c r="CB305" i="1"/>
  <c r="CB304" i="1"/>
  <c r="CB303" i="1"/>
  <c r="CB302" i="1"/>
  <c r="CB301" i="1"/>
  <c r="CB300" i="1"/>
  <c r="CB299" i="1"/>
  <c r="CB298" i="1"/>
  <c r="CB297" i="1"/>
  <c r="CB296" i="1"/>
  <c r="CB295" i="1"/>
  <c r="CB294" i="1"/>
  <c r="CB293" i="1"/>
  <c r="CB292" i="1"/>
  <c r="CB291" i="1"/>
  <c r="CB290" i="1"/>
  <c r="CB289" i="1"/>
  <c r="CB288" i="1"/>
  <c r="CB287" i="1"/>
  <c r="CB286" i="1"/>
  <c r="CB285" i="1"/>
  <c r="CB284" i="1"/>
  <c r="CB283" i="1"/>
  <c r="CB282" i="1"/>
  <c r="CB281" i="1"/>
  <c r="CB280" i="1"/>
  <c r="CB279" i="1"/>
  <c r="CB278" i="1"/>
  <c r="CB277" i="1"/>
  <c r="CB276" i="1"/>
  <c r="CB275" i="1"/>
  <c r="CB274" i="1"/>
  <c r="CB273" i="1"/>
  <c r="CB272" i="1"/>
  <c r="CB271" i="1"/>
  <c r="CB270" i="1"/>
  <c r="CB269" i="1"/>
  <c r="CB268" i="1"/>
  <c r="CB267" i="1"/>
  <c r="CB266" i="1"/>
  <c r="CB265" i="1"/>
  <c r="CB264" i="1"/>
  <c r="CB263" i="1"/>
  <c r="CB262" i="1"/>
  <c r="C401" i="1"/>
  <c r="H29" i="1"/>
  <c r="Q29" i="1" s="1"/>
  <c r="H35" i="1"/>
  <c r="Q35" i="1" s="1"/>
  <c r="H126" i="1"/>
  <c r="Q126" i="1" s="1"/>
  <c r="H183" i="1"/>
  <c r="Q183" i="1" s="1"/>
  <c r="H182" i="1"/>
  <c r="Q182" i="1" s="1"/>
  <c r="H181" i="1"/>
  <c r="Q181" i="1" s="1"/>
  <c r="H12" i="1"/>
  <c r="Q12" i="1" s="1"/>
  <c r="H180" i="1"/>
  <c r="Q180" i="1" s="1"/>
  <c r="H179" i="1"/>
  <c r="Q179" i="1" s="1"/>
  <c r="H178" i="1"/>
  <c r="Q178" i="1" s="1"/>
  <c r="H177" i="1"/>
  <c r="Q177" i="1" s="1"/>
  <c r="H176" i="1"/>
  <c r="Q176" i="1" s="1"/>
  <c r="H175" i="1"/>
  <c r="Q175" i="1" s="1"/>
  <c r="H10" i="1"/>
  <c r="Q10" i="1" s="1"/>
  <c r="H174" i="1"/>
  <c r="Q174" i="1" s="1"/>
  <c r="H173" i="1"/>
  <c r="Q173" i="1" s="1"/>
  <c r="H172" i="1"/>
  <c r="Q172" i="1" s="1"/>
  <c r="H171" i="1"/>
  <c r="Q171" i="1" s="1"/>
  <c r="H170" i="1"/>
  <c r="Q170" i="1" s="1"/>
  <c r="H169" i="1"/>
  <c r="Q169" i="1" s="1"/>
  <c r="H168" i="1"/>
  <c r="Q168" i="1" s="1"/>
  <c r="H167" i="1"/>
  <c r="Q167" i="1" s="1"/>
  <c r="H166" i="1"/>
  <c r="Q166" i="1" s="1"/>
  <c r="H165" i="1"/>
  <c r="Q165" i="1" s="1"/>
  <c r="H164" i="1"/>
  <c r="Q164" i="1" s="1"/>
  <c r="H163" i="1"/>
  <c r="Q163" i="1" s="1"/>
  <c r="H161" i="1"/>
  <c r="Q161" i="1" s="1"/>
  <c r="H160" i="1"/>
  <c r="Q160" i="1" s="1"/>
  <c r="H158" i="1"/>
  <c r="Q158" i="1" s="1"/>
  <c r="H157" i="1"/>
  <c r="Q157" i="1" s="1"/>
  <c r="Q156" i="1"/>
  <c r="H155" i="1"/>
  <c r="Q155" i="1" s="1"/>
  <c r="H154" i="1"/>
  <c r="Q154" i="1" s="1"/>
  <c r="H153" i="1"/>
  <c r="Q153" i="1" s="1"/>
  <c r="H152" i="1"/>
  <c r="Q152" i="1" s="1"/>
  <c r="H151" i="1"/>
  <c r="Q151" i="1" s="1"/>
  <c r="H149" i="1"/>
  <c r="Q149" i="1" s="1"/>
  <c r="H148" i="1"/>
  <c r="Q148" i="1" s="1"/>
  <c r="H147" i="1"/>
  <c r="Q147" i="1" s="1"/>
  <c r="H145" i="1"/>
  <c r="Q145" i="1" s="1"/>
  <c r="H144" i="1"/>
  <c r="Q144" i="1" s="1"/>
  <c r="H143" i="1"/>
  <c r="Q143" i="1" s="1"/>
  <c r="H142" i="1"/>
  <c r="Q142" i="1" s="1"/>
  <c r="H141" i="1"/>
  <c r="Q141" i="1" s="1"/>
  <c r="Q49" i="1"/>
  <c r="H139" i="1"/>
  <c r="Q139" i="1" s="1"/>
  <c r="H138" i="1"/>
  <c r="Q138" i="1" s="1"/>
  <c r="H15" i="1"/>
  <c r="Q15" i="1" s="1"/>
  <c r="H136" i="1"/>
  <c r="Q136" i="1" s="1"/>
  <c r="H135" i="1"/>
  <c r="Q135" i="1" s="1"/>
  <c r="H134" i="1"/>
  <c r="Q134" i="1" s="1"/>
  <c r="H133" i="1"/>
  <c r="Q133" i="1" s="1"/>
  <c r="H132" i="1"/>
  <c r="Q132" i="1" s="1"/>
  <c r="H131" i="1"/>
  <c r="Q131" i="1" s="1"/>
  <c r="H38" i="1"/>
  <c r="Q38" i="1" s="1"/>
  <c r="H130" i="1"/>
  <c r="Q130" i="1" s="1"/>
  <c r="H17" i="1"/>
  <c r="Q17" i="1" s="1"/>
  <c r="H129" i="1"/>
  <c r="Q129" i="1" s="1"/>
  <c r="H128" i="1"/>
  <c r="Q128" i="1" s="1"/>
  <c r="H127" i="1"/>
  <c r="Q127" i="1" s="1"/>
  <c r="H124" i="1"/>
  <c r="Q124" i="1" s="1"/>
  <c r="H123" i="1"/>
  <c r="Q123" i="1" s="1"/>
  <c r="H122" i="1"/>
  <c r="Q122" i="1" s="1"/>
  <c r="H9" i="1"/>
  <c r="Q9" i="1" s="1"/>
  <c r="H121" i="1"/>
  <c r="Q121" i="1" s="1"/>
  <c r="H120" i="1"/>
  <c r="Q120" i="1" s="1"/>
  <c r="H26" i="1"/>
  <c r="Q26" i="1" s="1"/>
  <c r="H119" i="1"/>
  <c r="Q119" i="1" s="1"/>
  <c r="H31" i="1"/>
  <c r="Q31" i="1" s="1"/>
  <c r="H118" i="1"/>
  <c r="Q118" i="1" s="1"/>
  <c r="H116" i="1"/>
  <c r="Q116" i="1" s="1"/>
  <c r="H115" i="1"/>
  <c r="Q115" i="1" s="1"/>
  <c r="H30" i="1"/>
  <c r="Q30" i="1" s="1"/>
  <c r="H114" i="1"/>
  <c r="Q114" i="1" s="1"/>
  <c r="H28" i="1"/>
  <c r="Q28" i="1" s="1"/>
  <c r="H113" i="1"/>
  <c r="Q113" i="1" s="1"/>
  <c r="H44" i="1"/>
  <c r="Q44" i="1" s="1"/>
  <c r="H112" i="1"/>
  <c r="Q112" i="1" s="1"/>
  <c r="H8" i="1"/>
  <c r="Q8" i="1" s="1"/>
  <c r="H27" i="1"/>
  <c r="Q27" i="1" s="1"/>
  <c r="H111" i="1"/>
  <c r="Q111" i="1" s="1"/>
  <c r="H110" i="1"/>
  <c r="Q110" i="1" s="1"/>
  <c r="H109" i="1"/>
  <c r="Q109" i="1" s="1"/>
  <c r="H108" i="1"/>
  <c r="Q108" i="1" s="1"/>
  <c r="H107" i="1"/>
  <c r="Q107" i="1" s="1"/>
  <c r="H106" i="1"/>
  <c r="Q106" i="1" s="1"/>
  <c r="H105" i="1"/>
  <c r="Q105" i="1" s="1"/>
  <c r="H24" i="1"/>
  <c r="Q24" i="1" s="1"/>
  <c r="H23" i="1"/>
  <c r="Q23" i="1" s="1"/>
  <c r="H103" i="1"/>
  <c r="Q103" i="1" s="1"/>
  <c r="H102" i="1"/>
  <c r="Q102" i="1" s="1"/>
  <c r="H101" i="1"/>
  <c r="Q101" i="1" s="1"/>
  <c r="H100" i="1"/>
  <c r="Q100" i="1" s="1"/>
  <c r="H99" i="1"/>
  <c r="Q99" i="1" s="1"/>
  <c r="H98" i="1"/>
  <c r="Q98" i="1" s="1"/>
  <c r="H97" i="1"/>
  <c r="Q97" i="1" s="1"/>
  <c r="H95" i="1"/>
  <c r="Q95" i="1" s="1"/>
  <c r="H94" i="1"/>
  <c r="Q94" i="1" s="1"/>
  <c r="H93" i="1"/>
  <c r="Q93" i="1" s="1"/>
  <c r="H92" i="1"/>
  <c r="Q92" i="1" s="1"/>
  <c r="H91" i="1"/>
  <c r="Q91" i="1" s="1"/>
  <c r="H90" i="1"/>
  <c r="Q90" i="1" s="1"/>
  <c r="H88" i="1"/>
  <c r="Q88" i="1" s="1"/>
  <c r="H86" i="1"/>
  <c r="Q86" i="1" s="1"/>
  <c r="H6" i="1"/>
  <c r="Q6" i="1" s="1"/>
  <c r="H85" i="1"/>
  <c r="Q85" i="1" s="1"/>
  <c r="H34" i="1"/>
  <c r="Q34" i="1" s="1"/>
  <c r="H84" i="1"/>
  <c r="Q84" i="1" s="1"/>
  <c r="H83" i="1"/>
  <c r="Q83" i="1" s="1"/>
  <c r="H36" i="1"/>
  <c r="Q36" i="1" s="1"/>
  <c r="H82" i="1"/>
  <c r="Q82" i="1" s="1"/>
  <c r="H81" i="1"/>
  <c r="Q81" i="1" s="1"/>
  <c r="H80" i="1"/>
  <c r="Q80" i="1" s="1"/>
  <c r="H16" i="1"/>
  <c r="Q16" i="1" s="1"/>
  <c r="H79" i="1"/>
  <c r="Q79" i="1" s="1"/>
  <c r="H78" i="1"/>
  <c r="Q78" i="1" s="1"/>
  <c r="H77" i="1"/>
  <c r="Q77" i="1" s="1"/>
  <c r="H76" i="1"/>
  <c r="Q76" i="1" s="1"/>
  <c r="H75" i="1"/>
  <c r="Q75" i="1" s="1"/>
  <c r="H42" i="1"/>
  <c r="Q42" i="1" s="1"/>
  <c r="H74" i="1"/>
  <c r="Q74" i="1" s="1"/>
  <c r="H73" i="1"/>
  <c r="Q73" i="1" s="1"/>
  <c r="H72" i="1"/>
  <c r="Q72" i="1" s="1"/>
  <c r="H71" i="1"/>
  <c r="Q71" i="1" s="1"/>
  <c r="H70" i="1"/>
  <c r="Q70" i="1" s="1"/>
  <c r="H69" i="1"/>
  <c r="Q69" i="1" s="1"/>
  <c r="H68" i="1"/>
  <c r="Q68" i="1" s="1"/>
  <c r="H41" i="1"/>
  <c r="Q41" i="1" s="1"/>
  <c r="H66" i="1"/>
  <c r="Q66" i="1" s="1"/>
  <c r="H65" i="1"/>
  <c r="Q65" i="1" s="1"/>
  <c r="H64" i="1"/>
  <c r="Q64" i="1" s="1"/>
  <c r="H40" i="1"/>
  <c r="Q40" i="1" s="1"/>
  <c r="H63" i="1"/>
  <c r="Q63" i="1" s="1"/>
  <c r="H62" i="1"/>
  <c r="Q62" i="1" s="1"/>
  <c r="H61" i="1"/>
  <c r="Q61" i="1" s="1"/>
  <c r="H60" i="1"/>
  <c r="Q60" i="1" s="1"/>
  <c r="H59" i="1"/>
  <c r="Q59" i="1" s="1"/>
  <c r="H67" i="1"/>
  <c r="Q67" i="1" s="1"/>
  <c r="H58" i="1"/>
  <c r="Q58" i="1" s="1"/>
  <c r="H39" i="1"/>
  <c r="Q39" i="1" s="1"/>
  <c r="H57" i="1"/>
  <c r="Q57" i="1" s="1"/>
  <c r="H18" i="1"/>
  <c r="Q18" i="1" s="1"/>
  <c r="H21" i="1"/>
  <c r="Q21" i="1" s="1"/>
  <c r="H20" i="1"/>
  <c r="Q20" i="1" s="1"/>
  <c r="H19" i="1"/>
  <c r="Q19" i="1" s="1"/>
  <c r="H56" i="1"/>
  <c r="Q56" i="1" s="1"/>
  <c r="H22" i="1"/>
  <c r="Q22" i="1" s="1"/>
  <c r="H54" i="1"/>
  <c r="Q54" i="1" s="1"/>
  <c r="H7" i="1"/>
  <c r="Q7" i="1" s="1"/>
  <c r="H5" i="1"/>
  <c r="Q5" i="1" s="1"/>
  <c r="H4" i="1"/>
  <c r="Q4" i="1" s="1"/>
  <c r="H55" i="1"/>
  <c r="Q55" i="1" s="1"/>
  <c r="H11" i="1"/>
  <c r="Q11" i="1" s="1"/>
  <c r="H162" i="1"/>
  <c r="Q162" i="1" s="1"/>
  <c r="H159" i="1"/>
  <c r="Q159" i="1" s="1"/>
  <c r="H150" i="1"/>
  <c r="Q150" i="1" s="1"/>
  <c r="H146" i="1"/>
  <c r="Q146" i="1" s="1"/>
  <c r="H137" i="1"/>
  <c r="Q137" i="1" s="1"/>
  <c r="H125" i="1"/>
  <c r="Q125" i="1" s="1"/>
  <c r="H14" i="1"/>
  <c r="Q14" i="1" s="1"/>
  <c r="H117" i="1"/>
  <c r="Q117" i="1" s="1"/>
  <c r="H104" i="1"/>
  <c r="Q104" i="1" s="1"/>
  <c r="H96" i="1"/>
  <c r="Q96" i="1" s="1"/>
  <c r="H89" i="1"/>
  <c r="Q89" i="1" s="1"/>
  <c r="H87" i="1"/>
  <c r="Q87" i="1" s="1"/>
  <c r="CB36" i="1"/>
  <c r="CB259" i="1"/>
  <c r="O218" i="1" l="1"/>
  <c r="O220" i="1"/>
  <c r="O257" i="1"/>
  <c r="N45" i="1"/>
  <c r="N35" i="1"/>
  <c r="A35" i="1"/>
  <c r="CA35" i="1" s="1"/>
  <c r="B29" i="1"/>
  <c r="O225" i="1" l="1"/>
  <c r="O219" i="1"/>
  <c r="O252" i="1"/>
  <c r="O256" i="1"/>
  <c r="B184" i="1"/>
  <c r="F35" i="1"/>
  <c r="O45" i="1"/>
  <c r="A45" i="1"/>
  <c r="CA45" i="1" s="1"/>
  <c r="A29" i="1"/>
  <c r="CA29" i="1" s="1"/>
  <c r="N29" i="1"/>
  <c r="O29" i="1"/>
  <c r="O253" i="1" l="1"/>
  <c r="O226" i="1"/>
  <c r="O221" i="1"/>
  <c r="O214" i="1"/>
  <c r="B185" i="1"/>
  <c r="A185" i="1" s="1"/>
  <c r="CA185" i="1" s="1"/>
  <c r="N184" i="1"/>
  <c r="O47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46" i="1"/>
  <c r="O196" i="1"/>
  <c r="O195" i="1"/>
  <c r="O13" i="1"/>
  <c r="F45" i="1"/>
  <c r="F29" i="1"/>
  <c r="M45" i="1"/>
  <c r="O194" i="1"/>
  <c r="O193" i="1"/>
  <c r="O192" i="1"/>
  <c r="O191" i="1"/>
  <c r="O190" i="1"/>
  <c r="O189" i="1"/>
  <c r="O188" i="1"/>
  <c r="O187" i="1"/>
  <c r="O186" i="1"/>
  <c r="O185" i="1"/>
  <c r="O184" i="1"/>
  <c r="A184" i="1"/>
  <c r="CA184" i="1" s="1"/>
  <c r="B140" i="1"/>
  <c r="O254" i="1" l="1"/>
  <c r="O227" i="1"/>
  <c r="O222" i="1"/>
  <c r="O223" i="1"/>
  <c r="O215" i="1"/>
  <c r="B186" i="1"/>
  <c r="N185" i="1"/>
  <c r="F184" i="1"/>
  <c r="F185" i="1"/>
  <c r="M184" i="1"/>
  <c r="M185" i="1"/>
  <c r="A140" i="1"/>
  <c r="CA140" i="1" s="1"/>
  <c r="N140" i="1"/>
  <c r="B25" i="1"/>
  <c r="O140" i="1"/>
  <c r="O25" i="1"/>
  <c r="M35" i="1"/>
  <c r="O255" i="1" l="1"/>
  <c r="O216" i="1"/>
  <c r="O250" i="1"/>
  <c r="B187" i="1"/>
  <c r="N186" i="1"/>
  <c r="A186" i="1"/>
  <c r="F140" i="1"/>
  <c r="N25" i="1"/>
  <c r="A25" i="1"/>
  <c r="CA25" i="1" s="1"/>
  <c r="M29" i="1"/>
  <c r="O228" i="1" l="1"/>
  <c r="B188" i="1"/>
  <c r="N187" i="1"/>
  <c r="A187" i="1"/>
  <c r="CA186" i="1"/>
  <c r="F186" i="1"/>
  <c r="M186" i="1"/>
  <c r="F25" i="1"/>
  <c r="M140" i="1"/>
  <c r="M25" i="1"/>
  <c r="O3" i="1" l="1"/>
  <c r="CA187" i="1"/>
  <c r="F187" i="1"/>
  <c r="M187" i="1"/>
  <c r="B189" i="1"/>
  <c r="N188" i="1"/>
  <c r="A188" i="1"/>
  <c r="O229" i="1" l="1"/>
  <c r="CA188" i="1"/>
  <c r="F188" i="1"/>
  <c r="M188" i="1"/>
  <c r="B190" i="1"/>
  <c r="N189" i="1"/>
  <c r="A189" i="1"/>
  <c r="O48" i="1" l="1"/>
  <c r="B191" i="1"/>
  <c r="N190" i="1"/>
  <c r="A190" i="1"/>
  <c r="CA189" i="1"/>
  <c r="M189" i="1"/>
  <c r="F189" i="1"/>
  <c r="B192" i="1" l="1"/>
  <c r="N191" i="1"/>
  <c r="A191" i="1"/>
  <c r="CA190" i="1"/>
  <c r="F190" i="1"/>
  <c r="M190" i="1"/>
  <c r="B193" i="1" l="1"/>
  <c r="N192" i="1"/>
  <c r="A192" i="1"/>
  <c r="CA191" i="1"/>
  <c r="F191" i="1"/>
  <c r="M191" i="1"/>
  <c r="CA192" i="1" l="1"/>
  <c r="F192" i="1"/>
  <c r="M192" i="1"/>
  <c r="B194" i="1"/>
  <c r="N193" i="1"/>
  <c r="A193" i="1"/>
  <c r="B13" i="1" l="1"/>
  <c r="N194" i="1"/>
  <c r="A194" i="1"/>
  <c r="CA193" i="1"/>
  <c r="F193" i="1"/>
  <c r="M193" i="1"/>
  <c r="CA194" i="1" l="1"/>
  <c r="F194" i="1"/>
  <c r="M194" i="1"/>
  <c r="B195" i="1"/>
  <c r="N13" i="1"/>
  <c r="A13" i="1"/>
  <c r="I778" i="5"/>
  <c r="I883" i="5"/>
  <c r="I214" i="5"/>
  <c r="I64" i="5"/>
  <c r="I95" i="5"/>
  <c r="I796" i="5"/>
  <c r="I439" i="5"/>
  <c r="I142" i="5"/>
  <c r="I279" i="5"/>
  <c r="I165" i="5"/>
  <c r="I156" i="5"/>
  <c r="I720" i="5"/>
  <c r="I212" i="5"/>
  <c r="I618" i="5"/>
  <c r="I745" i="5"/>
  <c r="I341" i="5"/>
  <c r="I103" i="5"/>
  <c r="I178" i="5"/>
  <c r="I823" i="5"/>
  <c r="I909" i="5"/>
  <c r="I801" i="5"/>
  <c r="I782" i="5"/>
  <c r="I50" i="5"/>
  <c r="I359" i="5"/>
  <c r="I308" i="5"/>
  <c r="I80" i="5"/>
  <c r="I82" i="5"/>
  <c r="I591" i="5"/>
  <c r="I947" i="5"/>
  <c r="I719" i="5"/>
  <c r="I414" i="5"/>
  <c r="I951" i="5"/>
  <c r="I230" i="5"/>
  <c r="I213" i="5"/>
  <c r="I275" i="5"/>
  <c r="I431" i="5"/>
  <c r="I948" i="5"/>
  <c r="I860" i="5"/>
  <c r="I942" i="5"/>
  <c r="I655" i="5"/>
  <c r="I495" i="5"/>
  <c r="I892" i="5"/>
  <c r="I611" i="5"/>
  <c r="I440" i="5"/>
  <c r="I155" i="5"/>
  <c r="I619" i="5"/>
  <c r="I304" i="5"/>
  <c r="I696" i="5"/>
  <c r="I151" i="5"/>
  <c r="I657" i="5"/>
  <c r="I877" i="5"/>
  <c r="I27" i="5"/>
  <c r="I425" i="5"/>
  <c r="I215" i="5"/>
  <c r="I167" i="5"/>
  <c r="I309" i="5"/>
  <c r="I374" i="5"/>
  <c r="I454" i="5"/>
  <c r="I726" i="5"/>
  <c r="CB57" i="1"/>
  <c r="CB146" i="1"/>
  <c r="CB63" i="1"/>
  <c r="CB172" i="1"/>
  <c r="CB108" i="1"/>
  <c r="CB178" i="1"/>
  <c r="CB79" i="1"/>
  <c r="CB100" i="1"/>
  <c r="CB62" i="1"/>
  <c r="CB44" i="1"/>
  <c r="CB98" i="1"/>
  <c r="I792" i="5"/>
  <c r="I90" i="5"/>
  <c r="I163" i="5"/>
  <c r="I692" i="5"/>
  <c r="I670" i="5"/>
  <c r="CB153" i="1"/>
  <c r="CB141" i="1"/>
  <c r="CB161" i="1"/>
  <c r="CB179" i="1"/>
  <c r="CB105" i="1"/>
  <c r="CB140" i="1"/>
  <c r="I497" i="5"/>
  <c r="I200" i="5"/>
  <c r="I698" i="5"/>
  <c r="CB34" i="1"/>
  <c r="CB119" i="1"/>
  <c r="CB74" i="1"/>
  <c r="CB110" i="1"/>
  <c r="CB59" i="1"/>
  <c r="CB24" i="1"/>
  <c r="CB134" i="1"/>
  <c r="CB25" i="1"/>
  <c r="I337" i="5"/>
  <c r="I583" i="5"/>
  <c r="I870" i="5"/>
  <c r="I504" i="5"/>
  <c r="I960" i="5"/>
  <c r="I499" i="5"/>
  <c r="CB70" i="1"/>
  <c r="CB120" i="1"/>
  <c r="I503" i="5"/>
  <c r="I413" i="5"/>
  <c r="I509" i="5"/>
  <c r="I858" i="5"/>
  <c r="I380" i="5"/>
  <c r="I72" i="5"/>
  <c r="I257" i="5"/>
  <c r="I70" i="5"/>
  <c r="I514" i="5"/>
  <c r="I918" i="5"/>
  <c r="I153" i="5"/>
  <c r="I143" i="5"/>
  <c r="I166" i="5"/>
  <c r="I879" i="5"/>
  <c r="I724" i="5"/>
  <c r="I429" i="5"/>
  <c r="I770" i="5"/>
  <c r="I376" i="5"/>
  <c r="I706" i="5"/>
  <c r="I577" i="5"/>
  <c r="I453" i="5"/>
  <c r="I730" i="5"/>
  <c r="I805" i="5"/>
  <c r="I773" i="5"/>
  <c r="I289" i="5"/>
  <c r="I14" i="5"/>
  <c r="I107" i="5"/>
  <c r="I516" i="5"/>
  <c r="I154" i="5"/>
  <c r="I693" i="5"/>
  <c r="I273" i="5"/>
  <c r="I712" i="5"/>
  <c r="I315" i="5"/>
  <c r="I392" i="5"/>
  <c r="I680" i="5"/>
  <c r="I135" i="5"/>
  <c r="I714" i="5"/>
  <c r="I683" i="5"/>
  <c r="I117" i="5"/>
  <c r="I314" i="5"/>
  <c r="I324" i="5"/>
  <c r="I490" i="5"/>
  <c r="I862" i="5"/>
  <c r="I237" i="5"/>
  <c r="I340" i="5"/>
  <c r="I660" i="5"/>
  <c r="I482" i="5"/>
  <c r="I836" i="5"/>
  <c r="I269" i="5"/>
  <c r="I391" i="5"/>
  <c r="I61" i="5"/>
  <c r="I184" i="5"/>
  <c r="I157" i="5"/>
  <c r="I776" i="5"/>
  <c r="I52" i="5"/>
  <c r="I164" i="5"/>
  <c r="I39" i="5"/>
  <c r="I475" i="5"/>
  <c r="I125" i="5"/>
  <c r="I653" i="5"/>
  <c r="I242" i="5"/>
  <c r="I173" i="5"/>
  <c r="I372" i="5"/>
  <c r="I94" i="5"/>
  <c r="I841" i="5"/>
  <c r="I7" i="5"/>
  <c r="I182" i="5"/>
  <c r="I746" i="5"/>
  <c r="I346" i="5"/>
  <c r="CB4" i="1"/>
  <c r="CB128" i="1"/>
  <c r="CB94" i="1"/>
  <c r="CB104" i="1"/>
  <c r="CB109" i="1"/>
  <c r="CB72" i="1"/>
  <c r="CB68" i="1"/>
  <c r="CB60" i="1"/>
  <c r="CB127" i="1"/>
  <c r="CB174" i="1"/>
  <c r="CB193" i="1"/>
  <c r="I809" i="5"/>
  <c r="I665" i="5"/>
  <c r="I246" i="5"/>
  <c r="I76" i="5"/>
  <c r="CB139" i="1"/>
  <c r="CB97" i="1"/>
  <c r="CB20" i="1"/>
  <c r="CB15" i="1"/>
  <c r="I400" i="5"/>
  <c r="I957" i="5"/>
  <c r="I483" i="5"/>
  <c r="CB145" i="1"/>
  <c r="CB58" i="1"/>
  <c r="CB88" i="1"/>
  <c r="CB144" i="1"/>
  <c r="CB187" i="1"/>
  <c r="CB78" i="1"/>
  <c r="CB49" i="1"/>
  <c r="CB19" i="1"/>
  <c r="CB107" i="1"/>
  <c r="I121" i="5"/>
  <c r="I301" i="5"/>
  <c r="I447" i="5"/>
  <c r="I423" i="5"/>
  <c r="I74" i="5"/>
  <c r="CB155" i="1"/>
  <c r="CB132" i="1"/>
  <c r="CB106" i="1"/>
  <c r="CB122" i="1"/>
  <c r="CB186" i="1"/>
  <c r="I935" i="5"/>
  <c r="I347" i="5"/>
  <c r="I71" i="5"/>
  <c r="I299" i="5"/>
  <c r="I920" i="5"/>
  <c r="I685" i="5"/>
  <c r="I899" i="5"/>
  <c r="I573" i="5"/>
  <c r="I106" i="5"/>
  <c r="I587" i="5"/>
  <c r="I368" i="5"/>
  <c r="I804" i="5"/>
  <c r="I848" i="5"/>
  <c r="I759" i="5"/>
  <c r="I594" i="5"/>
  <c r="I118" i="5"/>
  <c r="I51" i="5"/>
  <c r="I281" i="5"/>
  <c r="I16" i="5"/>
  <c r="I288" i="5"/>
  <c r="I513" i="5"/>
  <c r="I690" i="5"/>
  <c r="I697" i="5"/>
  <c r="I774" i="5"/>
  <c r="I757" i="5"/>
  <c r="I477" i="5"/>
  <c r="I11" i="5"/>
  <c r="I172" i="5"/>
  <c r="I711" i="5"/>
  <c r="I766" i="5"/>
  <c r="I825" i="5"/>
  <c r="I900" i="5"/>
  <c r="I385" i="5"/>
  <c r="I311" i="5"/>
  <c r="I607" i="5"/>
  <c r="I931" i="5"/>
  <c r="I252" i="5"/>
  <c r="I150" i="5"/>
  <c r="I541" i="5"/>
  <c r="I821" i="5"/>
  <c r="I187" i="5"/>
  <c r="I626" i="5"/>
  <c r="I824" i="5"/>
  <c r="I559" i="5"/>
  <c r="I302" i="5"/>
  <c r="I550" i="5"/>
  <c r="I478" i="5"/>
  <c r="I917" i="5"/>
  <c r="I644" i="5"/>
  <c r="I623" i="5"/>
  <c r="I584" i="5"/>
  <c r="I880" i="5"/>
  <c r="I122" i="5"/>
  <c r="I175" i="5"/>
  <c r="I261" i="5"/>
  <c r="I944" i="5"/>
  <c r="I460" i="5"/>
  <c r="I515" i="5"/>
  <c r="I421" i="5"/>
  <c r="I464" i="5"/>
  <c r="CB73" i="1"/>
  <c r="CB40" i="1"/>
  <c r="CB82" i="1"/>
  <c r="CB22" i="1"/>
  <c r="I740" i="5"/>
  <c r="I343" i="5"/>
  <c r="CB71" i="1"/>
  <c r="I419" i="5"/>
  <c r="I100" i="5"/>
  <c r="I866" i="5"/>
  <c r="I727" i="5"/>
  <c r="I65" i="5"/>
  <c r="I192" i="5"/>
  <c r="I193" i="5"/>
  <c r="I412" i="5"/>
  <c r="I794" i="5"/>
  <c r="I631" i="5"/>
  <c r="I915" i="5"/>
  <c r="I469" i="5"/>
  <c r="I147" i="5"/>
  <c r="I606" i="5"/>
  <c r="I470" i="5"/>
  <c r="I238" i="5"/>
  <c r="I409" i="5"/>
  <c r="I643" i="5"/>
  <c r="I197" i="5"/>
  <c r="I771" i="5"/>
  <c r="I934" i="5"/>
  <c r="I897" i="5"/>
  <c r="I907" i="5"/>
  <c r="I375" i="5"/>
  <c r="I362" i="5"/>
  <c r="I705" i="5"/>
  <c r="I96" i="5"/>
  <c r="I511" i="5"/>
  <c r="I533" i="5"/>
  <c r="I552" i="5"/>
  <c r="I260" i="5"/>
  <c r="I128" i="5"/>
  <c r="I523" i="5"/>
  <c r="I9" i="5"/>
  <c r="I518" i="5"/>
  <c r="I249" i="5"/>
  <c r="I22" i="5"/>
  <c r="I887" i="5"/>
  <c r="I227" i="5"/>
  <c r="I457" i="5"/>
  <c r="I169" i="5"/>
  <c r="I750" i="5"/>
  <c r="I196" i="5"/>
  <c r="I671" i="5"/>
  <c r="I531" i="5"/>
  <c r="I702" i="5"/>
  <c r="I744" i="5"/>
  <c r="I83" i="5"/>
  <c r="I467" i="5"/>
  <c r="I600" i="5"/>
  <c r="I755" i="5"/>
  <c r="I538" i="5"/>
  <c r="I502" i="5"/>
  <c r="I921" i="5"/>
  <c r="CB5" i="1"/>
  <c r="I137" i="5"/>
  <c r="I101" i="5"/>
  <c r="I87" i="5"/>
  <c r="I336" i="5"/>
  <c r="I530" i="5"/>
  <c r="I758" i="5"/>
  <c r="I159" i="5"/>
  <c r="I174" i="5"/>
  <c r="I906" i="5"/>
  <c r="I832" i="5"/>
  <c r="I520" i="5"/>
  <c r="I98" i="5"/>
  <c r="I895" i="5"/>
  <c r="I130" i="5"/>
  <c r="I574" i="5"/>
  <c r="I379" i="5"/>
  <c r="I748" i="5"/>
  <c r="I149" i="5"/>
  <c r="I589" i="5"/>
  <c r="I855" i="5"/>
  <c r="I868" i="5"/>
  <c r="I527" i="5"/>
  <c r="I791" i="5"/>
  <c r="I56" i="5"/>
  <c r="I131" i="5"/>
  <c r="I581" i="5"/>
  <c r="I219" i="5"/>
  <c r="I627" i="5"/>
  <c r="I922" i="5"/>
  <c r="I799" i="5"/>
  <c r="I195" i="5"/>
  <c r="I666" i="5"/>
  <c r="I430" i="5"/>
  <c r="I455" i="5"/>
  <c r="I695" i="5"/>
  <c r="I738" i="5"/>
  <c r="I645" i="5"/>
  <c r="I871" i="5"/>
  <c r="I928" i="5"/>
  <c r="I940" i="5"/>
  <c r="I48" i="5"/>
  <c r="I679" i="5"/>
  <c r="I508" i="5"/>
  <c r="I656" i="5"/>
  <c r="I945" i="5"/>
  <c r="I138" i="5"/>
  <c r="I240" i="5"/>
  <c r="I539" i="5"/>
  <c r="I845" i="5"/>
  <c r="I111" i="5"/>
  <c r="I813" i="5"/>
  <c r="I364" i="5"/>
  <c r="I896" i="5"/>
  <c r="I251" i="5"/>
  <c r="I786" i="5"/>
  <c r="I294" i="5"/>
  <c r="I161" i="5"/>
  <c r="I901" i="5"/>
  <c r="I325" i="5"/>
  <c r="I803" i="5"/>
  <c r="I99" i="5"/>
  <c r="I393" i="5"/>
  <c r="I735" i="5"/>
  <c r="CB55" i="1"/>
  <c r="I648" i="5"/>
  <c r="I370" i="5"/>
  <c r="CB115" i="1"/>
  <c r="I525" i="5"/>
  <c r="I588" i="5"/>
  <c r="I568" i="5"/>
  <c r="I116" i="5"/>
  <c r="I565" i="5"/>
  <c r="I926" i="5"/>
  <c r="I787" i="5"/>
  <c r="I54" i="5"/>
  <c r="I489" i="5"/>
  <c r="I416" i="5"/>
  <c r="I105" i="5"/>
  <c r="I300" i="5"/>
  <c r="I859" i="5"/>
  <c r="I641" i="5"/>
  <c r="I313" i="5"/>
  <c r="I113" i="5"/>
  <c r="I646" i="5"/>
  <c r="I352" i="5"/>
  <c r="I669" i="5"/>
  <c r="I800" i="5"/>
  <c r="I617" i="5"/>
  <c r="I479" i="5"/>
  <c r="I104" i="5"/>
  <c r="I731" i="5"/>
  <c r="I4" i="5"/>
  <c r="I952" i="5"/>
  <c r="I171" i="5"/>
  <c r="I456" i="5"/>
  <c r="I232" i="5"/>
  <c r="I267" i="5"/>
  <c r="I292" i="5"/>
  <c r="I30" i="5"/>
  <c r="I108" i="5"/>
  <c r="I933" i="5"/>
  <c r="I418" i="5"/>
  <c r="I582" i="5"/>
  <c r="I243" i="5"/>
  <c r="I936" i="5"/>
  <c r="I450" i="5"/>
  <c r="I893" i="5"/>
  <c r="I442" i="5"/>
  <c r="I139" i="5"/>
  <c r="I925" i="5"/>
  <c r="I481" i="5"/>
  <c r="I366" i="5"/>
  <c r="I675" i="5"/>
  <c r="I816" i="5"/>
  <c r="I554" i="5"/>
  <c r="I127" i="5"/>
  <c r="I321" i="5"/>
  <c r="I6" i="5"/>
  <c r="I140" i="5"/>
  <c r="I808" i="5"/>
  <c r="I176" i="5"/>
  <c r="I276" i="5"/>
  <c r="I659" i="5"/>
  <c r="I602" i="5"/>
  <c r="I546" i="5"/>
  <c r="I686" i="5"/>
  <c r="I654" i="5"/>
  <c r="CB154" i="1"/>
  <c r="CB111" i="1"/>
  <c r="CB136" i="1"/>
  <c r="CB164" i="1"/>
  <c r="CB39" i="1"/>
  <c r="CB90" i="1"/>
  <c r="CB86" i="1"/>
  <c r="CB61" i="1"/>
  <c r="CB175" i="1"/>
  <c r="CB152" i="1"/>
  <c r="CB45" i="1"/>
  <c r="I202" i="5"/>
  <c r="I120" i="5"/>
  <c r="I248" i="5"/>
  <c r="I353" i="5"/>
  <c r="I912" i="5"/>
  <c r="I628" i="5"/>
  <c r="I387" i="5"/>
  <c r="I684" i="5"/>
  <c r="I367" i="5"/>
  <c r="I216" i="5"/>
  <c r="I208" i="5"/>
  <c r="I17" i="5"/>
  <c r="I625" i="5"/>
  <c r="I345" i="5"/>
  <c r="I633" i="5"/>
  <c r="I145" i="5"/>
  <c r="I817" i="5"/>
  <c r="I162" i="5"/>
  <c r="I819" i="5"/>
  <c r="I264" i="5"/>
  <c r="I465" i="5"/>
  <c r="I485" i="5"/>
  <c r="I637" i="5"/>
  <c r="I911" i="5"/>
  <c r="I317" i="5"/>
  <c r="I78" i="5"/>
  <c r="I557" i="5"/>
  <c r="I79" i="5"/>
  <c r="I211" i="5"/>
  <c r="I704" i="5"/>
  <c r="I97" i="5"/>
  <c r="I411" i="5"/>
  <c r="I501" i="5"/>
  <c r="I323" i="5"/>
  <c r="I688" i="5"/>
  <c r="I444" i="5"/>
  <c r="I361" i="5"/>
  <c r="I110" i="5"/>
  <c r="I383" i="5"/>
  <c r="I596" i="5"/>
  <c r="I709" i="5"/>
  <c r="I358" i="5"/>
  <c r="I329" i="5"/>
  <c r="CB148" i="1"/>
  <c r="CB116" i="1"/>
  <c r="I842" i="5"/>
  <c r="I578" i="5"/>
  <c r="I667" i="5"/>
  <c r="I62" i="5"/>
  <c r="I437" i="5"/>
  <c r="I811" i="5"/>
  <c r="I765" i="5"/>
  <c r="I287" i="5"/>
  <c r="I75" i="5"/>
  <c r="I833" i="5"/>
  <c r="I716" i="5"/>
  <c r="I13" i="5"/>
  <c r="I822" i="5"/>
  <c r="I33" i="5"/>
  <c r="I624" i="5"/>
  <c r="I500" i="5"/>
  <c r="I335" i="5"/>
  <c r="I519" i="5"/>
  <c r="I959" i="5"/>
  <c r="I298" i="5"/>
  <c r="I305" i="5"/>
  <c r="I916" i="5"/>
  <c r="I69" i="5"/>
  <c r="I739" i="5"/>
  <c r="I63" i="5"/>
  <c r="I190" i="5"/>
  <c r="I652" i="5"/>
  <c r="I843" i="5"/>
  <c r="I330" i="5"/>
  <c r="I434" i="5"/>
  <c r="I542" i="5"/>
  <c r="I496" i="5"/>
  <c r="I620" i="5"/>
  <c r="I114" i="5"/>
  <c r="I784" i="5"/>
  <c r="I756" i="5"/>
  <c r="I258" i="5"/>
  <c r="I327" i="5"/>
  <c r="I235" i="5"/>
  <c r="I12" i="5"/>
  <c r="I239" i="5"/>
  <c r="I865" i="5"/>
  <c r="I373" i="5"/>
  <c r="I781" i="5"/>
  <c r="I36" i="5"/>
  <c r="I23" i="5"/>
  <c r="I224" i="5"/>
  <c r="I250" i="5"/>
  <c r="I29" i="5"/>
  <c r="I350" i="5"/>
  <c r="I603" i="5"/>
  <c r="I296" i="5"/>
  <c r="I713" i="5"/>
  <c r="I443" i="5"/>
  <c r="I15" i="5"/>
  <c r="I355" i="5"/>
  <c r="I630" i="5"/>
  <c r="I751" i="5"/>
  <c r="I707" i="5"/>
  <c r="I840" i="5"/>
  <c r="I427" i="5"/>
  <c r="I864" i="5"/>
  <c r="I357" i="5"/>
  <c r="I835" i="5"/>
  <c r="I938" i="5"/>
  <c r="I410" i="5"/>
  <c r="I785" i="5"/>
  <c r="I31" i="5"/>
  <c r="I285" i="5"/>
  <c r="I728" i="5"/>
  <c r="I601" i="5"/>
  <c r="I451" i="5"/>
  <c r="CB103" i="1"/>
  <c r="CB150" i="1"/>
  <c r="CB138" i="1"/>
  <c r="CB26" i="1"/>
  <c r="CB156" i="1"/>
  <c r="CB129" i="1"/>
  <c r="CB133" i="1"/>
  <c r="CB102" i="1"/>
  <c r="CB80" i="1"/>
  <c r="CB16" i="1"/>
  <c r="CB192" i="1"/>
  <c r="I179" i="5"/>
  <c r="I674" i="5"/>
  <c r="I694" i="5"/>
  <c r="I715" i="5"/>
  <c r="I543" i="5"/>
  <c r="I708" i="5"/>
  <c r="I636" i="5"/>
  <c r="I85" i="5"/>
  <c r="I209" i="5"/>
  <c r="I326" i="5"/>
  <c r="I177" i="5"/>
  <c r="I752" i="5"/>
  <c r="I872" i="5"/>
  <c r="I21" i="5"/>
  <c r="I396" i="5"/>
  <c r="I537" i="5"/>
  <c r="I68" i="5"/>
  <c r="I761" i="5"/>
  <c r="I733" i="5"/>
  <c r="I844" i="5"/>
  <c r="I10" i="5"/>
  <c r="I141" i="5"/>
  <c r="I852" i="5"/>
  <c r="I882" i="5"/>
  <c r="I225" i="5"/>
  <c r="I640" i="5"/>
  <c r="I828" i="5"/>
  <c r="I721" i="5"/>
  <c r="CB91" i="1"/>
  <c r="CB8" i="1"/>
  <c r="CB135" i="1"/>
  <c r="CB118" i="1"/>
  <c r="CB6" i="1"/>
  <c r="CB35" i="1"/>
  <c r="I754" i="5"/>
  <c r="I381" i="5"/>
  <c r="CB117" i="1"/>
  <c r="CB67" i="1"/>
  <c r="CB166" i="1"/>
  <c r="CB38" i="1"/>
  <c r="CB188" i="1"/>
  <c r="I441" i="5"/>
  <c r="I438" i="5"/>
  <c r="I424" i="5"/>
  <c r="I49" i="5"/>
  <c r="I408" i="5"/>
  <c r="I283" i="5"/>
  <c r="CB87" i="1"/>
  <c r="CB95" i="1"/>
  <c r="CB185" i="1"/>
  <c r="CB12" i="1"/>
  <c r="CB41" i="1"/>
  <c r="CB28" i="1"/>
  <c r="I124" i="5"/>
  <c r="CB130" i="1"/>
  <c r="I913" i="5"/>
  <c r="CB14" i="1"/>
  <c r="I869" i="5"/>
  <c r="I599" i="5"/>
  <c r="I371" i="5"/>
  <c r="I378" i="5"/>
  <c r="I81" i="5"/>
  <c r="I189" i="5"/>
  <c r="CB183" i="1"/>
  <c r="CB10" i="1"/>
  <c r="I448" i="5"/>
  <c r="I405" i="5"/>
  <c r="I658" i="5"/>
  <c r="I55" i="5"/>
  <c r="I397" i="5"/>
  <c r="I35" i="5"/>
  <c r="CB81" i="1"/>
  <c r="I958" i="5"/>
  <c r="I888" i="5"/>
  <c r="I903" i="5"/>
  <c r="I687" i="5"/>
  <c r="I312" i="5"/>
  <c r="I91" i="5"/>
  <c r="CB131" i="1"/>
  <c r="I867" i="5"/>
  <c r="I783" i="5"/>
  <c r="I651" i="5"/>
  <c r="I89" i="5"/>
  <c r="I609" i="5"/>
  <c r="I556" i="5"/>
  <c r="I474" i="5"/>
  <c r="CB177" i="1"/>
  <c r="I700" i="5"/>
  <c r="I310" i="5"/>
  <c r="I206" i="5"/>
  <c r="I229" i="5"/>
  <c r="I772" i="5"/>
  <c r="I826" i="5"/>
  <c r="I181" i="5"/>
  <c r="CB96" i="1"/>
  <c r="I351" i="5"/>
  <c r="I247" i="5"/>
  <c r="CB163" i="1"/>
  <c r="I463" i="5"/>
  <c r="I18" i="5"/>
  <c r="I354" i="5"/>
  <c r="I521" i="5"/>
  <c r="I904" i="5"/>
  <c r="CB123" i="1"/>
  <c r="CB29" i="1"/>
  <c r="I943" i="5"/>
  <c r="I297" i="5"/>
  <c r="I605" i="5"/>
  <c r="I953" i="5"/>
  <c r="I262" i="5"/>
  <c r="I682" i="5"/>
  <c r="I221" i="5"/>
  <c r="I749" i="5"/>
  <c r="I402" i="5"/>
  <c r="I881" i="5"/>
  <c r="I8" i="5"/>
  <c r="I510" i="5"/>
  <c r="I348" i="5"/>
  <c r="I92" i="5"/>
  <c r="I66" i="5"/>
  <c r="I663" i="5"/>
  <c r="I293" i="5"/>
  <c r="I553" i="5"/>
  <c r="I526" i="5"/>
  <c r="I194" i="5"/>
  <c r="I268" i="5"/>
  <c r="I266" i="5"/>
  <c r="I673" i="5"/>
  <c r="I422" i="5"/>
  <c r="I505" i="5"/>
  <c r="I331" i="5"/>
  <c r="CB101" i="1"/>
  <c r="I428" i="5"/>
  <c r="I180" i="5"/>
  <c r="I572" i="5"/>
  <c r="I123" i="5"/>
  <c r="CB170" i="1"/>
  <c r="CB167" i="1"/>
  <c r="I910" i="5"/>
  <c r="CB31" i="1"/>
  <c r="CB184" i="1"/>
  <c r="I839" i="5"/>
  <c r="CB21" i="1"/>
  <c r="I270" i="5"/>
  <c r="I290" i="5"/>
  <c r="I253" i="5"/>
  <c r="I407" i="5"/>
  <c r="I339" i="5"/>
  <c r="I86" i="5"/>
  <c r="I818" i="5"/>
  <c r="I462" i="5"/>
  <c r="I699" i="5"/>
  <c r="CB165" i="1"/>
  <c r="I547" i="5"/>
  <c r="I426" i="5"/>
  <c r="I854" i="5"/>
  <c r="I838" i="5"/>
  <c r="I737" i="5"/>
  <c r="I333" i="5"/>
  <c r="I198" i="5"/>
  <c r="I763" i="5"/>
  <c r="I549" i="5"/>
  <c r="CB182" i="1"/>
  <c r="I834" i="5"/>
  <c r="I318" i="5"/>
  <c r="I710" i="5"/>
  <c r="I729" i="5"/>
  <c r="I736" i="5"/>
  <c r="I158" i="5"/>
  <c r="I691" i="5"/>
  <c r="CB99" i="1"/>
  <c r="CB75" i="1"/>
  <c r="I226" i="5"/>
  <c r="I950" i="5"/>
  <c r="I593" i="5"/>
  <c r="I827" i="5"/>
  <c r="I332" i="5"/>
  <c r="I889" i="5"/>
  <c r="I604" i="5"/>
  <c r="I850" i="5"/>
  <c r="CB173" i="1"/>
  <c r="I223" i="5"/>
  <c r="I608" i="5"/>
  <c r="I891" i="5"/>
  <c r="I77" i="5"/>
  <c r="I272" i="5"/>
  <c r="I924" i="5"/>
  <c r="CB93" i="1"/>
  <c r="CB176" i="1"/>
  <c r="I207" i="5"/>
  <c r="I278" i="5"/>
  <c r="I390" i="5"/>
  <c r="CB92" i="1"/>
  <c r="I861" i="5"/>
  <c r="I890" i="5"/>
  <c r="I47" i="5"/>
  <c r="I548" i="5"/>
  <c r="I954" i="5"/>
  <c r="I144" i="5"/>
  <c r="I777" i="5"/>
  <c r="I634" i="5"/>
  <c r="I322" i="5"/>
  <c r="I908" i="5"/>
  <c r="I820" i="5"/>
  <c r="CB137" i="1"/>
  <c r="I231" i="5"/>
  <c r="I650" i="5"/>
  <c r="I616" i="5"/>
  <c r="I612" i="5"/>
  <c r="I186" i="5"/>
  <c r="I473" i="5"/>
  <c r="I40" i="5"/>
  <c r="I722" i="5"/>
  <c r="I534" i="5"/>
  <c r="I629" i="5"/>
  <c r="I328" i="5"/>
  <c r="I590" i="5"/>
  <c r="I472" i="5"/>
  <c r="I807" i="5"/>
  <c r="I41" i="5"/>
  <c r="I635" i="5"/>
  <c r="I129" i="5"/>
  <c r="I84" i="5"/>
  <c r="CB56" i="1"/>
  <c r="CB11" i="1"/>
  <c r="CB171" i="1"/>
  <c r="I535" i="5"/>
  <c r="I389" i="5"/>
  <c r="I386" i="5"/>
  <c r="I613" i="5"/>
  <c r="I941" i="5"/>
  <c r="I303" i="5"/>
  <c r="I788" i="5"/>
  <c r="I873" i="5"/>
  <c r="CB83" i="1"/>
  <c r="I806" i="5"/>
  <c r="I360" i="5"/>
  <c r="I647" i="5"/>
  <c r="CB84" i="1"/>
  <c r="I44" i="5"/>
  <c r="CB159" i="1"/>
  <c r="I561" i="5"/>
  <c r="CB157" i="1"/>
  <c r="I569" i="5"/>
  <c r="CB147" i="1"/>
  <c r="I487" i="5"/>
  <c r="I316" i="5"/>
  <c r="I476" i="5"/>
  <c r="I119" i="5"/>
  <c r="I812" i="5"/>
  <c r="I245" i="5"/>
  <c r="I404" i="5"/>
  <c r="I344" i="5"/>
  <c r="I555" i="5"/>
  <c r="I544" i="5"/>
  <c r="I277" i="5"/>
  <c r="I484" i="5"/>
  <c r="I415" i="5"/>
  <c r="I32" i="5"/>
  <c r="I382" i="5"/>
  <c r="I349" i="5"/>
  <c r="I615" i="5"/>
  <c r="I388" i="5"/>
  <c r="I567" i="5"/>
  <c r="I558" i="5"/>
  <c r="I241" i="5"/>
  <c r="I914" i="5"/>
  <c r="I790" i="5"/>
  <c r="I435" i="5"/>
  <c r="I259" i="5"/>
  <c r="I3" i="5"/>
  <c r="I846" i="5"/>
  <c r="CB23" i="1"/>
  <c r="I528" i="5"/>
  <c r="CB89" i="1"/>
  <c r="I480" i="5"/>
  <c r="I742" i="5"/>
  <c r="I517" i="5"/>
  <c r="I488" i="5"/>
  <c r="I492" i="5"/>
  <c r="I25" i="5"/>
  <c r="I271" i="5"/>
  <c r="I802" i="5"/>
  <c r="CB114" i="1"/>
  <c r="I598" i="5"/>
  <c r="CB126" i="1"/>
  <c r="I664" i="5"/>
  <c r="I929" i="5"/>
  <c r="I183" i="5"/>
  <c r="I494" i="5"/>
  <c r="CB42" i="1"/>
  <c r="I545" i="5"/>
  <c r="CB142" i="1"/>
  <c r="I532" i="5"/>
  <c r="I575" i="5"/>
  <c r="I188" i="5"/>
  <c r="I853" i="5"/>
  <c r="I743" i="5"/>
  <c r="I672" i="5"/>
  <c r="I927" i="5"/>
  <c r="I471" i="5"/>
  <c r="I28" i="5"/>
  <c r="I524" i="5"/>
  <c r="I676" i="5"/>
  <c r="I566" i="5"/>
  <c r="I863" i="5"/>
  <c r="I45" i="5"/>
  <c r="I894" i="5"/>
  <c r="I58" i="5"/>
  <c r="I529" i="5"/>
  <c r="I642" i="5"/>
  <c r="I334" i="5"/>
  <c r="I886" i="5"/>
  <c r="I436" i="5"/>
  <c r="I199" i="5"/>
  <c r="I133" i="5"/>
  <c r="I762" i="5"/>
  <c r="I170" i="5"/>
  <c r="I109" i="5"/>
  <c r="CB168" i="1"/>
  <c r="CB149" i="1"/>
  <c r="CB69" i="1"/>
  <c r="I876" i="5"/>
  <c r="I338" i="5"/>
  <c r="CB76" i="1"/>
  <c r="I856" i="5"/>
  <c r="CB77" i="1"/>
  <c r="I204" i="5"/>
  <c r="I59" i="5"/>
  <c r="I902" i="5"/>
  <c r="I597" i="5"/>
  <c r="I152" i="5"/>
  <c r="I753" i="5"/>
  <c r="I905" i="5"/>
  <c r="I265" i="5"/>
  <c r="CB169" i="1"/>
  <c r="I263" i="5"/>
  <c r="I307" i="5"/>
  <c r="I46" i="5"/>
  <c r="I403" i="5"/>
  <c r="I732" i="5"/>
  <c r="I723" i="5"/>
  <c r="I217" i="5"/>
  <c r="I395" i="5"/>
  <c r="I256" i="5"/>
  <c r="I73" i="5"/>
  <c r="I191" i="5"/>
  <c r="I136" i="5"/>
  <c r="I445" i="5"/>
  <c r="I689" i="5"/>
  <c r="I622" i="5"/>
  <c r="I384" i="5"/>
  <c r="I43" i="5"/>
  <c r="I468" i="5"/>
  <c r="I458" i="5"/>
  <c r="I295" i="5"/>
  <c r="I449" i="5"/>
  <c r="I491" i="5"/>
  <c r="I955" i="5"/>
  <c r="I586" i="5"/>
  <c r="I639" i="5"/>
  <c r="I218" i="5"/>
  <c r="I932" i="5"/>
  <c r="I923" i="5"/>
  <c r="I614" i="5"/>
  <c r="I919" i="5"/>
  <c r="I681" i="5"/>
  <c r="I459" i="5"/>
  <c r="CB151" i="1"/>
  <c r="CB27" i="1"/>
  <c r="CB85" i="1"/>
  <c r="CB17" i="1"/>
  <c r="CB66" i="1"/>
  <c r="I540" i="5"/>
  <c r="I649" i="5"/>
  <c r="I126" i="5"/>
  <c r="I115" i="5"/>
  <c r="I228" i="5"/>
  <c r="I703" i="5"/>
  <c r="I433" i="5"/>
  <c r="I284" i="5"/>
  <c r="I282" i="5"/>
  <c r="I551" i="5"/>
  <c r="I112" i="5"/>
  <c r="I88" i="5"/>
  <c r="I168" i="5"/>
  <c r="I638" i="5"/>
  <c r="I632" i="5"/>
  <c r="I677" i="5"/>
  <c r="I148" i="5"/>
  <c r="I222" i="5"/>
  <c r="I401" i="5"/>
  <c r="I560" i="5"/>
  <c r="I898" i="5"/>
  <c r="I780" i="5"/>
  <c r="I830" i="5"/>
  <c r="I274" i="5"/>
  <c r="CB54" i="1"/>
  <c r="I797" i="5"/>
  <c r="I814" i="5"/>
  <c r="I734" i="5"/>
  <c r="I795" i="5"/>
  <c r="I220" i="5"/>
  <c r="I20" i="5"/>
  <c r="CB65" i="1"/>
  <c r="I571" i="5"/>
  <c r="I446" i="5"/>
  <c r="I956" i="5"/>
  <c r="I365" i="5"/>
  <c r="I498" i="5"/>
  <c r="I875" i="5"/>
  <c r="CB30" i="1"/>
  <c r="I255" i="5"/>
  <c r="I19" i="5"/>
  <c r="I432" i="5"/>
  <c r="I420" i="5"/>
  <c r="I930" i="5"/>
  <c r="I725" i="5"/>
  <c r="I201" i="5"/>
  <c r="I146" i="5"/>
  <c r="I236" i="5"/>
  <c r="CB64" i="1"/>
  <c r="I399" i="5"/>
  <c r="I678" i="5"/>
  <c r="I67" i="5"/>
  <c r="I203" i="5"/>
  <c r="I946" i="5"/>
  <c r="I452" i="5"/>
  <c r="I874" i="5"/>
  <c r="CB9" i="1"/>
  <c r="I564" i="5"/>
  <c r="I939" i="5"/>
  <c r="I747" i="5"/>
  <c r="I878" i="5"/>
  <c r="I718" i="5"/>
  <c r="I789" i="5"/>
  <c r="I53" i="5"/>
  <c r="I369" i="5"/>
  <c r="I884" i="5"/>
  <c r="CB124" i="1"/>
  <c r="I849" i="5"/>
  <c r="I760" i="5"/>
  <c r="I579" i="5"/>
  <c r="I937" i="5"/>
  <c r="I857" i="5"/>
  <c r="I815" i="5"/>
  <c r="CB121" i="1"/>
  <c r="I570" i="5"/>
  <c r="I949" i="5"/>
  <c r="I662" i="5"/>
  <c r="I851" i="5"/>
  <c r="CB158" i="1"/>
  <c r="I768" i="5"/>
  <c r="I132" i="5"/>
  <c r="I769" i="5"/>
  <c r="I831" i="5"/>
  <c r="I406" i="5"/>
  <c r="I356" i="5"/>
  <c r="I493" i="5"/>
  <c r="I661" i="5"/>
  <c r="I668" i="5"/>
  <c r="I286" i="5"/>
  <c r="I234" i="5"/>
  <c r="I134" i="5"/>
  <c r="I885" i="5"/>
  <c r="I394" i="5"/>
  <c r="I837" i="5"/>
  <c r="I507" i="5"/>
  <c r="I210" i="5"/>
  <c r="I377" i="5"/>
  <c r="I363" i="5"/>
  <c r="I244" i="5"/>
  <c r="I306" i="5"/>
  <c r="I562" i="5"/>
  <c r="I486" i="5"/>
  <c r="I621" i="5"/>
  <c r="I398" i="5"/>
  <c r="I767" i="5"/>
  <c r="I5" i="5"/>
  <c r="CB162" i="1"/>
  <c r="CB160" i="1"/>
  <c r="CB181" i="1"/>
  <c r="CB7" i="1"/>
  <c r="CB18" i="1"/>
  <c r="CB190" i="1"/>
  <c r="I42" i="5"/>
  <c r="I291" i="5"/>
  <c r="I798" i="5"/>
  <c r="I34" i="5"/>
  <c r="I102" i="5"/>
  <c r="I810" i="5"/>
  <c r="I185" i="5"/>
  <c r="I793" i="5"/>
  <c r="I829" i="5"/>
  <c r="I610" i="5"/>
  <c r="I319" i="5"/>
  <c r="I585" i="5"/>
  <c r="I741" i="5"/>
  <c r="I93" i="5"/>
  <c r="I466" i="5"/>
  <c r="I160" i="5"/>
  <c r="I563" i="5"/>
  <c r="I26" i="5"/>
  <c r="I580" i="5"/>
  <c r="I592" i="5"/>
  <c r="I205" i="5"/>
  <c r="I24" i="5"/>
  <c r="I320" i="5"/>
  <c r="I779" i="5"/>
  <c r="I764" i="5"/>
  <c r="I60" i="5"/>
  <c r="I342" i="5"/>
  <c r="CB143" i="1"/>
  <c r="CB125" i="1"/>
  <c r="CB112" i="1"/>
  <c r="CB180" i="1"/>
  <c r="CB113" i="1"/>
  <c r="CB191" i="1"/>
  <c r="I280" i="5"/>
  <c r="I595" i="5"/>
  <c r="I717" i="5"/>
  <c r="I57" i="5"/>
  <c r="I576" i="5"/>
  <c r="I38" i="5"/>
  <c r="I847" i="5"/>
  <c r="I417" i="5"/>
  <c r="I775" i="5"/>
  <c r="I37" i="5"/>
  <c r="I701" i="5"/>
  <c r="CB189" i="1"/>
  <c r="I461" i="5"/>
  <c r="I233" i="5"/>
  <c r="CB194" i="1"/>
  <c r="CA13" i="1" l="1"/>
  <c r="F13" i="1"/>
  <c r="M13" i="1"/>
  <c r="B196" i="1"/>
  <c r="N195" i="1"/>
  <c r="A195" i="1"/>
  <c r="CB13" i="1"/>
  <c r="CA195" i="1" l="1"/>
  <c r="M195" i="1"/>
  <c r="F195" i="1"/>
  <c r="B46" i="1"/>
  <c r="N196" i="1"/>
  <c r="A196" i="1"/>
  <c r="CB195" i="1"/>
  <c r="CA196" i="1" l="1"/>
  <c r="F196" i="1"/>
  <c r="M196" i="1"/>
  <c r="B197" i="1"/>
  <c r="N46" i="1"/>
  <c r="A46" i="1"/>
  <c r="CB196" i="1"/>
  <c r="CA46" i="1" l="1"/>
  <c r="F46" i="1"/>
  <c r="M46" i="1"/>
  <c r="B198" i="1"/>
  <c r="N197" i="1"/>
  <c r="A197" i="1"/>
  <c r="CB46" i="1"/>
  <c r="CA197" i="1" l="1"/>
  <c r="F197" i="1"/>
  <c r="M197" i="1"/>
  <c r="B199" i="1"/>
  <c r="N198" i="1"/>
  <c r="A198" i="1"/>
  <c r="CB197" i="1"/>
  <c r="CA198" i="1" l="1"/>
  <c r="F198" i="1"/>
  <c r="M198" i="1"/>
  <c r="B200" i="1"/>
  <c r="N199" i="1"/>
  <c r="A199" i="1"/>
  <c r="CB198" i="1"/>
  <c r="CA199" i="1" l="1"/>
  <c r="F199" i="1"/>
  <c r="M199" i="1"/>
  <c r="B201" i="1"/>
  <c r="N200" i="1"/>
  <c r="A200" i="1"/>
  <c r="CB199" i="1"/>
  <c r="CA200" i="1" l="1"/>
  <c r="F200" i="1"/>
  <c r="M200" i="1"/>
  <c r="B202" i="1"/>
  <c r="N201" i="1"/>
  <c r="A201" i="1"/>
  <c r="CB200" i="1"/>
  <c r="CA201" i="1" l="1"/>
  <c r="F201" i="1"/>
  <c r="M201" i="1"/>
  <c r="B203" i="1"/>
  <c r="N202" i="1"/>
  <c r="A202" i="1"/>
  <c r="CB201" i="1"/>
  <c r="O260" i="1" l="1"/>
  <c r="CA202" i="1"/>
  <c r="F202" i="1"/>
  <c r="M202" i="1"/>
  <c r="B204" i="1"/>
  <c r="N203" i="1"/>
  <c r="A203" i="1"/>
  <c r="CB202" i="1"/>
  <c r="CA203" i="1" l="1"/>
  <c r="F203" i="1"/>
  <c r="M203" i="1"/>
  <c r="B205" i="1"/>
  <c r="N204" i="1"/>
  <c r="A204" i="1"/>
  <c r="CB203" i="1"/>
  <c r="CA204" i="1" l="1"/>
  <c r="F204" i="1"/>
  <c r="M204" i="1"/>
  <c r="B206" i="1"/>
  <c r="N205" i="1"/>
  <c r="A205" i="1"/>
  <c r="CB204" i="1"/>
  <c r="CA205" i="1" l="1"/>
  <c r="F205" i="1"/>
  <c r="M205" i="1"/>
  <c r="B207" i="1"/>
  <c r="N206" i="1"/>
  <c r="A206" i="1"/>
  <c r="CB205" i="1"/>
  <c r="O261" i="1" l="1"/>
  <c r="CA206" i="1"/>
  <c r="M206" i="1"/>
  <c r="F206" i="1"/>
  <c r="B208" i="1"/>
  <c r="N207" i="1"/>
  <c r="A207" i="1"/>
  <c r="CB206" i="1"/>
  <c r="CA207" i="1" l="1"/>
  <c r="M207" i="1"/>
  <c r="F207" i="1"/>
  <c r="B209" i="1"/>
  <c r="N208" i="1"/>
  <c r="A208" i="1"/>
  <c r="CB207" i="1"/>
  <c r="O230" i="1" l="1"/>
  <c r="CA208" i="1"/>
  <c r="M208" i="1"/>
  <c r="F208" i="1"/>
  <c r="B47" i="1"/>
  <c r="N209" i="1"/>
  <c r="A209" i="1"/>
  <c r="CB208" i="1"/>
  <c r="O231" i="1" l="1"/>
  <c r="M209" i="1"/>
  <c r="CA209" i="1"/>
  <c r="F209" i="1"/>
  <c r="N47" i="1"/>
  <c r="A47" i="1"/>
  <c r="CB209" i="1"/>
  <c r="M47" i="1" l="1"/>
  <c r="F47" i="1"/>
  <c r="CA47" i="1"/>
  <c r="CB47" i="1"/>
  <c r="O232" i="1" l="1"/>
  <c r="O233" i="1" l="1"/>
  <c r="O234" i="1" l="1"/>
  <c r="O32" i="1" l="1"/>
  <c r="B210" i="1"/>
  <c r="B211" i="1" l="1"/>
  <c r="N210" i="1"/>
  <c r="A210" i="1"/>
  <c r="F210" i="1" l="1"/>
  <c r="M210" i="1"/>
  <c r="CA210" i="1"/>
  <c r="B212" i="1"/>
  <c r="B213" i="1" s="1"/>
  <c r="N211" i="1"/>
  <c r="A211" i="1"/>
  <c r="CB210" i="1"/>
  <c r="N213" i="1" l="1"/>
  <c r="A213" i="1"/>
  <c r="CA211" i="1"/>
  <c r="F211" i="1"/>
  <c r="M211" i="1"/>
  <c r="N212" i="1"/>
  <c r="A212" i="1"/>
  <c r="CB211" i="1"/>
  <c r="O235" i="1" l="1"/>
  <c r="B214" i="1"/>
  <c r="M213" i="1"/>
  <c r="CA213" i="1"/>
  <c r="F213" i="1"/>
  <c r="F212" i="1"/>
  <c r="M212" i="1"/>
  <c r="CA212" i="1"/>
  <c r="CB213" i="1"/>
  <c r="CB212" i="1"/>
  <c r="B215" i="1" l="1"/>
  <c r="A214" i="1"/>
  <c r="N214" i="1"/>
  <c r="F214" i="1" l="1"/>
  <c r="M214" i="1"/>
  <c r="CA214" i="1"/>
  <c r="A215" i="1"/>
  <c r="N215" i="1"/>
  <c r="CB214" i="1"/>
  <c r="M215" i="1" l="1"/>
  <c r="CA215" i="1"/>
  <c r="F215" i="1"/>
  <c r="CB215" i="1"/>
  <c r="O236" i="1" l="1"/>
  <c r="O33" i="1" l="1"/>
  <c r="O237" i="1" l="1"/>
  <c r="O238" i="1" l="1"/>
  <c r="O239" i="1" l="1"/>
  <c r="B216" i="1" l="1"/>
  <c r="O240" i="1" l="1"/>
  <c r="A216" i="1"/>
  <c r="N216" i="1"/>
  <c r="O241" i="1" l="1"/>
  <c r="B217" i="1"/>
  <c r="CA216" i="1"/>
  <c r="M216" i="1"/>
  <c r="F216" i="1"/>
  <c r="CB216" i="1"/>
  <c r="O242" i="1" l="1"/>
  <c r="N217" i="1"/>
  <c r="A217" i="1"/>
  <c r="O243" i="1" l="1"/>
  <c r="B218" i="1"/>
  <c r="F217" i="1"/>
  <c r="CA217" i="1"/>
  <c r="M217" i="1"/>
  <c r="CB217" i="1"/>
  <c r="N218" i="1" l="1"/>
  <c r="A218" i="1"/>
  <c r="B219" i="1"/>
  <c r="O244" i="1" l="1"/>
  <c r="B220" i="1"/>
  <c r="N219" i="1"/>
  <c r="A219" i="1"/>
  <c r="CA218" i="1"/>
  <c r="M218" i="1"/>
  <c r="F218" i="1"/>
  <c r="CB218" i="1"/>
  <c r="O245" i="1" l="1"/>
  <c r="CA219" i="1"/>
  <c r="F219" i="1"/>
  <c r="M219" i="1"/>
  <c r="N220" i="1"/>
  <c r="B221" i="1"/>
  <c r="A220" i="1"/>
  <c r="CB219" i="1"/>
  <c r="O246" i="1" l="1"/>
  <c r="O247" i="1"/>
  <c r="M220" i="1"/>
  <c r="CA220" i="1"/>
  <c r="F220" i="1"/>
  <c r="B222" i="1"/>
  <c r="N221" i="1"/>
  <c r="A221" i="1"/>
  <c r="CB220" i="1"/>
  <c r="F221" i="1" l="1"/>
  <c r="CA221" i="1"/>
  <c r="M221" i="1"/>
  <c r="B223" i="1"/>
  <c r="A222" i="1"/>
  <c r="N222" i="1"/>
  <c r="CB221" i="1"/>
  <c r="M222" i="1" l="1"/>
  <c r="CA222" i="1"/>
  <c r="F222" i="1"/>
  <c r="N223" i="1"/>
  <c r="B224" i="1"/>
  <c r="A223" i="1"/>
  <c r="CB222" i="1"/>
  <c r="F223" i="1" l="1"/>
  <c r="M223" i="1"/>
  <c r="CA223" i="1"/>
  <c r="B225" i="1"/>
  <c r="N224" i="1"/>
  <c r="A224" i="1"/>
  <c r="CB223" i="1"/>
  <c r="M224" i="1" l="1"/>
  <c r="F224" i="1"/>
  <c r="CA224" i="1"/>
  <c r="B226" i="1"/>
  <c r="N225" i="1"/>
  <c r="A225" i="1"/>
  <c r="CB224" i="1"/>
  <c r="CA225" i="1" l="1"/>
  <c r="M225" i="1"/>
  <c r="F225" i="1"/>
  <c r="B227" i="1"/>
  <c r="N226" i="1"/>
  <c r="A226" i="1"/>
  <c r="CB225" i="1"/>
  <c r="F226" i="1" l="1"/>
  <c r="CA226" i="1"/>
  <c r="M226" i="1"/>
  <c r="N227" i="1"/>
  <c r="A227" i="1"/>
  <c r="CB226" i="1"/>
  <c r="CA227" i="1" l="1"/>
  <c r="M227" i="1"/>
  <c r="F227" i="1"/>
  <c r="B228" i="1"/>
  <c r="CB227" i="1"/>
  <c r="B3" i="1" l="1"/>
  <c r="A228" i="1"/>
  <c r="N228" i="1"/>
  <c r="CA228" i="1" l="1"/>
  <c r="M228" i="1"/>
  <c r="F228" i="1"/>
  <c r="B229" i="1"/>
  <c r="A3" i="1"/>
  <c r="N3" i="1"/>
  <c r="CB228" i="1"/>
  <c r="F3" i="1" l="1"/>
  <c r="CA3" i="1"/>
  <c r="M3" i="1"/>
  <c r="B48" i="1"/>
  <c r="A229" i="1"/>
  <c r="N229" i="1"/>
  <c r="CB3" i="1"/>
  <c r="A48" i="1" l="1"/>
  <c r="N48" i="1"/>
  <c r="CA229" i="1"/>
  <c r="M229" i="1"/>
  <c r="F229" i="1"/>
  <c r="CB229" i="1"/>
  <c r="CA48" i="1" l="1"/>
  <c r="M48" i="1"/>
  <c r="F48" i="1"/>
  <c r="CB48" i="1"/>
  <c r="B260" i="1" l="1"/>
  <c r="A260" i="1" l="1"/>
  <c r="N260" i="1"/>
  <c r="CA260" i="1" l="1"/>
  <c r="F260" i="1"/>
  <c r="M260" i="1"/>
  <c r="CB260" i="1"/>
  <c r="B261" i="1" l="1"/>
  <c r="B230" i="1" l="1"/>
  <c r="A261" i="1"/>
  <c r="N261" i="1"/>
  <c r="B231" i="1" l="1"/>
  <c r="N230" i="1"/>
  <c r="A230" i="1"/>
  <c r="CA261" i="1"/>
  <c r="F261" i="1"/>
  <c r="M261" i="1"/>
  <c r="CB261" i="1"/>
  <c r="F230" i="1" l="1"/>
  <c r="CA230" i="1"/>
  <c r="M230" i="1"/>
  <c r="N231" i="1"/>
  <c r="A231" i="1"/>
  <c r="CB230" i="1"/>
  <c r="M231" i="1" l="1"/>
  <c r="F231" i="1"/>
  <c r="CA231" i="1"/>
  <c r="B232" i="1"/>
  <c r="CB231" i="1"/>
  <c r="B233" i="1" l="1"/>
  <c r="A232" i="1"/>
  <c r="N232" i="1"/>
  <c r="CA232" i="1" l="1"/>
  <c r="M232" i="1"/>
  <c r="F232" i="1"/>
  <c r="A233" i="1"/>
  <c r="N233" i="1"/>
  <c r="CB232" i="1"/>
  <c r="M233" i="1" l="1"/>
  <c r="CA233" i="1"/>
  <c r="F233" i="1"/>
  <c r="B234" i="1"/>
  <c r="CB233" i="1"/>
  <c r="A234" i="1" l="1"/>
  <c r="N234" i="1"/>
  <c r="CA234" i="1" l="1"/>
  <c r="M234" i="1"/>
  <c r="F234" i="1"/>
  <c r="CB234" i="1"/>
  <c r="B32" i="1" l="1"/>
  <c r="N32" i="1" l="1"/>
  <c r="A32" i="1"/>
  <c r="M32" i="1" l="1"/>
  <c r="F32" i="1"/>
  <c r="CA32" i="1"/>
  <c r="CB32" i="1"/>
  <c r="B235" i="1" l="1"/>
  <c r="A235" i="1" l="1"/>
  <c r="N235" i="1"/>
  <c r="CA235" i="1" l="1"/>
  <c r="M235" i="1"/>
  <c r="F235" i="1"/>
  <c r="CB235" i="1"/>
  <c r="B236" i="1" l="1"/>
  <c r="A236" i="1" l="1"/>
  <c r="B33" i="1"/>
  <c r="N236" i="1"/>
  <c r="B237" i="1" l="1"/>
  <c r="A33" i="1"/>
  <c r="N33" i="1"/>
  <c r="M236" i="1"/>
  <c r="F236" i="1"/>
  <c r="CA236" i="1"/>
  <c r="CB236" i="1"/>
  <c r="B238" i="1" l="1"/>
  <c r="N237" i="1"/>
  <c r="A237" i="1"/>
  <c r="M33" i="1"/>
  <c r="CA33" i="1"/>
  <c r="F33" i="1"/>
  <c r="CB33" i="1"/>
  <c r="B239" i="1" l="1"/>
  <c r="A238" i="1"/>
  <c r="N238" i="1"/>
  <c r="F237" i="1"/>
  <c r="CA237" i="1"/>
  <c r="M237" i="1"/>
  <c r="CB237" i="1"/>
  <c r="F238" i="1" l="1"/>
  <c r="CA238" i="1"/>
  <c r="M238" i="1"/>
  <c r="N239" i="1"/>
  <c r="A239" i="1"/>
  <c r="CB238" i="1"/>
  <c r="F239" i="1" l="1"/>
  <c r="CA239" i="1"/>
  <c r="M239" i="1"/>
  <c r="B240" i="1"/>
  <c r="CB239" i="1"/>
  <c r="N240" i="1" l="1"/>
  <c r="A240" i="1"/>
  <c r="B241" i="1"/>
  <c r="A241" i="1" l="1"/>
  <c r="N241" i="1"/>
  <c r="B242" i="1"/>
  <c r="CA240" i="1"/>
  <c r="F240" i="1"/>
  <c r="M240" i="1"/>
  <c r="CB240" i="1"/>
  <c r="M241" i="1" l="1"/>
  <c r="F241" i="1"/>
  <c r="CA241" i="1"/>
  <c r="A242" i="1"/>
  <c r="N242" i="1"/>
  <c r="B243" i="1"/>
  <c r="CB241" i="1"/>
  <c r="N243" i="1" l="1"/>
  <c r="A243" i="1"/>
  <c r="M242" i="1"/>
  <c r="CA242" i="1"/>
  <c r="F242" i="1"/>
  <c r="CB242" i="1"/>
  <c r="CA243" i="1" l="1"/>
  <c r="M243" i="1"/>
  <c r="F243" i="1"/>
  <c r="B244" i="1"/>
  <c r="CB243" i="1"/>
  <c r="B245" i="1" l="1"/>
  <c r="N244" i="1"/>
  <c r="A244" i="1"/>
  <c r="B246" i="1" l="1"/>
  <c r="N245" i="1"/>
  <c r="A245" i="1"/>
  <c r="M244" i="1"/>
  <c r="F244" i="1"/>
  <c r="CA244" i="1"/>
  <c r="CB244" i="1"/>
  <c r="B247" i="1" l="1"/>
  <c r="B248" i="1" s="1"/>
  <c r="N246" i="1"/>
  <c r="A246" i="1"/>
  <c r="M245" i="1"/>
  <c r="F245" i="1"/>
  <c r="CA245" i="1"/>
  <c r="CB245" i="1"/>
  <c r="A248" i="1" l="1"/>
  <c r="N248" i="1"/>
  <c r="B249" i="1"/>
  <c r="A247" i="1"/>
  <c r="N247" i="1"/>
  <c r="CA246" i="1"/>
  <c r="F246" i="1"/>
  <c r="M246" i="1"/>
  <c r="CB246" i="1"/>
  <c r="M248" i="1" l="1"/>
  <c r="F248" i="1"/>
  <c r="CA248" i="1"/>
  <c r="N249" i="1"/>
  <c r="A249" i="1"/>
  <c r="B250" i="1"/>
  <c r="CA247" i="1"/>
  <c r="F247" i="1"/>
  <c r="M247" i="1"/>
  <c r="CB247" i="1"/>
  <c r="CB248" i="1"/>
  <c r="B251" i="1" l="1"/>
  <c r="A250" i="1"/>
  <c r="N250" i="1"/>
  <c r="CA249" i="1"/>
  <c r="F249" i="1"/>
  <c r="M249" i="1"/>
  <c r="CB249" i="1"/>
  <c r="CA250" i="1" l="1"/>
  <c r="M250" i="1"/>
  <c r="F250" i="1"/>
  <c r="N251" i="1"/>
  <c r="A251" i="1"/>
  <c r="B252" i="1"/>
  <c r="CB250" i="1"/>
  <c r="N252" i="1" l="1"/>
  <c r="A252" i="1"/>
  <c r="M251" i="1"/>
  <c r="CA251" i="1"/>
  <c r="F251" i="1"/>
  <c r="CB251" i="1"/>
  <c r="CA252" i="1" l="1"/>
  <c r="F252" i="1"/>
  <c r="M252" i="1"/>
  <c r="CB252" i="1"/>
  <c r="B253" i="1" l="1"/>
  <c r="N253" i="1" l="1"/>
  <c r="B254" i="1"/>
  <c r="A253" i="1"/>
  <c r="B255" i="1" l="1"/>
  <c r="N254" i="1"/>
  <c r="A254" i="1"/>
  <c r="F253" i="1"/>
  <c r="M253" i="1"/>
  <c r="CA253" i="1"/>
  <c r="CB253" i="1"/>
  <c r="M254" i="1" l="1"/>
  <c r="CA254" i="1"/>
  <c r="F254" i="1"/>
  <c r="A255" i="1"/>
  <c r="N255" i="1"/>
  <c r="B256" i="1"/>
  <c r="CB254" i="1"/>
  <c r="N256" i="1" l="1"/>
  <c r="A256" i="1"/>
  <c r="B257" i="1"/>
  <c r="CA255" i="1"/>
  <c r="F255" i="1"/>
  <c r="M255" i="1"/>
  <c r="CB255" i="1"/>
  <c r="N257" i="1" l="1"/>
  <c r="A257" i="1"/>
  <c r="F256" i="1"/>
  <c r="M256" i="1"/>
  <c r="CA256" i="1"/>
  <c r="CB256" i="1"/>
  <c r="CA257" i="1" l="1"/>
  <c r="F257" i="1"/>
  <c r="M257" i="1"/>
  <c r="CB257" i="1"/>
  <c r="B258" i="1" l="1"/>
  <c r="N258" i="1" l="1"/>
  <c r="A258" i="1"/>
  <c r="F258" i="1" l="1"/>
  <c r="CA258" i="1"/>
  <c r="M258" i="1"/>
  <c r="CB258" i="1"/>
</calcChain>
</file>

<file path=xl/sharedStrings.xml><?xml version="1.0" encoding="utf-8"?>
<sst xmlns="http://schemas.openxmlformats.org/spreadsheetml/2006/main" count="9366" uniqueCount="3188">
  <si>
    <t>sscd_idcd</t>
  </si>
  <si>
    <t>lang_dvcd</t>
  </si>
  <si>
    <t>site_idcd</t>
  </si>
  <si>
    <t>sscd_code</t>
  </si>
  <si>
    <t>sscd_name</t>
  </si>
  <si>
    <t>sscd_dvcd</t>
  </si>
  <si>
    <t>dflt_valu</t>
  </si>
  <si>
    <t>lkup_valu</t>
  </si>
  <si>
    <t>sbsc_valu</t>
  </si>
  <si>
    <t>user_memo</t>
  </si>
  <si>
    <t>sysm_memo</t>
  </si>
  <si>
    <t>prnt_idcd</t>
  </si>
  <si>
    <t>line_levl</t>
  </si>
  <si>
    <t>line_ordr</t>
  </si>
  <si>
    <t>line_stat</t>
  </si>
  <si>
    <t>line_clos</t>
  </si>
  <si>
    <t>find_name</t>
  </si>
  <si>
    <t>updt_user_name</t>
  </si>
  <si>
    <t>updt_ipad</t>
  </si>
  <si>
    <t>updt_dttm</t>
  </si>
  <si>
    <t>updt_idcd</t>
  </si>
  <si>
    <t>updt_urif</t>
  </si>
  <si>
    <t>crte_user_name</t>
  </si>
  <si>
    <t>crte_ipad</t>
  </si>
  <si>
    <t>crte_dttm</t>
  </si>
  <si>
    <t>crte_idcd</t>
  </si>
  <si>
    <t>crte_urif</t>
  </si>
  <si>
    <t>KOR</t>
  </si>
  <si>
    <t>system</t>
  </si>
  <si>
    <t>여신 한도에 대한 대응 방법 limit_control</t>
  </si>
  <si>
    <t>gb</t>
  </si>
  <si>
    <t>0</t>
  </si>
  <si>
    <t xml:space="preserve"> </t>
  </si>
  <si>
    <t>SCM 납품 관리 상태 정보 ?</t>
  </si>
  <si>
    <t>발주 상태 코드</t>
  </si>
  <si>
    <t>조회구분</t>
  </si>
  <si>
    <t>search_all</t>
  </si>
  <si>
    <t>주문 일자 구분</t>
  </si>
  <si>
    <t>입고 상태 정보</t>
  </si>
  <si>
    <t>asp_site</t>
  </si>
  <si>
    <t>ASP 서비스 사이트 리스트</t>
  </si>
  <si>
    <t>server_os</t>
  </si>
  <si>
    <t>운영체제 종류</t>
  </si>
  <si>
    <t>청약 구분</t>
  </si>
  <si>
    <t>세금 계산서 상태 (국세청)</t>
  </si>
  <si>
    <t>인증서 구분</t>
  </si>
  <si>
    <t>요금 타입</t>
  </si>
  <si>
    <t>연동 방식</t>
  </si>
  <si>
    <t>시작 일자 선택 구분</t>
  </si>
  <si>
    <t>종료 일자 선택 구분</t>
  </si>
  <si>
    <t>설치구분</t>
  </si>
  <si>
    <t>데이터베이스 구분</t>
  </si>
  <si>
    <t>SMS 공급사</t>
  </si>
  <si>
    <t>TAX 공급사</t>
  </si>
  <si>
    <t>FAX 공급사</t>
  </si>
  <si>
    <t>실사 구분</t>
  </si>
  <si>
    <t>계산서 구분 코드</t>
  </si>
  <si>
    <t>수신여부</t>
  </si>
  <si>
    <t>직원구분</t>
  </si>
  <si>
    <t>주문서접수 상태</t>
  </si>
  <si>
    <t>주문서관리 상태</t>
  </si>
  <si>
    <t>매출계정구분</t>
  </si>
  <si>
    <t>전자메일 구분</t>
  </si>
  <si>
    <t>itm_memo</t>
  </si>
  <si>
    <t>검수 미출고사유 메모</t>
  </si>
  <si>
    <t>할인 타입</t>
  </si>
  <si>
    <t>절사 타입</t>
  </si>
  <si>
    <t>일고일자구분</t>
  </si>
  <si>
    <t>계산서 일자 구분</t>
  </si>
  <si>
    <t>상담유형</t>
  </si>
  <si>
    <t>매입사 구분(거래형태)</t>
  </si>
  <si>
    <t>거래상태 (악성미수금 포함)</t>
  </si>
  <si>
    <t>피킹출력 여부</t>
  </si>
  <si>
    <t>기초코드 종류</t>
  </si>
  <si>
    <t>계정구분</t>
  </si>
  <si>
    <t>결제유형</t>
  </si>
  <si>
    <t>견적서 일자 설정 구분</t>
  </si>
  <si>
    <t>견적서 집계 구분</t>
  </si>
  <si>
    <t>절사방식</t>
  </si>
  <si>
    <t>sa_vat_apply_mk</t>
  </si>
  <si>
    <t>VAT적용방식</t>
  </si>
  <si>
    <t>조회조건 전체</t>
  </si>
  <si>
    <t>판매구분</t>
  </si>
  <si>
    <t>provider</t>
  </si>
  <si>
    <t>Data Base의 종류</t>
  </si>
  <si>
    <t>protocol</t>
  </si>
  <si>
    <t>프로토콜의 종류</t>
  </si>
  <si>
    <t>DB최대용량</t>
  </si>
  <si>
    <t>결제수단</t>
  </si>
  <si>
    <t>결제구분</t>
  </si>
  <si>
    <t>결제상태</t>
  </si>
  <si>
    <t>2</t>
  </si>
  <si>
    <t>본사구분</t>
  </si>
  <si>
    <t>청약상태</t>
  </si>
  <si>
    <t>po_path</t>
  </si>
  <si>
    <t>주문경로</t>
  </si>
  <si>
    <t>주문 반품 구분</t>
  </si>
  <si>
    <t>요일코드</t>
  </si>
  <si>
    <t>이동 출고 상태 정보</t>
  </si>
  <si>
    <t>이동 요청 상태 정보</t>
  </si>
  <si>
    <t>order_query_word</t>
  </si>
  <si>
    <t>주문 검색조건</t>
  </si>
  <si>
    <t>전자 세금계산서 업체</t>
  </si>
  <si>
    <t>견적 상태 정보</t>
  </si>
  <si>
    <t>sale_no_word</t>
  </si>
  <si>
    <t>주문/매출번호</t>
  </si>
  <si>
    <t>발주 구분</t>
  </si>
  <si>
    <t>상담구분</t>
  </si>
  <si>
    <t>집하구분</t>
  </si>
  <si>
    <t>서버운영구분</t>
  </si>
  <si>
    <t>삭제여부</t>
  </si>
  <si>
    <t>결혼여부</t>
  </si>
  <si>
    <t>권한구분</t>
  </si>
  <si>
    <t>직무구분코드</t>
  </si>
  <si>
    <t>성별코드</t>
  </si>
  <si>
    <t>Verify 구분</t>
  </si>
  <si>
    <t>반올림구분</t>
  </si>
  <si>
    <t>언어코드</t>
  </si>
  <si>
    <t>보험구분</t>
  </si>
  <si>
    <t>정규직여부</t>
  </si>
  <si>
    <t>사용여부</t>
  </si>
  <si>
    <t>관리자구분</t>
  </si>
  <si>
    <t>생일구분</t>
  </si>
  <si>
    <t>auth_dvcd</t>
  </si>
  <si>
    <t>duty_dvcd</t>
  </si>
  <si>
    <t>insu_dvcd</t>
  </si>
  <si>
    <t>verify_dvcd</t>
  </si>
  <si>
    <t>work_dvcd</t>
  </si>
  <si>
    <t>acct_dvcd</t>
  </si>
  <si>
    <t>base_dvcd</t>
  </si>
  <si>
    <t>cert_dvcd</t>
  </si>
  <si>
    <t>contr_dvcd</t>
  </si>
  <si>
    <t>esti_dt_dvcd</t>
  </si>
  <si>
    <t>esti_group_dvcd</t>
  </si>
  <si>
    <t>frdt_dvcd</t>
  </si>
  <si>
    <t>host_dvcd</t>
  </si>
  <si>
    <t>modi_inv_dvcd</t>
  </si>
  <si>
    <t>pack_dvcd</t>
  </si>
  <si>
    <t>po_date_dvcd</t>
  </si>
  <si>
    <t>po_dvcd</t>
  </si>
  <si>
    <t>recv_dvcd</t>
  </si>
  <si>
    <t>sale_dvcd</t>
  </si>
  <si>
    <t>sync_dvcd</t>
  </si>
  <si>
    <t>todt_dvcd</t>
  </si>
  <si>
    <t>user_dvcd</t>
  </si>
  <si>
    <t>vend_dvcd</t>
  </si>
  <si>
    <t>week_dvcd</t>
  </si>
  <si>
    <t>cust_stat_1</t>
  </si>
  <si>
    <t>esti_stat</t>
  </si>
  <si>
    <t>move_order_stat</t>
  </si>
  <si>
    <t>move_sale_stat</t>
  </si>
  <si>
    <t>rqust_stat</t>
  </si>
  <si>
    <t>sale_inv_stat</t>
  </si>
  <si>
    <t>etax_idcd</t>
  </si>
  <si>
    <t>fax_idcd</t>
  </si>
  <si>
    <t>sms_idcd</t>
  </si>
  <si>
    <t>tax_idcd</t>
  </si>
  <si>
    <t>승인구분</t>
    <phoneticPr fontId="1" type="noConversion"/>
  </si>
  <si>
    <t>부가세포함여부</t>
    <phoneticPr fontId="1" type="noConversion"/>
  </si>
  <si>
    <t>수금/지급 타입</t>
    <phoneticPr fontId="1" type="noConversion"/>
  </si>
  <si>
    <t>재직상태</t>
    <phoneticPr fontId="1" type="noConversion"/>
  </si>
  <si>
    <t>시스템코드구분코드</t>
  </si>
  <si>
    <t>단어구분코드</t>
  </si>
  <si>
    <t>부서구분코드</t>
  </si>
  <si>
    <t>비용구분코드</t>
  </si>
  <si>
    <t>휴일타입구분코드</t>
  </si>
  <si>
    <t>관리창고구분코드</t>
  </si>
  <si>
    <t>창고담당자통제구분코드</t>
  </si>
  <si>
    <t>지역구분코드</t>
  </si>
  <si>
    <t>권역구분코드</t>
  </si>
  <si>
    <t>자산분류구분코드</t>
  </si>
  <si>
    <t>부가세구분코드</t>
  </si>
  <si>
    <t>검사방법구분코드</t>
  </si>
  <si>
    <t>샘플링기준구분코드</t>
  </si>
  <si>
    <t>유통기한구분코드</t>
  </si>
  <si>
    <t>소요량계산방식구분코드</t>
  </si>
  <si>
    <t>출고방법구분코드</t>
  </si>
  <si>
    <t>내외자구분코드</t>
  </si>
  <si>
    <t>생산유형구분코드</t>
  </si>
  <si>
    <t>생산사양구분코드</t>
  </si>
  <si>
    <t>운송방법구분코드</t>
  </si>
  <si>
    <t>통화구분코드</t>
  </si>
  <si>
    <t>변경사유구분코드</t>
  </si>
  <si>
    <t>시리얼구분코드</t>
  </si>
  <si>
    <t>유통구조구분코드</t>
  </si>
  <si>
    <t>법인구분코드</t>
  </si>
  <si>
    <t>국내외구분코드</t>
  </si>
  <si>
    <t>담당자구분코드</t>
  </si>
  <si>
    <t>주소구분코드</t>
  </si>
  <si>
    <t>운송수단구분코드</t>
  </si>
  <si>
    <t>배송지역구분코드</t>
  </si>
  <si>
    <t>변경옵션구분코드</t>
  </si>
  <si>
    <t>설비상태구분코드</t>
  </si>
  <si>
    <t>설비종류구분코드</t>
  </si>
  <si>
    <t>점검주기구분코드</t>
  </si>
  <si>
    <t>점검구분코드</t>
  </si>
  <si>
    <t>수리사유항목구분코드</t>
  </si>
  <si>
    <t>조치구분코드</t>
  </si>
  <si>
    <t>금형상태구분코드</t>
  </si>
  <si>
    <t>재질구분코드2</t>
  </si>
  <si>
    <t>등급구분코드</t>
  </si>
  <si>
    <t>직원구분코드</t>
  </si>
  <si>
    <t>능력구분코드</t>
  </si>
  <si>
    <t>직종구분코드</t>
  </si>
  <si>
    <t>근무조구분코드</t>
  </si>
  <si>
    <t>견적구분코드</t>
  </si>
  <si>
    <t>납기일자</t>
  </si>
  <si>
    <t>견적품목구분코드</t>
  </si>
  <si>
    <t>오더구분코드</t>
  </si>
  <si>
    <t>수출구분코드</t>
  </si>
  <si>
    <t>위탁구분코드</t>
  </si>
  <si>
    <t>인도조건구분코드</t>
  </si>
  <si>
    <t>옵션구분코드</t>
  </si>
  <si>
    <t>처리구분코드</t>
  </si>
  <si>
    <t>생산의뢰구분코드</t>
  </si>
  <si>
    <t>생산용도구분코드</t>
  </si>
  <si>
    <t>검사구분코드</t>
  </si>
  <si>
    <t>이동구분코드</t>
  </si>
  <si>
    <t>출고용도구분코드</t>
  </si>
  <si>
    <t>출고유형구분코드</t>
  </si>
  <si>
    <t>입고일자</t>
  </si>
  <si>
    <t>인식표구분코드</t>
  </si>
  <si>
    <t>구매요청구분코드</t>
  </si>
  <si>
    <t>자금구분코드</t>
  </si>
  <si>
    <t>불량원인구분코드</t>
  </si>
  <si>
    <t>판정구분코드</t>
  </si>
  <si>
    <t>작업시간종류구분코드</t>
  </si>
  <si>
    <t>가감구분코드</t>
  </si>
  <si>
    <t>작업인원구분코드</t>
  </si>
  <si>
    <t>유실사유구분코드</t>
  </si>
  <si>
    <t>검사항목구분코드</t>
  </si>
  <si>
    <t>불량유형구분코드</t>
  </si>
  <si>
    <t>table명</t>
    <phoneticPr fontId="1" type="noConversion"/>
  </si>
  <si>
    <t>sscd_mast</t>
    <phoneticPr fontId="1" type="noConversion"/>
  </si>
  <si>
    <t>Row 상태(정상 또는 숨김)</t>
    <phoneticPr fontId="1" type="noConversion"/>
  </si>
  <si>
    <t>사업자구분</t>
    <phoneticPr fontId="1" type="noConversion"/>
  </si>
  <si>
    <t>pric_dvcd</t>
  </si>
  <si>
    <t>apvl_dvcd</t>
  </si>
  <si>
    <t>bzmn_dvcd</t>
  </si>
  <si>
    <t>dbms_size</t>
  </si>
  <si>
    <t>stot_dvcd</t>
  </si>
  <si>
    <t>stot_stat</t>
  </si>
  <si>
    <t>stot_mthd_dvcd</t>
  </si>
  <si>
    <t>stot_type</t>
  </si>
  <si>
    <t>marr_dvcd</t>
  </si>
  <si>
    <t>txbl_dvcd</t>
  </si>
  <si>
    <t>txbl_date_dvcd</t>
  </si>
  <si>
    <t>ntce_dvcd</t>
  </si>
  <si>
    <t>admn_dvcd</t>
  </si>
  <si>
    <t>dbms_dvcd</t>
  </si>
  <si>
    <t>sale_acct_dvcd</t>
  </si>
  <si>
    <t>rund_dvcd</t>
  </si>
  <si>
    <t>purc_dvcd</t>
  </si>
  <si>
    <t>purc_stat</t>
  </si>
  <si>
    <t>hqof_dvcd</t>
  </si>
  <si>
    <t>used_dvcd</t>
  </si>
  <si>
    <t>dele_yorn</t>
  </si>
  <si>
    <t>cnsl_dvcd</t>
  </si>
  <si>
    <t>cnsl_type</t>
  </si>
  <si>
    <t>birh_dvcd</t>
  </si>
  <si>
    <t>istl_dvcd</t>
  </si>
  <si>
    <t>gndr_dvcd</t>
  </si>
  <si>
    <t>etax_stat</t>
  </si>
  <si>
    <t>paym_dvcd</t>
  </si>
  <si>
    <t>limit_cntl_dvcd</t>
  </si>
  <si>
    <t>recv_date_dvcd</t>
  </si>
  <si>
    <t>recv_stat</t>
  </si>
  <si>
    <t>mail_idcd</t>
  </si>
  <si>
    <t>rund_type</t>
  </si>
  <si>
    <t>rund_mthd</t>
  </si>
  <si>
    <t>fxrl_dvcd</t>
  </si>
  <si>
    <t>inqy_dvcd</t>
  </si>
  <si>
    <t>ordr_work_stat</t>
  </si>
  <si>
    <t>ordr_acpt_stat</t>
  </si>
  <si>
    <t>pick_yorn</t>
  </si>
  <si>
    <t>dsnt_type</t>
  </si>
  <si>
    <t>word_dvcd</t>
  </si>
  <si>
    <t>dept_dvcd</t>
  </si>
  <si>
    <t>exps_dvcd</t>
  </si>
  <si>
    <t>hldy_type_dvcd</t>
  </si>
  <si>
    <t>mngt_wrhs_dvcd</t>
  </si>
  <si>
    <t>wrhs_drtr_cntr_dvcd</t>
  </si>
  <si>
    <t>lcal_dvcd</t>
  </si>
  <si>
    <t>dstr_dvcd</t>
  </si>
  <si>
    <t>aset_clss_dvcd</t>
  </si>
  <si>
    <t>vatx_dvcd</t>
  </si>
  <si>
    <t>insp_mthd_dvcd</t>
  </si>
  <si>
    <t>smpl_stnd_dvcd</t>
  </si>
  <si>
    <t>rtil_ddln_dvcd</t>
  </si>
  <si>
    <t>ndqt_calc_mthd_dvcd</t>
  </si>
  <si>
    <t>ostt_mthd_dvcd</t>
  </si>
  <si>
    <t>coun_iout_dvcd</t>
  </si>
  <si>
    <t>prod_type_dvcd</t>
  </si>
  <si>
    <t>prod_optn_dvcd</t>
  </si>
  <si>
    <t>trnt_mthd_dvcd</t>
  </si>
  <si>
    <t>crny_dvcd</t>
  </si>
  <si>
    <t>chge_resn_dvcd</t>
  </si>
  <si>
    <t>sral_dvcd</t>
  </si>
  <si>
    <t>rtil_stru_dvcd</t>
  </si>
  <si>
    <t>corp_dvcd</t>
  </si>
  <si>
    <t>cnio_dvcd</t>
  </si>
  <si>
    <t>drtr_dvcd</t>
  </si>
  <si>
    <t>addr_dvcd</t>
  </si>
  <si>
    <t>trnt_mean_dvcd</t>
  </si>
  <si>
    <t>dlvy_lcal_dvcd</t>
  </si>
  <si>
    <t>chge_optn_dvcd</t>
  </si>
  <si>
    <t>cvic_stat_dvcd</t>
  </si>
  <si>
    <t>cvic_kind_dvcd</t>
  </si>
  <si>
    <t>chek_ccle_dvcd</t>
  </si>
  <si>
    <t>chek_dvcd</t>
  </si>
  <si>
    <t>repa_resn_sbsc_dvcd</t>
  </si>
  <si>
    <t>trtm_dvcd</t>
  </si>
  <si>
    <t>mold_stat_dvcd</t>
  </si>
  <si>
    <t>mtrl_dvcd_2snd</t>
  </si>
  <si>
    <t>grad_dvcd</t>
  </si>
  <si>
    <t>empy_dvcd</t>
  </si>
  <si>
    <t>abty_dvcd</t>
  </si>
  <si>
    <t>wkkn_dvcd</t>
  </si>
  <si>
    <t>work_para_dvcd</t>
  </si>
  <si>
    <t>esti_dvcd</t>
  </si>
  <si>
    <t>esti_item_dvcd</t>
  </si>
  <si>
    <t>ordr_dvcd</t>
  </si>
  <si>
    <t>expt_dvcd</t>
  </si>
  <si>
    <t>trut_dvcd</t>
  </si>
  <si>
    <t>dlvy_cond_dvcd</t>
  </si>
  <si>
    <t>optn_dvcd</t>
  </si>
  <si>
    <t>proc_dvcd</t>
  </si>
  <si>
    <t>prod_trst_dvcd</t>
  </si>
  <si>
    <t>prod_usge_dvcd</t>
  </si>
  <si>
    <t>insp_dvcd</t>
  </si>
  <si>
    <t>move_dvcd</t>
  </si>
  <si>
    <t>ostt_usge_dvcd</t>
  </si>
  <si>
    <t>ostt_type_dvcd</t>
  </si>
  <si>
    <t>tagg_dvcd</t>
  </si>
  <si>
    <t>puch_reqt_dvcd</t>
  </si>
  <si>
    <t>fund_dvcd</t>
  </si>
  <si>
    <t>poor_caus_dvcd</t>
  </si>
  <si>
    <t>judt_dvcd</t>
  </si>
  <si>
    <t>work_time_kind_dvcd</t>
  </si>
  <si>
    <t>porm_dvcd</t>
  </si>
  <si>
    <t>work_pcnt_dvcd</t>
  </si>
  <si>
    <t>loss_resn_dvcd</t>
  </si>
  <si>
    <t>insp_sbsc_dvcd</t>
  </si>
  <si>
    <t>poor_type_dvcd</t>
  </si>
  <si>
    <t>vtax_incl_dvcd</t>
    <phoneticPr fontId="1" type="noConversion"/>
  </si>
  <si>
    <t>cstm_dvcd</t>
    <phoneticPr fontId="1" type="noConversion"/>
  </si>
  <si>
    <t>dywk_dvcd</t>
    <phoneticPr fontId="1" type="noConversion"/>
  </si>
  <si>
    <t>요일구분코드</t>
    <phoneticPr fontId="1" type="noConversion"/>
  </si>
  <si>
    <t>rslt_iput_dvcd</t>
    <phoneticPr fontId="1" type="noConversion"/>
  </si>
  <si>
    <t>결과입력구분코드</t>
    <phoneticPr fontId="1" type="noConversion"/>
  </si>
  <si>
    <t>메인</t>
  </si>
  <si>
    <t>supply</t>
  </si>
  <si>
    <t>SCM</t>
  </si>
  <si>
    <t>mysql</t>
  </si>
  <si>
    <t>MySql</t>
  </si>
  <si>
    <t>oracle</t>
  </si>
  <si>
    <t>Oracle</t>
  </si>
  <si>
    <t>mssql</t>
  </si>
  <si>
    <t>MS/SQL</t>
  </si>
  <si>
    <t>무제한</t>
  </si>
  <si>
    <t>2Gbyte</t>
  </si>
  <si>
    <t>3Gbyte</t>
  </si>
  <si>
    <t>미사용</t>
  </si>
  <si>
    <t>숨김</t>
  </si>
  <si>
    <t>삭제</t>
  </si>
  <si>
    <t>납품대기</t>
  </si>
  <si>
    <t>일부납품</t>
  </si>
  <si>
    <t>납품완료</t>
  </si>
  <si>
    <t>효성</t>
  </si>
  <si>
    <t>C</t>
  </si>
  <si>
    <t>1</t>
  </si>
  <si>
    <t>출하가1</t>
  </si>
  <si>
    <t>출하가2</t>
  </si>
  <si>
    <t>출하가3</t>
  </si>
  <si>
    <t>출하가4</t>
  </si>
  <si>
    <t>출하가5</t>
  </si>
  <si>
    <t>소비자가</t>
  </si>
  <si>
    <t>숫자</t>
  </si>
  <si>
    <t>문자</t>
  </si>
  <si>
    <t>무검사</t>
  </si>
  <si>
    <t>검사</t>
  </si>
  <si>
    <t>거래처검사</t>
  </si>
  <si>
    <t>전수검사</t>
  </si>
  <si>
    <t>Sample</t>
  </si>
  <si>
    <t>크기</t>
  </si>
  <si>
    <t>무게</t>
  </si>
  <si>
    <t>없음</t>
  </si>
  <si>
    <t>단종</t>
  </si>
  <si>
    <t>업체결품</t>
  </si>
  <si>
    <t>주문대기</t>
  </si>
  <si>
    <t>주문처리</t>
  </si>
  <si>
    <t>매출처리</t>
  </si>
  <si>
    <t>설정안함</t>
  </si>
  <si>
    <t>일자별</t>
  </si>
  <si>
    <t>선불</t>
  </si>
  <si>
    <t>N</t>
  </si>
  <si>
    <t>정상</t>
  </si>
  <si>
    <t>X</t>
  </si>
  <si>
    <t>D</t>
  </si>
  <si>
    <t>승인취소</t>
  </si>
  <si>
    <t>카드</t>
  </si>
  <si>
    <t>현금</t>
  </si>
  <si>
    <t>PP카드</t>
  </si>
  <si>
    <t>상품권</t>
  </si>
  <si>
    <t>현금(카드)</t>
  </si>
  <si>
    <t>월마감</t>
  </si>
  <si>
    <t>정산</t>
  </si>
  <si>
    <t>01</t>
  </si>
  <si>
    <t>일반세금계산서</t>
  </si>
  <si>
    <t>전자세금계산서</t>
  </si>
  <si>
    <t>발행일자</t>
  </si>
  <si>
    <t>작성일자</t>
  </si>
  <si>
    <t>1000</t>
  </si>
  <si>
    <t>원재료</t>
  </si>
  <si>
    <t>기타</t>
  </si>
  <si>
    <t>일반사용자</t>
  </si>
  <si>
    <t>부서관리자</t>
  </si>
  <si>
    <t>회사관리자</t>
  </si>
  <si>
    <t>국내</t>
  </si>
  <si>
    <t>E</t>
  </si>
  <si>
    <t>해외</t>
  </si>
  <si>
    <t>조회</t>
  </si>
  <si>
    <t>갱신</t>
  </si>
  <si>
    <t>일반거래</t>
  </si>
  <si>
    <t>직납거래</t>
  </si>
  <si>
    <t>일반매출관리</t>
  </si>
  <si>
    <t>매출계정관리</t>
  </si>
  <si>
    <t>소수2번째</t>
  </si>
  <si>
    <t>일반발주</t>
  </si>
  <si>
    <t>통합발주</t>
  </si>
  <si>
    <t>직납발주</t>
  </si>
  <si>
    <t>승인대기</t>
  </si>
  <si>
    <t>발주승인</t>
  </si>
  <si>
    <t>S</t>
  </si>
  <si>
    <t>보험구분1</t>
  </si>
  <si>
    <t>보험구분2</t>
  </si>
  <si>
    <t>Y</t>
  </si>
  <si>
    <t>프랜차이즈</t>
  </si>
  <si>
    <t>단일사업장</t>
  </si>
  <si>
    <t>단독점포형</t>
  </si>
  <si>
    <t>0000</t>
  </si>
  <si>
    <t>개통대기</t>
  </si>
  <si>
    <t>미납정지</t>
  </si>
  <si>
    <t>직권해지</t>
  </si>
  <si>
    <t>개인사업자</t>
  </si>
  <si>
    <t>법인사업자</t>
  </si>
  <si>
    <t>전화상담</t>
  </si>
  <si>
    <t>체인점방문</t>
  </si>
  <si>
    <t>본사방문</t>
  </si>
  <si>
    <t>기타정보사항</t>
  </si>
  <si>
    <t>재고문의</t>
  </si>
  <si>
    <t>매출원장수신요청</t>
  </si>
  <si>
    <t>반품</t>
  </si>
  <si>
    <t>양력</t>
  </si>
  <si>
    <t>음력</t>
  </si>
  <si>
    <t>사내서버</t>
  </si>
  <si>
    <t>외부자사서버</t>
  </si>
  <si>
    <t>외부임대서버</t>
  </si>
  <si>
    <t>외부클라우드</t>
  </si>
  <si>
    <t>신규</t>
  </si>
  <si>
    <t>변경</t>
  </si>
  <si>
    <t>M</t>
  </si>
  <si>
    <t>남</t>
  </si>
  <si>
    <t>F</t>
  </si>
  <si>
    <t>여</t>
  </si>
  <si>
    <t>전송전</t>
  </si>
  <si>
    <t>전송중</t>
  </si>
  <si>
    <t>할인</t>
  </si>
  <si>
    <t>금일</t>
  </si>
  <si>
    <t>전일</t>
  </si>
  <si>
    <t>금주</t>
  </si>
  <si>
    <t>전주</t>
  </si>
  <si>
    <t>금월</t>
  </si>
  <si>
    <t>전월</t>
  </si>
  <si>
    <t>1주일</t>
  </si>
  <si>
    <t>2주일</t>
  </si>
  <si>
    <t>1개월</t>
  </si>
  <si>
    <t>2개월</t>
  </si>
  <si>
    <t>재고조정</t>
  </si>
  <si>
    <t>재고실사</t>
  </si>
  <si>
    <t>기타출고</t>
  </si>
  <si>
    <t>한국어</t>
  </si>
  <si>
    <t>ENG</t>
  </si>
  <si>
    <t>영어</t>
  </si>
  <si>
    <t>CHI</t>
  </si>
  <si>
    <t>중국어</t>
  </si>
  <si>
    <t>JPN</t>
  </si>
  <si>
    <t>일본어</t>
  </si>
  <si>
    <t>제한없음</t>
  </si>
  <si>
    <t>출하경고</t>
  </si>
  <si>
    <t>출하중지</t>
  </si>
  <si>
    <t>미수관리제외(미수0처리)</t>
  </si>
  <si>
    <t>연동안함</t>
  </si>
  <si>
    <t>에이젼트</t>
  </si>
  <si>
    <t>즉시연동</t>
  </si>
  <si>
    <t>착불</t>
  </si>
  <si>
    <t>신용</t>
  </si>
  <si>
    <t>일요일</t>
  </si>
  <si>
    <t>월요일</t>
  </si>
  <si>
    <t>화요일</t>
  </si>
  <si>
    <t>수요일</t>
  </si>
  <si>
    <t>목요일</t>
  </si>
  <si>
    <t>금요일</t>
  </si>
  <si>
    <t>토요일</t>
  </si>
  <si>
    <t>직접배송</t>
  </si>
  <si>
    <t>택배배송</t>
  </si>
  <si>
    <t>고객직송</t>
  </si>
  <si>
    <t>리눅스</t>
  </si>
  <si>
    <t>Z</t>
  </si>
  <si>
    <t>윈도우</t>
  </si>
  <si>
    <t>출고대기</t>
  </si>
  <si>
    <t>부분출고</t>
  </si>
  <si>
    <t>출고완료</t>
  </si>
  <si>
    <t>입고대기</t>
  </si>
  <si>
    <t>부분입고</t>
  </si>
  <si>
    <t>입고완료</t>
  </si>
  <si>
    <t>전표일자</t>
  </si>
  <si>
    <t>매입확정일</t>
  </si>
  <si>
    <t>이동입고</t>
  </si>
  <si>
    <t>재직</t>
  </si>
  <si>
    <t>수습</t>
  </si>
  <si>
    <t>발령대기</t>
  </si>
  <si>
    <t>휴직</t>
  </si>
  <si>
    <t>퇴직</t>
  </si>
  <si>
    <t>네이버</t>
  </si>
  <si>
    <t>한메일</t>
  </si>
  <si>
    <t>지메일</t>
  </si>
  <si>
    <t>N10</t>
  </si>
  <si>
    <t>절사없음</t>
  </si>
  <si>
    <t>비정규직</t>
  </si>
  <si>
    <t>정규직</t>
  </si>
  <si>
    <t>전체</t>
  </si>
  <si>
    <t>TO10</t>
  </si>
  <si>
    <t>TO20</t>
  </si>
  <si>
    <t>TO30</t>
  </si>
  <si>
    <t>TO40</t>
  </si>
  <si>
    <t>주문번호</t>
  </si>
  <si>
    <t>고객명</t>
  </si>
  <si>
    <t>주문</t>
  </si>
  <si>
    <t>발주일자</t>
  </si>
  <si>
    <t>매출번호</t>
  </si>
  <si>
    <t>판매관리</t>
  </si>
  <si>
    <t>사업장주소</t>
  </si>
  <si>
    <t>사업자등록주소</t>
  </si>
  <si>
    <t>일반관리</t>
  </si>
  <si>
    <t>경리</t>
  </si>
  <si>
    <t>생산</t>
  </si>
  <si>
    <t>경비</t>
  </si>
  <si>
    <t>자체배송</t>
  </si>
  <si>
    <t>직납배송</t>
  </si>
  <si>
    <t>유통</t>
  </si>
  <si>
    <t>외식</t>
  </si>
  <si>
    <t>개통</t>
  </si>
  <si>
    <t>해지</t>
  </si>
  <si>
    <t>양도해지</t>
  </si>
  <si>
    <t>Active</t>
  </si>
  <si>
    <t>Passive</t>
  </si>
  <si>
    <t>동일</t>
  </si>
  <si>
    <t>인상</t>
  </si>
  <si>
    <t>1100</t>
  </si>
  <si>
    <t>구매입고</t>
  </si>
  <si>
    <t>기타입고</t>
  </si>
  <si>
    <t>반품입고</t>
  </si>
  <si>
    <t>생산출고</t>
  </si>
  <si>
    <t>품목별집계</t>
    <phoneticPr fontId="1" type="noConversion"/>
  </si>
  <si>
    <t>미혼</t>
    <phoneticPr fontId="1" type="noConversion"/>
  </si>
  <si>
    <t>KT크로샷</t>
    <phoneticPr fontId="1" type="noConversion"/>
  </si>
  <si>
    <t>0400</t>
    <phoneticPr fontId="1" type="noConversion"/>
  </si>
  <si>
    <t>0500</t>
    <phoneticPr fontId="1" type="noConversion"/>
  </si>
  <si>
    <t>kt비즈메카</t>
    <phoneticPr fontId="1" type="noConversion"/>
  </si>
  <si>
    <t>9</t>
    <phoneticPr fontId="1" type="noConversion"/>
  </si>
  <si>
    <t>[C]확인/절사후금액</t>
    <phoneticPr fontId="1" type="noConversion"/>
  </si>
  <si>
    <t>Verify 1</t>
    <phoneticPr fontId="1" type="noConversion"/>
  </si>
  <si>
    <t>Verify 2</t>
    <phoneticPr fontId="1" type="noConversion"/>
  </si>
  <si>
    <t>미정:red</t>
    <phoneticPr fontId="1" type="noConversion"/>
  </si>
  <si>
    <t>악성미수금:blue</t>
    <phoneticPr fontId="1" type="noConversion"/>
  </si>
  <si>
    <t>5</t>
    <phoneticPr fontId="1" type="noConversion"/>
  </si>
  <si>
    <t>현금출고</t>
    <phoneticPr fontId="1" type="noConversion"/>
  </si>
  <si>
    <t>거래정지:red</t>
    <phoneticPr fontId="1" type="noConversion"/>
  </si>
  <si>
    <t>사업장결품</t>
    <phoneticPr fontId="1" type="noConversion"/>
  </si>
  <si>
    <t>수입결품</t>
    <phoneticPr fontId="1" type="noConversion"/>
  </si>
  <si>
    <t>대체품목</t>
    <phoneticPr fontId="1" type="noConversion"/>
  </si>
  <si>
    <t>6</t>
    <phoneticPr fontId="1" type="noConversion"/>
  </si>
  <si>
    <t>업체직송</t>
    <phoneticPr fontId="1" type="noConversion"/>
  </si>
  <si>
    <t>0200</t>
    <phoneticPr fontId="1" type="noConversion"/>
  </si>
  <si>
    <t>0300</t>
    <phoneticPr fontId="1" type="noConversion"/>
  </si>
  <si>
    <t>일숨김</t>
    <phoneticPr fontId="1" type="noConversion"/>
  </si>
  <si>
    <t>월숨김</t>
    <phoneticPr fontId="1" type="noConversion"/>
  </si>
  <si>
    <t>월일숨김</t>
    <phoneticPr fontId="1" type="noConversion"/>
  </si>
  <si>
    <t>eSero발행</t>
    <phoneticPr fontId="1" type="noConversion"/>
  </si>
  <si>
    <t>로컬판매형</t>
    <phoneticPr fontId="1" type="noConversion"/>
  </si>
  <si>
    <t>1000</t>
    <phoneticPr fontId="1" type="noConversion"/>
  </si>
  <si>
    <t>2000</t>
    <phoneticPr fontId="1" type="noConversion"/>
  </si>
  <si>
    <t>부가세포함</t>
    <phoneticPr fontId="1" type="noConversion"/>
  </si>
  <si>
    <t>부가세별도</t>
    <phoneticPr fontId="1" type="noConversion"/>
  </si>
  <si>
    <t>품목문의</t>
    <phoneticPr fontId="1" type="noConversion"/>
  </si>
  <si>
    <t>오출고</t>
    <phoneticPr fontId="1" type="noConversion"/>
  </si>
  <si>
    <t>오발주</t>
    <phoneticPr fontId="1" type="noConversion"/>
  </si>
  <si>
    <t>미출고문의</t>
    <phoneticPr fontId="1" type="noConversion"/>
  </si>
  <si>
    <t>파손처리문의</t>
    <phoneticPr fontId="1" type="noConversion"/>
  </si>
  <si>
    <t>3000</t>
    <phoneticPr fontId="1" type="noConversion"/>
  </si>
  <si>
    <t>4000</t>
    <phoneticPr fontId="1" type="noConversion"/>
  </si>
  <si>
    <t>전송완료:blue</t>
    <phoneticPr fontId="1" type="noConversion"/>
  </si>
  <si>
    <t>전송오류:red</t>
    <phoneticPr fontId="1" type="noConversion"/>
  </si>
  <si>
    <t>N000</t>
    <phoneticPr fontId="1" type="noConversion"/>
  </si>
  <si>
    <t>발행요청</t>
    <phoneticPr fontId="1" type="noConversion"/>
  </si>
  <si>
    <t>T000</t>
    <phoneticPr fontId="1" type="noConversion"/>
  </si>
  <si>
    <t>발행완료</t>
    <phoneticPr fontId="1" type="noConversion"/>
  </si>
  <si>
    <t>G000</t>
    <phoneticPr fontId="1" type="noConversion"/>
  </si>
  <si>
    <t>승인대기:blue</t>
    <phoneticPr fontId="1" type="noConversion"/>
  </si>
  <si>
    <t>0101</t>
    <phoneticPr fontId="1" type="noConversion"/>
  </si>
  <si>
    <t>0600</t>
    <phoneticPr fontId="1" type="noConversion"/>
  </si>
  <si>
    <t>기타</t>
    <phoneticPr fontId="1" type="noConversion"/>
  </si>
  <si>
    <t>있음:red</t>
    <phoneticPr fontId="1" type="noConversion"/>
  </si>
  <si>
    <t>승인요청:blue</t>
    <phoneticPr fontId="1" type="noConversion"/>
  </si>
  <si>
    <t>금일기준1주일</t>
    <phoneticPr fontId="1" type="noConversion"/>
  </si>
  <si>
    <t>FR63</t>
    <phoneticPr fontId="1" type="noConversion"/>
  </si>
  <si>
    <t>금일기준2주일</t>
    <phoneticPr fontId="1" type="noConversion"/>
  </si>
  <si>
    <t>FR66</t>
    <phoneticPr fontId="1" type="noConversion"/>
  </si>
  <si>
    <t>금일기준1개월</t>
    <phoneticPr fontId="1" type="noConversion"/>
  </si>
  <si>
    <t>FR69</t>
    <phoneticPr fontId="1" type="noConversion"/>
  </si>
  <si>
    <t>금일기준2개월</t>
    <phoneticPr fontId="1" type="noConversion"/>
  </si>
  <si>
    <t>웹서버보안인증서</t>
    <phoneticPr fontId="1" type="noConversion"/>
  </si>
  <si>
    <t>2000</t>
    <phoneticPr fontId="1" type="noConversion"/>
  </si>
  <si>
    <t>애플릿서명인증서:green</t>
    <phoneticPr fontId="1" type="noConversion"/>
  </si>
  <si>
    <t>제품</t>
    <phoneticPr fontId="1" type="noConversion"/>
  </si>
  <si>
    <t>5000</t>
    <phoneticPr fontId="1" type="noConversion"/>
  </si>
  <si>
    <t>부재료</t>
    <phoneticPr fontId="1" type="noConversion"/>
  </si>
  <si>
    <t>6000</t>
    <phoneticPr fontId="1" type="noConversion"/>
  </si>
  <si>
    <t>7000</t>
    <phoneticPr fontId="1" type="noConversion"/>
  </si>
  <si>
    <t>1000</t>
    <phoneticPr fontId="1" type="noConversion"/>
  </si>
  <si>
    <t>1원미만절사</t>
    <phoneticPr fontId="1" type="noConversion"/>
  </si>
  <si>
    <t>1원미만반올림</t>
    <phoneticPr fontId="1" type="noConversion"/>
  </si>
  <si>
    <t>1원단위절사</t>
    <phoneticPr fontId="1" type="noConversion"/>
  </si>
  <si>
    <t>1원단위반올림</t>
    <phoneticPr fontId="1" type="noConversion"/>
  </si>
  <si>
    <t>10원단위절사</t>
    <phoneticPr fontId="1" type="noConversion"/>
  </si>
  <si>
    <t>10원단위반올림</t>
    <phoneticPr fontId="1" type="noConversion"/>
  </si>
  <si>
    <t>품목코드</t>
    <phoneticPr fontId="1" type="noConversion"/>
  </si>
  <si>
    <t>품목명</t>
    <phoneticPr fontId="1" type="noConversion"/>
  </si>
  <si>
    <t>승인대기:black</t>
    <phoneticPr fontId="1" type="noConversion"/>
  </si>
  <si>
    <t>부분배송:brown</t>
    <phoneticPr fontId="1" type="noConversion"/>
  </si>
  <si>
    <t>배송대기:red</t>
    <phoneticPr fontId="1" type="noConversion"/>
  </si>
  <si>
    <t>배송처리:blue</t>
    <phoneticPr fontId="1" type="noConversion"/>
  </si>
  <si>
    <t>배송완료</t>
    <phoneticPr fontId="1" type="noConversion"/>
  </si>
  <si>
    <t>배송대기:red</t>
    <phoneticPr fontId="1" type="noConversion"/>
  </si>
  <si>
    <t>배송처리:blue</t>
    <phoneticPr fontId="1" type="noConversion"/>
  </si>
  <si>
    <t>배송완료</t>
    <phoneticPr fontId="1" type="noConversion"/>
  </si>
  <si>
    <t>실주소</t>
    <phoneticPr fontId="1" type="noConversion"/>
  </si>
  <si>
    <t>영업</t>
    <phoneticPr fontId="1" type="noConversion"/>
  </si>
  <si>
    <t>생산관리</t>
    <phoneticPr fontId="1" type="noConversion"/>
  </si>
  <si>
    <t>직원:blue</t>
    <phoneticPr fontId="1" type="noConversion"/>
  </si>
  <si>
    <t>프리:green</t>
    <phoneticPr fontId="1" type="noConversion"/>
  </si>
  <si>
    <t>아르바이트:green</t>
    <phoneticPr fontId="1" type="noConversion"/>
  </si>
  <si>
    <t>출력:red</t>
    <phoneticPr fontId="1" type="noConversion"/>
  </si>
  <si>
    <t>1001</t>
    <phoneticPr fontId="1" type="noConversion"/>
  </si>
  <si>
    <t>1002</t>
    <phoneticPr fontId="1" type="noConversion"/>
  </si>
  <si>
    <t>1003</t>
    <phoneticPr fontId="1" type="noConversion"/>
  </si>
  <si>
    <t>1004</t>
    <phoneticPr fontId="1" type="noConversion"/>
  </si>
  <si>
    <t>1005</t>
    <phoneticPr fontId="1" type="noConversion"/>
  </si>
  <si>
    <t>구매가</t>
    <phoneticPr fontId="1" type="noConversion"/>
  </si>
  <si>
    <t>정상</t>
    <phoneticPr fontId="1" type="noConversion"/>
  </si>
  <si>
    <t>9000</t>
    <phoneticPr fontId="1" type="noConversion"/>
  </si>
  <si>
    <t>기혼</t>
    <phoneticPr fontId="1" type="noConversion"/>
  </si>
  <si>
    <t>은행송금</t>
    <phoneticPr fontId="1" type="noConversion"/>
  </si>
  <si>
    <t>어음</t>
    <phoneticPr fontId="1" type="noConversion"/>
  </si>
  <si>
    <t>포인트</t>
    <phoneticPr fontId="1" type="noConversion"/>
  </si>
  <si>
    <t>할인</t>
    <phoneticPr fontId="1" type="noConversion"/>
  </si>
  <si>
    <t>기타</t>
    <phoneticPr fontId="1" type="noConversion"/>
  </si>
  <si>
    <t>결품사유문의</t>
    <phoneticPr fontId="1" type="noConversion"/>
  </si>
  <si>
    <t>주문취소요청</t>
    <phoneticPr fontId="1" type="noConversion"/>
  </si>
  <si>
    <t>추가발주요청</t>
    <phoneticPr fontId="1" type="noConversion"/>
  </si>
  <si>
    <t>1100</t>
    <phoneticPr fontId="1" type="noConversion"/>
  </si>
  <si>
    <t>1200</t>
    <phoneticPr fontId="1" type="noConversion"/>
  </si>
  <si>
    <t>3101</t>
    <phoneticPr fontId="1" type="noConversion"/>
  </si>
  <si>
    <t>3102</t>
    <phoneticPr fontId="1" type="noConversion"/>
  </si>
  <si>
    <t>1300</t>
    <phoneticPr fontId="1" type="noConversion"/>
  </si>
  <si>
    <t>9100</t>
    <phoneticPr fontId="1" type="noConversion"/>
  </si>
  <si>
    <t>1400</t>
    <phoneticPr fontId="1" type="noConversion"/>
  </si>
  <si>
    <t>2100</t>
    <phoneticPr fontId="1" type="noConversion"/>
  </si>
  <si>
    <t>2200</t>
    <phoneticPr fontId="1" type="noConversion"/>
  </si>
  <si>
    <t>9200</t>
    <phoneticPr fontId="1" type="noConversion"/>
  </si>
  <si>
    <t>1301</t>
    <phoneticPr fontId="1" type="noConversion"/>
  </si>
  <si>
    <t>배송문의</t>
    <phoneticPr fontId="1" type="noConversion"/>
  </si>
  <si>
    <t>반품</t>
    <phoneticPr fontId="1" type="noConversion"/>
  </si>
  <si>
    <t>1</t>
    <phoneticPr fontId="1" type="noConversion"/>
  </si>
  <si>
    <t>2</t>
    <phoneticPr fontId="1" type="noConversion"/>
  </si>
  <si>
    <t>0</t>
    <phoneticPr fontId="1" type="noConversion"/>
  </si>
  <si>
    <t>3</t>
    <phoneticPr fontId="1" type="noConversion"/>
  </si>
  <si>
    <t>4</t>
    <phoneticPr fontId="1" type="noConversion"/>
  </si>
  <si>
    <t>국내매출</t>
    <phoneticPr fontId="1" type="noConversion"/>
  </si>
  <si>
    <t>해외매출</t>
    <phoneticPr fontId="1" type="noConversion"/>
  </si>
  <si>
    <t>국내반품</t>
    <phoneticPr fontId="1" type="noConversion"/>
  </si>
  <si>
    <t>2001</t>
    <phoneticPr fontId="1" type="noConversion"/>
  </si>
  <si>
    <t>2002</t>
    <phoneticPr fontId="1" type="noConversion"/>
  </si>
  <si>
    <t>해외반품</t>
    <phoneticPr fontId="1" type="noConversion"/>
  </si>
  <si>
    <t>의제매출</t>
    <phoneticPr fontId="1" type="noConversion"/>
  </si>
  <si>
    <t>사내거래</t>
    <phoneticPr fontId="1" type="noConversion"/>
  </si>
  <si>
    <t>기타</t>
    <phoneticPr fontId="1" type="noConversion"/>
  </si>
  <si>
    <t>본사주소</t>
    <phoneticPr fontId="1" type="noConversion"/>
  </si>
  <si>
    <t>1</t>
    <phoneticPr fontId="1" type="noConversion"/>
  </si>
  <si>
    <t>B2B</t>
    <phoneticPr fontId="1" type="noConversion"/>
  </si>
  <si>
    <t>기타</t>
    <phoneticPr fontId="1" type="noConversion"/>
  </si>
  <si>
    <t>재고확보</t>
    <phoneticPr fontId="1" type="noConversion"/>
  </si>
  <si>
    <t>품목명</t>
    <phoneticPr fontId="1" type="noConversion"/>
  </si>
  <si>
    <t>가산</t>
    <phoneticPr fontId="1" type="noConversion"/>
  </si>
  <si>
    <t>감산</t>
    <phoneticPr fontId="1" type="noConversion"/>
  </si>
  <si>
    <t>등록품목</t>
    <phoneticPr fontId="1" type="noConversion"/>
  </si>
  <si>
    <t>미등록품목</t>
    <phoneticPr fontId="1" type="noConversion"/>
  </si>
  <si>
    <t>수입검사대기</t>
    <phoneticPr fontId="1" type="noConversion"/>
  </si>
  <si>
    <t>출하검사대기</t>
    <phoneticPr fontId="1" type="noConversion"/>
  </si>
  <si>
    <t>공정재고</t>
    <phoneticPr fontId="1" type="noConversion"/>
  </si>
  <si>
    <t>적송창고</t>
    <phoneticPr fontId="1" type="noConversion"/>
  </si>
  <si>
    <t>수탁창고</t>
    <phoneticPr fontId="1" type="noConversion"/>
  </si>
  <si>
    <t>위탁창고</t>
    <phoneticPr fontId="1" type="noConversion"/>
  </si>
  <si>
    <t>생산소요</t>
    <phoneticPr fontId="1" type="noConversion"/>
  </si>
  <si>
    <t>사내소비</t>
    <phoneticPr fontId="1" type="noConversion"/>
  </si>
  <si>
    <t>생산부자재</t>
    <phoneticPr fontId="1" type="noConversion"/>
  </si>
  <si>
    <t>1조</t>
    <phoneticPr fontId="1" type="noConversion"/>
  </si>
  <si>
    <t>2조</t>
    <phoneticPr fontId="1" type="noConversion"/>
  </si>
  <si>
    <t>3조</t>
    <phoneticPr fontId="1" type="noConversion"/>
  </si>
  <si>
    <t>4조</t>
    <phoneticPr fontId="1" type="noConversion"/>
  </si>
  <si>
    <t>야간근무</t>
    <phoneticPr fontId="1" type="noConversion"/>
  </si>
  <si>
    <t>정상</t>
    <phoneticPr fontId="1" type="noConversion"/>
  </si>
  <si>
    <t>고장</t>
    <phoneticPr fontId="1" type="noConversion"/>
  </si>
  <si>
    <t>수리대기</t>
    <phoneticPr fontId="1" type="noConversion"/>
  </si>
  <si>
    <t>점검대기</t>
    <phoneticPr fontId="1" type="noConversion"/>
  </si>
  <si>
    <t>이동대기</t>
    <phoneticPr fontId="1" type="noConversion"/>
  </si>
  <si>
    <t>외부보관</t>
    <phoneticPr fontId="1" type="noConversion"/>
  </si>
  <si>
    <t>폐기</t>
    <phoneticPr fontId="1" type="noConversion"/>
  </si>
  <si>
    <t>기타출고</t>
    <phoneticPr fontId="1" type="noConversion"/>
  </si>
  <si>
    <t>자가소비</t>
    <phoneticPr fontId="1" type="noConversion"/>
  </si>
  <si>
    <t>2003</t>
    <phoneticPr fontId="1" type="noConversion"/>
  </si>
  <si>
    <t>재고조정</t>
    <phoneticPr fontId="1" type="noConversion"/>
  </si>
  <si>
    <t>D</t>
    <phoneticPr fontId="1" type="noConversion"/>
  </si>
  <si>
    <t>내자</t>
    <phoneticPr fontId="1" type="noConversion"/>
  </si>
  <si>
    <t>E</t>
    <phoneticPr fontId="1" type="noConversion"/>
  </si>
  <si>
    <t>외자</t>
    <phoneticPr fontId="1" type="noConversion"/>
  </si>
  <si>
    <t>숙련공</t>
    <phoneticPr fontId="1" type="noConversion"/>
  </si>
  <si>
    <t>일반</t>
    <phoneticPr fontId="1" type="noConversion"/>
  </si>
  <si>
    <t>인턴</t>
    <phoneticPr fontId="1" type="noConversion"/>
  </si>
  <si>
    <t>비전공</t>
    <phoneticPr fontId="1" type="noConversion"/>
  </si>
  <si>
    <t>전문용어</t>
    <phoneticPr fontId="1" type="noConversion"/>
  </si>
  <si>
    <t>영업관리</t>
    <phoneticPr fontId="1" type="noConversion"/>
  </si>
  <si>
    <t>생산관리</t>
    <phoneticPr fontId="1" type="noConversion"/>
  </si>
  <si>
    <t>Admin</t>
    <phoneticPr fontId="1" type="noConversion"/>
  </si>
  <si>
    <t>3001</t>
    <phoneticPr fontId="1" type="noConversion"/>
  </si>
  <si>
    <t>생산_조립</t>
    <phoneticPr fontId="1" type="noConversion"/>
  </si>
  <si>
    <t>3002</t>
    <phoneticPr fontId="1" type="noConversion"/>
  </si>
  <si>
    <t>생산_사출</t>
    <phoneticPr fontId="1" type="noConversion"/>
  </si>
  <si>
    <t>3003</t>
    <phoneticPr fontId="1" type="noConversion"/>
  </si>
  <si>
    <t>생산_품질</t>
    <phoneticPr fontId="1" type="noConversion"/>
  </si>
  <si>
    <t>구매</t>
    <phoneticPr fontId="1" type="noConversion"/>
  </si>
  <si>
    <t>B</t>
    <phoneticPr fontId="1" type="noConversion"/>
  </si>
  <si>
    <t>도심_1일권역</t>
    <phoneticPr fontId="1" type="noConversion"/>
  </si>
  <si>
    <t>농어촌_1일권역</t>
    <phoneticPr fontId="1" type="noConversion"/>
  </si>
  <si>
    <t>도서_1일권역</t>
    <phoneticPr fontId="1" type="noConversion"/>
  </si>
  <si>
    <t>도심_2일권역</t>
    <phoneticPr fontId="1" type="noConversion"/>
  </si>
  <si>
    <t>농어촌_2일권역</t>
    <phoneticPr fontId="1" type="noConversion"/>
  </si>
  <si>
    <t>도서_2일권역</t>
    <phoneticPr fontId="1" type="noConversion"/>
  </si>
  <si>
    <t>도심_3일권역</t>
    <phoneticPr fontId="1" type="noConversion"/>
  </si>
  <si>
    <t>농어촌_3일권역</t>
    <phoneticPr fontId="1" type="noConversion"/>
  </si>
  <si>
    <t>도서_3일권역</t>
    <phoneticPr fontId="1" type="noConversion"/>
  </si>
  <si>
    <t>법인</t>
    <phoneticPr fontId="1" type="noConversion"/>
  </si>
  <si>
    <t>개인</t>
    <phoneticPr fontId="1" type="noConversion"/>
  </si>
  <si>
    <t>기타</t>
    <phoneticPr fontId="1" type="noConversion"/>
  </si>
  <si>
    <t>고객요청</t>
    <phoneticPr fontId="1" type="noConversion"/>
  </si>
  <si>
    <t>생산능력</t>
    <phoneticPr fontId="1" type="noConversion"/>
  </si>
  <si>
    <t>근무변경</t>
    <phoneticPr fontId="1" type="noConversion"/>
  </si>
  <si>
    <t>설비고장</t>
    <phoneticPr fontId="1" type="noConversion"/>
  </si>
  <si>
    <t>자재결품</t>
    <phoneticPr fontId="1" type="noConversion"/>
  </si>
  <si>
    <t>과세</t>
    <phoneticPr fontId="1" type="noConversion"/>
  </si>
  <si>
    <t>미과세</t>
    <phoneticPr fontId="1" type="noConversion"/>
  </si>
  <si>
    <t>면세</t>
    <phoneticPr fontId="1" type="noConversion"/>
  </si>
  <si>
    <t>영업</t>
    <phoneticPr fontId="1" type="noConversion"/>
  </si>
  <si>
    <t>구매</t>
    <phoneticPr fontId="1" type="noConversion"/>
  </si>
  <si>
    <t>생산관리</t>
    <phoneticPr fontId="1" type="noConversion"/>
  </si>
  <si>
    <t>0000</t>
    <phoneticPr fontId="1" type="noConversion"/>
  </si>
  <si>
    <t>일반</t>
    <phoneticPr fontId="1" type="noConversion"/>
  </si>
  <si>
    <t>일반관리비</t>
    <phoneticPr fontId="1" type="noConversion"/>
  </si>
  <si>
    <t>판관비</t>
    <phoneticPr fontId="1" type="noConversion"/>
  </si>
  <si>
    <t>임의</t>
    <phoneticPr fontId="1" type="noConversion"/>
  </si>
  <si>
    <t>5%이내</t>
    <phoneticPr fontId="1" type="noConversion"/>
  </si>
  <si>
    <t>10%이내</t>
    <phoneticPr fontId="1" type="noConversion"/>
  </si>
  <si>
    <t>전수</t>
    <phoneticPr fontId="1" type="noConversion"/>
  </si>
  <si>
    <t>긴급</t>
    <phoneticPr fontId="1" type="noConversion"/>
  </si>
  <si>
    <t>예비생산</t>
    <phoneticPr fontId="1" type="noConversion"/>
  </si>
  <si>
    <t>수리대기</t>
    <phoneticPr fontId="1" type="noConversion"/>
  </si>
  <si>
    <t>전용기기</t>
    <phoneticPr fontId="1" type="noConversion"/>
  </si>
  <si>
    <t>범용기기</t>
    <phoneticPr fontId="1" type="noConversion"/>
  </si>
  <si>
    <t>직수출</t>
    <phoneticPr fontId="1" type="noConversion"/>
  </si>
  <si>
    <t>중개무역</t>
    <phoneticPr fontId="1" type="noConversion"/>
  </si>
  <si>
    <t>MES</t>
    <phoneticPr fontId="1" type="noConversion"/>
  </si>
  <si>
    <t>ERP</t>
    <phoneticPr fontId="1" type="noConversion"/>
  </si>
  <si>
    <t>Smart Factory</t>
    <phoneticPr fontId="1" type="noConversion"/>
  </si>
  <si>
    <t>용차</t>
    <phoneticPr fontId="1" type="noConversion"/>
  </si>
  <si>
    <t>자차</t>
    <phoneticPr fontId="1" type="noConversion"/>
  </si>
  <si>
    <t>택배</t>
    <phoneticPr fontId="1" type="noConversion"/>
  </si>
  <si>
    <t>항공</t>
    <phoneticPr fontId="1" type="noConversion"/>
  </si>
  <si>
    <t>기타</t>
    <phoneticPr fontId="1" type="noConversion"/>
  </si>
  <si>
    <t>해당없음</t>
    <phoneticPr fontId="1" type="noConversion"/>
  </si>
  <si>
    <t>위탁</t>
    <phoneticPr fontId="1" type="noConversion"/>
  </si>
  <si>
    <t>일</t>
    <phoneticPr fontId="1" type="noConversion"/>
  </si>
  <si>
    <t>월</t>
    <phoneticPr fontId="1" type="noConversion"/>
  </si>
  <si>
    <t>지정일자</t>
    <phoneticPr fontId="1" type="noConversion"/>
  </si>
  <si>
    <t>창고이동</t>
    <phoneticPr fontId="1" type="noConversion"/>
  </si>
  <si>
    <t>FOB</t>
    <phoneticPr fontId="1" type="noConversion"/>
  </si>
  <si>
    <t>CIF</t>
    <phoneticPr fontId="1" type="noConversion"/>
  </si>
  <si>
    <t>CFR</t>
    <phoneticPr fontId="1" type="noConversion"/>
  </si>
  <si>
    <t>FAS</t>
    <phoneticPr fontId="1" type="noConversion"/>
  </si>
  <si>
    <t>FAS</t>
    <phoneticPr fontId="1" type="noConversion"/>
  </si>
  <si>
    <t>FCA</t>
    <phoneticPr fontId="1" type="noConversion"/>
  </si>
  <si>
    <t>FCA</t>
    <phoneticPr fontId="1" type="noConversion"/>
  </si>
  <si>
    <t>CPT</t>
    <phoneticPr fontId="1" type="noConversion"/>
  </si>
  <si>
    <t>CPT</t>
    <phoneticPr fontId="1" type="noConversion"/>
  </si>
  <si>
    <t>CIP</t>
    <phoneticPr fontId="1" type="noConversion"/>
  </si>
  <si>
    <t>CIP</t>
    <phoneticPr fontId="1" type="noConversion"/>
  </si>
  <si>
    <t>검사대기</t>
    <phoneticPr fontId="1" type="noConversion"/>
  </si>
  <si>
    <t>검사완료</t>
    <phoneticPr fontId="1" type="noConversion"/>
  </si>
  <si>
    <t>입고완료</t>
    <phoneticPr fontId="1" type="noConversion"/>
  </si>
  <si>
    <t>반품대기</t>
    <phoneticPr fontId="1" type="noConversion"/>
  </si>
  <si>
    <t>분</t>
    <phoneticPr fontId="1" type="noConversion"/>
  </si>
  <si>
    <t>시</t>
    <phoneticPr fontId="1" type="noConversion"/>
  </si>
  <si>
    <t>일</t>
    <phoneticPr fontId="1" type="noConversion"/>
  </si>
  <si>
    <t>주</t>
    <phoneticPr fontId="1" type="noConversion"/>
  </si>
  <si>
    <t>법정휴일</t>
    <phoneticPr fontId="1" type="noConversion"/>
  </si>
  <si>
    <t>임시휴일</t>
    <phoneticPr fontId="1" type="noConversion"/>
  </si>
  <si>
    <t>대체근무</t>
    <phoneticPr fontId="1" type="noConversion"/>
  </si>
  <si>
    <t>휴업</t>
    <phoneticPr fontId="1" type="noConversion"/>
  </si>
  <si>
    <t>합격</t>
    <phoneticPr fontId="1" type="noConversion"/>
  </si>
  <si>
    <t>불합격</t>
    <phoneticPr fontId="1" type="noConversion"/>
  </si>
  <si>
    <t>보류</t>
    <phoneticPr fontId="1" type="noConversion"/>
  </si>
  <si>
    <t>원</t>
    <phoneticPr fontId="1" type="noConversion"/>
  </si>
  <si>
    <t>달러</t>
    <phoneticPr fontId="1" type="noConversion"/>
  </si>
  <si>
    <t>위안</t>
    <phoneticPr fontId="1" type="noConversion"/>
  </si>
  <si>
    <t>엔</t>
    <phoneticPr fontId="1" type="noConversion"/>
  </si>
  <si>
    <t>정상</t>
    <phoneticPr fontId="1" type="noConversion"/>
  </si>
  <si>
    <t>판매</t>
    <phoneticPr fontId="1" type="noConversion"/>
  </si>
  <si>
    <t>반품</t>
    <phoneticPr fontId="1" type="noConversion"/>
  </si>
  <si>
    <t>AS</t>
    <phoneticPr fontId="1" type="noConversion"/>
  </si>
  <si>
    <t>교환</t>
    <phoneticPr fontId="1" type="noConversion"/>
  </si>
  <si>
    <t>자가소비</t>
    <phoneticPr fontId="1" type="noConversion"/>
  </si>
  <si>
    <t>Sample</t>
    <phoneticPr fontId="1" type="noConversion"/>
  </si>
  <si>
    <t>전시</t>
    <phoneticPr fontId="1" type="noConversion"/>
  </si>
  <si>
    <t>정상</t>
    <phoneticPr fontId="1" type="noConversion"/>
  </si>
  <si>
    <t>반품</t>
    <phoneticPr fontId="1" type="noConversion"/>
  </si>
  <si>
    <t>영업관리</t>
    <phoneticPr fontId="1" type="noConversion"/>
  </si>
  <si>
    <t>생산관리</t>
    <phoneticPr fontId="1" type="noConversion"/>
  </si>
  <si>
    <t>구매</t>
    <phoneticPr fontId="1" type="noConversion"/>
  </si>
  <si>
    <t>통제</t>
    <phoneticPr fontId="1" type="noConversion"/>
  </si>
  <si>
    <t>통제하지 않음</t>
    <phoneticPr fontId="1" type="noConversion"/>
  </si>
  <si>
    <t>처리대기</t>
    <phoneticPr fontId="1" type="noConversion"/>
  </si>
  <si>
    <t>완료</t>
    <phoneticPr fontId="1" type="noConversion"/>
  </si>
  <si>
    <t>보류</t>
    <phoneticPr fontId="1" type="noConversion"/>
  </si>
  <si>
    <t>취소</t>
    <phoneticPr fontId="1" type="noConversion"/>
  </si>
  <si>
    <t>서울</t>
    <phoneticPr fontId="1" type="noConversion"/>
  </si>
  <si>
    <t>경기</t>
    <phoneticPr fontId="1" type="noConversion"/>
  </si>
  <si>
    <t>충청</t>
    <phoneticPr fontId="1" type="noConversion"/>
  </si>
  <si>
    <t>경상</t>
    <phoneticPr fontId="1" type="noConversion"/>
  </si>
  <si>
    <t>전라</t>
    <phoneticPr fontId="1" type="noConversion"/>
  </si>
  <si>
    <t>제주</t>
    <phoneticPr fontId="1" type="noConversion"/>
  </si>
  <si>
    <t>정규직</t>
    <phoneticPr fontId="1" type="noConversion"/>
  </si>
  <si>
    <t>임시직</t>
    <phoneticPr fontId="1" type="noConversion"/>
  </si>
  <si>
    <t>일용</t>
    <phoneticPr fontId="1" type="noConversion"/>
  </si>
  <si>
    <t>외주</t>
    <phoneticPr fontId="1" type="noConversion"/>
  </si>
  <si>
    <t>기타</t>
    <phoneticPr fontId="1" type="noConversion"/>
  </si>
  <si>
    <t>일일</t>
    <phoneticPr fontId="1" type="noConversion"/>
  </si>
  <si>
    <t>주간</t>
    <phoneticPr fontId="1" type="noConversion"/>
  </si>
  <si>
    <t>격주1</t>
    <phoneticPr fontId="1" type="noConversion"/>
  </si>
  <si>
    <t>격주2</t>
    <phoneticPr fontId="1" type="noConversion"/>
  </si>
  <si>
    <t>월간</t>
    <phoneticPr fontId="1" type="noConversion"/>
  </si>
  <si>
    <t>분기</t>
    <phoneticPr fontId="1" type="noConversion"/>
  </si>
  <si>
    <t>7</t>
    <phoneticPr fontId="1" type="noConversion"/>
  </si>
  <si>
    <t>년간</t>
    <phoneticPr fontId="1" type="noConversion"/>
  </si>
  <si>
    <t>정기</t>
    <phoneticPr fontId="1" type="noConversion"/>
  </si>
  <si>
    <t>임의</t>
    <phoneticPr fontId="1" type="noConversion"/>
  </si>
  <si>
    <t>고장</t>
    <phoneticPr fontId="1" type="noConversion"/>
  </si>
  <si>
    <t>숙련공</t>
    <phoneticPr fontId="1" type="noConversion"/>
  </si>
  <si>
    <t>준숙련공</t>
    <phoneticPr fontId="1" type="noConversion"/>
  </si>
  <si>
    <t>중급기술</t>
    <phoneticPr fontId="1" type="noConversion"/>
  </si>
  <si>
    <t>작업보조</t>
    <phoneticPr fontId="1" type="noConversion"/>
  </si>
  <si>
    <t>연수</t>
    <phoneticPr fontId="1" type="noConversion"/>
  </si>
  <si>
    <t>정밀</t>
    <phoneticPr fontId="1" type="noConversion"/>
  </si>
  <si>
    <t>수불단위</t>
    <phoneticPr fontId="1" type="noConversion"/>
  </si>
  <si>
    <t>계산제외</t>
    <phoneticPr fontId="1" type="noConversion"/>
  </si>
  <si>
    <t>예방정비</t>
    <phoneticPr fontId="1" type="noConversion"/>
  </si>
  <si>
    <t>가공불량</t>
    <phoneticPr fontId="1" type="noConversion"/>
  </si>
  <si>
    <t>자재불량</t>
    <phoneticPr fontId="1" type="noConversion"/>
  </si>
  <si>
    <t>취급불량</t>
    <phoneticPr fontId="1" type="noConversion"/>
  </si>
  <si>
    <t>보관불량</t>
    <phoneticPr fontId="1" type="noConversion"/>
  </si>
  <si>
    <t>치수오류</t>
    <phoneticPr fontId="1" type="noConversion"/>
  </si>
  <si>
    <t>품질</t>
    <phoneticPr fontId="1" type="noConversion"/>
  </si>
  <si>
    <t>사양불일치</t>
    <phoneticPr fontId="1" type="noConversion"/>
  </si>
  <si>
    <t>청결</t>
    <phoneticPr fontId="1" type="noConversion"/>
  </si>
  <si>
    <t>가공불량</t>
    <phoneticPr fontId="1" type="noConversion"/>
  </si>
  <si>
    <t>이물질</t>
    <phoneticPr fontId="1" type="noConversion"/>
  </si>
  <si>
    <t>자체사양</t>
    <phoneticPr fontId="1" type="noConversion"/>
  </si>
  <si>
    <t>고객사사양</t>
    <phoneticPr fontId="1" type="noConversion"/>
  </si>
  <si>
    <t>외주</t>
    <phoneticPr fontId="1" type="noConversion"/>
  </si>
  <si>
    <t>판매</t>
    <phoneticPr fontId="1" type="noConversion"/>
  </si>
  <si>
    <t>시험</t>
    <phoneticPr fontId="1" type="noConversion"/>
  </si>
  <si>
    <t>Sample</t>
    <phoneticPr fontId="1" type="noConversion"/>
  </si>
  <si>
    <t>재고확보</t>
    <phoneticPr fontId="1" type="noConversion"/>
  </si>
  <si>
    <t>필수</t>
    <phoneticPr fontId="1" type="noConversion"/>
  </si>
  <si>
    <t>고려</t>
    <phoneticPr fontId="1" type="noConversion"/>
  </si>
  <si>
    <t>확인필요</t>
    <phoneticPr fontId="1" type="noConversion"/>
  </si>
  <si>
    <t>자체생산</t>
    <phoneticPr fontId="1" type="noConversion"/>
  </si>
  <si>
    <t>외주생산</t>
    <phoneticPr fontId="1" type="noConversion"/>
  </si>
  <si>
    <t>설비고장</t>
    <phoneticPr fontId="1" type="noConversion"/>
  </si>
  <si>
    <t>설비점검</t>
    <phoneticPr fontId="1" type="noConversion"/>
  </si>
  <si>
    <t>설비수리</t>
    <phoneticPr fontId="1" type="noConversion"/>
  </si>
  <si>
    <t>조회</t>
    <phoneticPr fontId="1" type="noConversion"/>
  </si>
  <si>
    <t>교육</t>
    <phoneticPr fontId="1" type="noConversion"/>
  </si>
  <si>
    <t>청소</t>
    <phoneticPr fontId="1" type="noConversion"/>
  </si>
  <si>
    <t>tt</t>
    <phoneticPr fontId="1" type="noConversion"/>
  </si>
  <si>
    <t>yorn</t>
    <phoneticPr fontId="1" type="noConversion"/>
  </si>
  <si>
    <t>여부</t>
    <phoneticPr fontId="1" type="noConversion"/>
  </si>
  <si>
    <t>dcml_calc_mthd</t>
    <phoneticPr fontId="1" type="noConversion"/>
  </si>
  <si>
    <t>소수점계산방식</t>
    <phoneticPr fontId="1" type="noConversion"/>
  </si>
  <si>
    <t>절상</t>
    <phoneticPr fontId="1" type="noConversion"/>
  </si>
  <si>
    <t>절삭</t>
    <phoneticPr fontId="1" type="noConversion"/>
  </si>
  <si>
    <t>반올림</t>
    <phoneticPr fontId="1" type="noConversion"/>
  </si>
  <si>
    <t xml:space="preserve"> </t>
    <phoneticPr fontId="1" type="noConversion"/>
  </si>
  <si>
    <t>[["","전체"]]</t>
    <phoneticPr fontId="1" type="noConversion"/>
  </si>
  <si>
    <t>invc_dvcd</t>
    <phoneticPr fontId="1" type="noConversion"/>
  </si>
  <si>
    <t>INVOICE구분코드</t>
    <phoneticPr fontId="1" type="noConversion"/>
  </si>
  <si>
    <t>생산공정</t>
    <phoneticPr fontId="1" type="noConversion"/>
  </si>
  <si>
    <t>사내일반부서</t>
    <phoneticPr fontId="1" type="noConversion"/>
  </si>
  <si>
    <t>외주거래처</t>
    <phoneticPr fontId="1" type="noConversion"/>
  </si>
  <si>
    <t>구매거래처</t>
    <phoneticPr fontId="1" type="noConversion"/>
  </si>
  <si>
    <t>판매거래처</t>
    <phoneticPr fontId="1" type="noConversion"/>
  </si>
  <si>
    <t>1102</t>
    <phoneticPr fontId="1" type="noConversion"/>
  </si>
  <si>
    <t>계정구분</t>
    <phoneticPr fontId="1" type="noConversion"/>
  </si>
  <si>
    <t>1202</t>
    <phoneticPr fontId="1" type="noConversion"/>
  </si>
  <si>
    <t>3103</t>
    <phoneticPr fontId="1" type="noConversion"/>
  </si>
  <si>
    <t>안도라</t>
  </si>
  <si>
    <t>ae</t>
  </si>
  <si>
    <t>아랍에미리트</t>
  </si>
  <si>
    <t>af</t>
  </si>
  <si>
    <t>아프가니스탄</t>
  </si>
  <si>
    <t>ag</t>
  </si>
  <si>
    <t>앤티가 바부다</t>
  </si>
  <si>
    <t>ai</t>
  </si>
  <si>
    <t>앙귈라</t>
  </si>
  <si>
    <t>al</t>
  </si>
  <si>
    <t>알바니아</t>
  </si>
  <si>
    <t>am</t>
  </si>
  <si>
    <t>아르메니아</t>
  </si>
  <si>
    <t>an</t>
  </si>
  <si>
    <t>네덜란드령 안틸레스</t>
  </si>
  <si>
    <t>ao</t>
  </si>
  <si>
    <t>앙골라</t>
  </si>
  <si>
    <t>aq</t>
  </si>
  <si>
    <t>남극</t>
  </si>
  <si>
    <t>ar</t>
  </si>
  <si>
    <t>아르헨티나</t>
  </si>
  <si>
    <t>arpa</t>
  </si>
  <si>
    <t>구식 아르파네트</t>
  </si>
  <si>
    <t>as</t>
  </si>
  <si>
    <t>미국령 사모아</t>
  </si>
  <si>
    <t>at</t>
  </si>
  <si>
    <t>오스트리아</t>
  </si>
  <si>
    <t>au</t>
  </si>
  <si>
    <t>오스트레일리아</t>
  </si>
  <si>
    <t>aw</t>
  </si>
  <si>
    <t>아루바</t>
  </si>
  <si>
    <t>az</t>
  </si>
  <si>
    <t>아제르바이젠</t>
  </si>
  <si>
    <t>ba</t>
  </si>
  <si>
    <t>보스니아 헤르체고비나</t>
  </si>
  <si>
    <t>bb</t>
  </si>
  <si>
    <t>바베이도스</t>
  </si>
  <si>
    <t>bd</t>
  </si>
  <si>
    <t>방글라데시</t>
  </si>
  <si>
    <t>be</t>
  </si>
  <si>
    <t>벨기에</t>
  </si>
  <si>
    <t>bf</t>
  </si>
  <si>
    <t>부르키나파소</t>
  </si>
  <si>
    <t>bg</t>
  </si>
  <si>
    <t>불가리아</t>
  </si>
  <si>
    <t>bh</t>
  </si>
  <si>
    <t>바레인</t>
  </si>
  <si>
    <t>bi</t>
  </si>
  <si>
    <t>부룬디</t>
  </si>
  <si>
    <t>bj</t>
  </si>
  <si>
    <t>베냉</t>
  </si>
  <si>
    <t>bm</t>
  </si>
  <si>
    <t>버뮤다</t>
  </si>
  <si>
    <t>bn</t>
  </si>
  <si>
    <t>브루나이</t>
  </si>
  <si>
    <t>bo</t>
  </si>
  <si>
    <t>볼리비아</t>
  </si>
  <si>
    <t>br</t>
  </si>
  <si>
    <t>브라질</t>
  </si>
  <si>
    <t>bs</t>
  </si>
  <si>
    <t>바하마</t>
  </si>
  <si>
    <t>bt</t>
  </si>
  <si>
    <t>부탄</t>
  </si>
  <si>
    <t>bv</t>
  </si>
  <si>
    <t>부베이 섬</t>
  </si>
  <si>
    <t>bw</t>
  </si>
  <si>
    <t>보츠와나</t>
  </si>
  <si>
    <t>by</t>
  </si>
  <si>
    <t>벨로루시</t>
  </si>
  <si>
    <t>bz</t>
  </si>
  <si>
    <t>벨리즈</t>
  </si>
  <si>
    <t>ca</t>
  </si>
  <si>
    <t>캐나다</t>
  </si>
  <si>
    <t>cc</t>
  </si>
  <si>
    <t>코코스 군도</t>
  </si>
  <si>
    <t>cf</t>
  </si>
  <si>
    <t>중앙 아프리카</t>
  </si>
  <si>
    <t>cd</t>
  </si>
  <si>
    <t>콩고 민주 공화국</t>
  </si>
  <si>
    <t>cg</t>
  </si>
  <si>
    <t>콩고</t>
  </si>
  <si>
    <t>ch</t>
  </si>
  <si>
    <t>스위스</t>
  </si>
  <si>
    <t>ci</t>
  </si>
  <si>
    <t>코트디부와르</t>
  </si>
  <si>
    <t>ck</t>
  </si>
  <si>
    <t>쿠크 군도</t>
  </si>
  <si>
    <t>cl</t>
  </si>
  <si>
    <t>칠레</t>
  </si>
  <si>
    <t>cm</t>
  </si>
  <si>
    <t>카메룬</t>
  </si>
  <si>
    <t>cn</t>
  </si>
  <si>
    <t>중국</t>
  </si>
  <si>
    <t>co</t>
  </si>
  <si>
    <t>콜롬비아</t>
  </si>
  <si>
    <t>com</t>
  </si>
  <si>
    <t>상용</t>
  </si>
  <si>
    <t>cr</t>
  </si>
  <si>
    <t>코스타리카</t>
  </si>
  <si>
    <t>cs</t>
  </si>
  <si>
    <t>구 체코슬로바키아</t>
  </si>
  <si>
    <t>cu</t>
  </si>
  <si>
    <t>쿠바</t>
  </si>
  <si>
    <t>cv</t>
  </si>
  <si>
    <t>카보베르데</t>
  </si>
  <si>
    <t>cx</t>
  </si>
  <si>
    <t>크리스마스 섬</t>
  </si>
  <si>
    <t>cy</t>
  </si>
  <si>
    <t>사이프러스</t>
  </si>
  <si>
    <t>cz</t>
  </si>
  <si>
    <t>체코</t>
  </si>
  <si>
    <t>de</t>
  </si>
  <si>
    <t>독일</t>
  </si>
  <si>
    <t>dj</t>
  </si>
  <si>
    <t>지부티</t>
  </si>
  <si>
    <t>dk</t>
  </si>
  <si>
    <t>덴마크</t>
  </si>
  <si>
    <t>dm</t>
  </si>
  <si>
    <t>도미니카</t>
  </si>
  <si>
    <t>do</t>
  </si>
  <si>
    <t>도미니카 공화국</t>
  </si>
  <si>
    <t>dz</t>
  </si>
  <si>
    <t>알제리</t>
  </si>
  <si>
    <t>ec</t>
  </si>
  <si>
    <t>에쿠아도르</t>
  </si>
  <si>
    <t>edu</t>
  </si>
  <si>
    <t>교육적</t>
  </si>
  <si>
    <t>ee</t>
  </si>
  <si>
    <t>에스토니아</t>
  </si>
  <si>
    <t>eg</t>
  </si>
  <si>
    <t>이집트</t>
  </si>
  <si>
    <t>eh</t>
  </si>
  <si>
    <t>서사하라</t>
  </si>
  <si>
    <t>er</t>
  </si>
  <si>
    <t>에리트레아</t>
  </si>
  <si>
    <t>es</t>
  </si>
  <si>
    <t>스페인</t>
  </si>
  <si>
    <t>et</t>
  </si>
  <si>
    <t>에디오피아</t>
  </si>
  <si>
    <t>fi</t>
  </si>
  <si>
    <t>핀란드</t>
  </si>
  <si>
    <t>fj</t>
  </si>
  <si>
    <t>피지</t>
  </si>
  <si>
    <t>fk</t>
  </si>
  <si>
    <t>포클랜드</t>
  </si>
  <si>
    <t>fm</t>
  </si>
  <si>
    <t>마이크로네시아</t>
  </si>
  <si>
    <t>fo</t>
  </si>
  <si>
    <t>페로 군도</t>
  </si>
  <si>
    <t>fr</t>
  </si>
  <si>
    <t>프랑스</t>
  </si>
  <si>
    <t>fx</t>
  </si>
  <si>
    <t>프랑스(유럽 영토)</t>
  </si>
  <si>
    <t>ga</t>
  </si>
  <si>
    <t>가봉</t>
  </si>
  <si>
    <t>영국</t>
  </si>
  <si>
    <t>gd</t>
  </si>
  <si>
    <t>그레나다</t>
  </si>
  <si>
    <t>ge</t>
  </si>
  <si>
    <t>그루지야</t>
  </si>
  <si>
    <t>gf</t>
  </si>
  <si>
    <t>프랑스령 가이아나</t>
  </si>
  <si>
    <t>gh</t>
  </si>
  <si>
    <t>가나</t>
  </si>
  <si>
    <t>gi</t>
  </si>
  <si>
    <t>지브랄타</t>
  </si>
  <si>
    <t>gl</t>
  </si>
  <si>
    <t>그린랜드</t>
  </si>
  <si>
    <t>gm</t>
  </si>
  <si>
    <t>감비아</t>
  </si>
  <si>
    <t>gn</t>
  </si>
  <si>
    <t>기니</t>
  </si>
  <si>
    <t>gov</t>
  </si>
  <si>
    <t>미 정부</t>
  </si>
  <si>
    <t>gp</t>
  </si>
  <si>
    <t>과달루프(프랑스령)</t>
  </si>
  <si>
    <t>gq</t>
  </si>
  <si>
    <t>적도 기니</t>
  </si>
  <si>
    <t>gr</t>
  </si>
  <si>
    <t>그리스</t>
  </si>
  <si>
    <t>gt</t>
  </si>
  <si>
    <t>과테말라</t>
  </si>
  <si>
    <t>gu</t>
  </si>
  <si>
    <t>괌(미국령)</t>
  </si>
  <si>
    <t>gw</t>
  </si>
  <si>
    <t>기니비사우</t>
  </si>
  <si>
    <t>gy</t>
  </si>
  <si>
    <t>가이아나</t>
  </si>
  <si>
    <t>hk</t>
  </si>
  <si>
    <t>홍콩</t>
  </si>
  <si>
    <t>hm</t>
  </si>
  <si>
    <t>허드 섬 및 맥도널드 군도</t>
  </si>
  <si>
    <t>hn</t>
  </si>
  <si>
    <t>온두라스</t>
  </si>
  <si>
    <t>hr</t>
  </si>
  <si>
    <t>크로아티아</t>
  </si>
  <si>
    <t>ht</t>
  </si>
  <si>
    <t>아이티</t>
  </si>
  <si>
    <t>hu</t>
  </si>
  <si>
    <t>헝가리</t>
  </si>
  <si>
    <t>id</t>
  </si>
  <si>
    <t>인도네시아</t>
  </si>
  <si>
    <t>ie</t>
  </si>
  <si>
    <t>아일랜드</t>
  </si>
  <si>
    <t>il</t>
  </si>
  <si>
    <t>이스라엘</t>
  </si>
  <si>
    <t>in</t>
  </si>
  <si>
    <t>인도</t>
  </si>
  <si>
    <t>int</t>
  </si>
  <si>
    <t>국제</t>
  </si>
  <si>
    <t>io</t>
  </si>
  <si>
    <t>영인도 제도</t>
  </si>
  <si>
    <t>iq</t>
  </si>
  <si>
    <t>이라크</t>
  </si>
  <si>
    <t>ir</t>
  </si>
  <si>
    <t>이란</t>
  </si>
  <si>
    <t>is</t>
  </si>
  <si>
    <t>아이슬란드</t>
  </si>
  <si>
    <t>it</t>
  </si>
  <si>
    <t>이탈리아</t>
  </si>
  <si>
    <t>jm</t>
  </si>
  <si>
    <t>자메이카</t>
  </si>
  <si>
    <t>jo</t>
  </si>
  <si>
    <t>요르단</t>
  </si>
  <si>
    <t>jp</t>
  </si>
  <si>
    <t>일본</t>
  </si>
  <si>
    <t>ke</t>
  </si>
  <si>
    <t>케냐</t>
  </si>
  <si>
    <t>kg</t>
  </si>
  <si>
    <t>키르기스스탄</t>
  </si>
  <si>
    <t>kh</t>
  </si>
  <si>
    <t>캄보디아</t>
  </si>
  <si>
    <t>ki</t>
  </si>
  <si>
    <t>키리바시</t>
  </si>
  <si>
    <t>km</t>
  </si>
  <si>
    <t>코모로</t>
  </si>
  <si>
    <t>kn</t>
  </si>
  <si>
    <t>세인트 크리스토퍼 네비스</t>
  </si>
  <si>
    <t>kp</t>
  </si>
  <si>
    <t>북한</t>
  </si>
  <si>
    <t>kr</t>
  </si>
  <si>
    <t>남한</t>
  </si>
  <si>
    <t>kw</t>
  </si>
  <si>
    <t>쿠웨이트</t>
  </si>
  <si>
    <t>ky</t>
  </si>
  <si>
    <t>카이만 군도</t>
  </si>
  <si>
    <t>kz</t>
  </si>
  <si>
    <t>카자흐스탄</t>
  </si>
  <si>
    <t>la</t>
  </si>
  <si>
    <t>라오스</t>
  </si>
  <si>
    <t>lb</t>
  </si>
  <si>
    <t>레바논</t>
  </si>
  <si>
    <t>lc</t>
  </si>
  <si>
    <t>세인트 루시아</t>
  </si>
  <si>
    <t>li</t>
  </si>
  <si>
    <t>리히텐슈타인</t>
  </si>
  <si>
    <t>lk</t>
  </si>
  <si>
    <t>스리랑카</t>
  </si>
  <si>
    <t>lr</t>
  </si>
  <si>
    <t>라이베리아</t>
  </si>
  <si>
    <t>ls</t>
  </si>
  <si>
    <t>레소토</t>
  </si>
  <si>
    <t>lt</t>
  </si>
  <si>
    <t>리투아니아</t>
  </si>
  <si>
    <t>lu</t>
  </si>
  <si>
    <t>룩셈부르크</t>
  </si>
  <si>
    <t>lv</t>
  </si>
  <si>
    <t>라트비아</t>
  </si>
  <si>
    <t>ly</t>
  </si>
  <si>
    <t>리비아</t>
  </si>
  <si>
    <t>ma</t>
  </si>
  <si>
    <t>모로코</t>
  </si>
  <si>
    <t>mc</t>
  </si>
  <si>
    <t>모나코</t>
  </si>
  <si>
    <t>md</t>
  </si>
  <si>
    <t>몰다비아</t>
  </si>
  <si>
    <t>mg</t>
  </si>
  <si>
    <t>마다가스카르</t>
  </si>
  <si>
    <t>mh</t>
  </si>
  <si>
    <t>마셜 군도</t>
  </si>
  <si>
    <t>mil</t>
  </si>
  <si>
    <t>미군</t>
  </si>
  <si>
    <t>mk</t>
  </si>
  <si>
    <t>마케도니아</t>
  </si>
  <si>
    <t>ml</t>
  </si>
  <si>
    <t>말리</t>
  </si>
  <si>
    <t>mm</t>
  </si>
  <si>
    <t>미얀마</t>
  </si>
  <si>
    <t>mn</t>
  </si>
  <si>
    <t>몽골</t>
  </si>
  <si>
    <t>mo</t>
  </si>
  <si>
    <t>마카오</t>
  </si>
  <si>
    <t>mp</t>
  </si>
  <si>
    <t>북마리아나 군도</t>
  </si>
  <si>
    <t>mq</t>
  </si>
  <si>
    <t>말티니크(프랑스령)</t>
  </si>
  <si>
    <t>mr</t>
  </si>
  <si>
    <t>모리타니</t>
  </si>
  <si>
    <t>ms</t>
  </si>
  <si>
    <t>몬트세라트</t>
  </si>
  <si>
    <t>mt</t>
  </si>
  <si>
    <t>몰타</t>
  </si>
  <si>
    <t>mu</t>
  </si>
  <si>
    <t>모리셔스</t>
  </si>
  <si>
    <t>mv</t>
  </si>
  <si>
    <t>몰디브</t>
  </si>
  <si>
    <t>mw</t>
  </si>
  <si>
    <t>말라위</t>
  </si>
  <si>
    <t>mx</t>
  </si>
  <si>
    <t>멕시코</t>
  </si>
  <si>
    <t>my</t>
  </si>
  <si>
    <t>말레이시아</t>
  </si>
  <si>
    <t>mz</t>
  </si>
  <si>
    <t>모잠비크</t>
  </si>
  <si>
    <t>na</t>
  </si>
  <si>
    <t>나미비아</t>
  </si>
  <si>
    <t>nc</t>
  </si>
  <si>
    <t>뉴 칼레도니아(프랑스령)</t>
  </si>
  <si>
    <t>ne</t>
  </si>
  <si>
    <t>니제르</t>
  </si>
  <si>
    <t>net</t>
  </si>
  <si>
    <t>네트워크</t>
  </si>
  <si>
    <t>nf</t>
  </si>
  <si>
    <t>노퍽 섬</t>
  </si>
  <si>
    <t>ng</t>
  </si>
  <si>
    <t>나이지리아</t>
  </si>
  <si>
    <t>ni</t>
  </si>
  <si>
    <t>니카라과</t>
  </si>
  <si>
    <t>nl</t>
  </si>
  <si>
    <t>네덜란드</t>
  </si>
  <si>
    <t>no</t>
  </si>
  <si>
    <t>노르웨이</t>
  </si>
  <si>
    <t>np</t>
  </si>
  <si>
    <t>네팔</t>
  </si>
  <si>
    <t>nr</t>
  </si>
  <si>
    <t>나우루</t>
  </si>
  <si>
    <t>nt</t>
  </si>
  <si>
    <t>중립 지역</t>
  </si>
  <si>
    <t>nu</t>
  </si>
  <si>
    <t>니우에</t>
  </si>
  <si>
    <t>nz</t>
  </si>
  <si>
    <t>뉴질랜드</t>
  </si>
  <si>
    <t>om</t>
  </si>
  <si>
    <t>오멘</t>
  </si>
  <si>
    <t>org</t>
  </si>
  <si>
    <t>비영리 조직(sic)</t>
  </si>
  <si>
    <t>pa</t>
  </si>
  <si>
    <t>파나마</t>
  </si>
  <si>
    <t>pe</t>
  </si>
  <si>
    <t>페루</t>
  </si>
  <si>
    <t>pf</t>
  </si>
  <si>
    <t>폴리네시아(프랑스령)</t>
  </si>
  <si>
    <t>pg</t>
  </si>
  <si>
    <t>파푸아뉴기니</t>
  </si>
  <si>
    <t>ph</t>
  </si>
  <si>
    <t>필리핀</t>
  </si>
  <si>
    <t>pk</t>
  </si>
  <si>
    <t>파키스탄</t>
  </si>
  <si>
    <t>pl</t>
  </si>
  <si>
    <t>폴란드</t>
  </si>
  <si>
    <t>pm</t>
  </si>
  <si>
    <t>세인트 피에르 미켈론</t>
  </si>
  <si>
    <t>pn</t>
  </si>
  <si>
    <t>핏케언 군도</t>
  </si>
  <si>
    <t>pr</t>
  </si>
  <si>
    <t>푸에르토리코</t>
  </si>
  <si>
    <t>pt</t>
  </si>
  <si>
    <t>포르투갈</t>
  </si>
  <si>
    <t>pw</t>
  </si>
  <si>
    <t>팔라우</t>
  </si>
  <si>
    <t>py</t>
  </si>
  <si>
    <t>파라과이</t>
  </si>
  <si>
    <t>qa</t>
  </si>
  <si>
    <t>카타르</t>
  </si>
  <si>
    <t>re</t>
  </si>
  <si>
    <t>리유니언(프랑스령)</t>
  </si>
  <si>
    <t>ro</t>
  </si>
  <si>
    <t>루마니아</t>
  </si>
  <si>
    <t>ru</t>
  </si>
  <si>
    <t>러시아</t>
  </si>
  <si>
    <t>rw</t>
  </si>
  <si>
    <t>르완다</t>
  </si>
  <si>
    <t>sa</t>
  </si>
  <si>
    <t>사우디아라비아</t>
  </si>
  <si>
    <t>sb</t>
  </si>
  <si>
    <t>솔로몬 군도</t>
  </si>
  <si>
    <t>sc</t>
  </si>
  <si>
    <t>세이셸</t>
  </si>
  <si>
    <t>sd</t>
  </si>
  <si>
    <t>수단</t>
  </si>
  <si>
    <t>se</t>
  </si>
  <si>
    <t>스웨덴</t>
  </si>
  <si>
    <t>sg</t>
  </si>
  <si>
    <t>싱가포르</t>
  </si>
  <si>
    <t>sh</t>
  </si>
  <si>
    <t>세인트 헬레나</t>
  </si>
  <si>
    <t>si</t>
  </si>
  <si>
    <t>슬로베니아</t>
  </si>
  <si>
    <t>sj</t>
  </si>
  <si>
    <t>스발바르드 얀마이옌 군도</t>
  </si>
  <si>
    <t>sk</t>
  </si>
  <si>
    <t>슬로바키아</t>
  </si>
  <si>
    <t>sl</t>
  </si>
  <si>
    <t>시에라리온</t>
  </si>
  <si>
    <t>sm</t>
  </si>
  <si>
    <t>산마리노</t>
  </si>
  <si>
    <t>sn</t>
  </si>
  <si>
    <t>세네갈</t>
  </si>
  <si>
    <t>so</t>
  </si>
  <si>
    <t>소말리아</t>
  </si>
  <si>
    <t>sr</t>
  </si>
  <si>
    <t>수리남</t>
  </si>
  <si>
    <t>st</t>
  </si>
  <si>
    <t>상투메 프린시페</t>
  </si>
  <si>
    <t>su</t>
  </si>
  <si>
    <t>구 USSR</t>
  </si>
  <si>
    <t>sv</t>
  </si>
  <si>
    <t>엘살바도르</t>
  </si>
  <si>
    <t>sy</t>
  </si>
  <si>
    <t>시리아</t>
  </si>
  <si>
    <t>sz</t>
  </si>
  <si>
    <t>스와질랜드</t>
  </si>
  <si>
    <t>tc</t>
  </si>
  <si>
    <t>터크스 카이코스 군도</t>
  </si>
  <si>
    <t>td</t>
  </si>
  <si>
    <t>차드</t>
  </si>
  <si>
    <t>tf</t>
  </si>
  <si>
    <t>프랑스 남부 지방</t>
  </si>
  <si>
    <t>tg</t>
  </si>
  <si>
    <t>토고</t>
  </si>
  <si>
    <t>th</t>
  </si>
  <si>
    <t>태국</t>
  </si>
  <si>
    <t>tj</t>
  </si>
  <si>
    <t>타지키스탄</t>
  </si>
  <si>
    <t>tk</t>
  </si>
  <si>
    <t>토켈라우</t>
  </si>
  <si>
    <t>tm</t>
  </si>
  <si>
    <t>투르크메니스탄</t>
  </si>
  <si>
    <t>tn</t>
  </si>
  <si>
    <t>튀니지</t>
  </si>
  <si>
    <t>to</t>
  </si>
  <si>
    <t>통가</t>
  </si>
  <si>
    <t>tp</t>
  </si>
  <si>
    <t>동티모르</t>
  </si>
  <si>
    <t>tr</t>
  </si>
  <si>
    <t>터키</t>
  </si>
  <si>
    <t>tt</t>
  </si>
  <si>
    <t>트리니다드 토바고</t>
  </si>
  <si>
    <t>tv</t>
  </si>
  <si>
    <t>투발루</t>
  </si>
  <si>
    <t>tw</t>
  </si>
  <si>
    <t>대만</t>
  </si>
  <si>
    <t>tz</t>
  </si>
  <si>
    <t>탄자니아</t>
  </si>
  <si>
    <t>ua</t>
  </si>
  <si>
    <t>우크라이나</t>
  </si>
  <si>
    <t>ug</t>
  </si>
  <si>
    <t>우간다</t>
  </si>
  <si>
    <t>uk</t>
  </si>
  <si>
    <t>um</t>
  </si>
  <si>
    <t>미국령 군도</t>
  </si>
  <si>
    <t>us</t>
  </si>
  <si>
    <t>미국</t>
  </si>
  <si>
    <t>uy</t>
  </si>
  <si>
    <t>우루과이</t>
  </si>
  <si>
    <t>uz</t>
  </si>
  <si>
    <t>우즈베키스탄</t>
  </si>
  <si>
    <t>va</t>
  </si>
  <si>
    <t>바티칸 시국</t>
  </si>
  <si>
    <t>vc</t>
  </si>
  <si>
    <t>세인트 빈센트 그레나딘스</t>
  </si>
  <si>
    <t>ve</t>
  </si>
  <si>
    <t>베네수엘라</t>
  </si>
  <si>
    <t>vg</t>
  </si>
  <si>
    <t>버진 군도(영국령)</t>
  </si>
  <si>
    <t>vi</t>
  </si>
  <si>
    <t>버진 군도(미국령)</t>
  </si>
  <si>
    <t>vn</t>
  </si>
  <si>
    <t>베트남</t>
  </si>
  <si>
    <t>vu</t>
  </si>
  <si>
    <t>바누아투</t>
  </si>
  <si>
    <t>wf</t>
  </si>
  <si>
    <t>월리스 푸투나</t>
  </si>
  <si>
    <t>ws</t>
  </si>
  <si>
    <t>사모아</t>
  </si>
  <si>
    <t>ye</t>
  </si>
  <si>
    <t>예멘</t>
  </si>
  <si>
    <t>yt</t>
  </si>
  <si>
    <t>마요트</t>
  </si>
  <si>
    <t>yu</t>
  </si>
  <si>
    <t>유고슬라비아</t>
  </si>
  <si>
    <t>za</t>
  </si>
  <si>
    <t>남아프리카</t>
  </si>
  <si>
    <t>zm</t>
  </si>
  <si>
    <t>잠비아</t>
  </si>
  <si>
    <t>zr</t>
  </si>
  <si>
    <t>자이르</t>
  </si>
  <si>
    <t>zw</t>
  </si>
  <si>
    <t>짐바브웨</t>
  </si>
  <si>
    <t>ad</t>
    <phoneticPr fontId="1" type="noConversion"/>
  </si>
  <si>
    <t>hqof_idcd</t>
    <phoneticPr fontId="1" type="noConversion"/>
  </si>
  <si>
    <t>base_idcd</t>
    <phoneticPr fontId="1" type="noConversion"/>
  </si>
  <si>
    <t>base_code</t>
    <phoneticPr fontId="1" type="noConversion"/>
  </si>
  <si>
    <t>base_name</t>
    <phoneticPr fontId="1" type="noConversion"/>
  </si>
  <si>
    <t>prnt_idcd</t>
    <phoneticPr fontId="1" type="noConversion"/>
  </si>
  <si>
    <t>line_stat</t>
    <phoneticPr fontId="1" type="noConversion"/>
  </si>
  <si>
    <t>line_levl</t>
    <phoneticPr fontId="1" type="noConversion"/>
  </si>
  <si>
    <t>base_mast</t>
    <phoneticPr fontId="1" type="noConversion"/>
  </si>
  <si>
    <t>1201</t>
    <phoneticPr fontId="1" type="noConversion"/>
  </si>
  <si>
    <t>N1000WINFO</t>
    <phoneticPr fontId="1" type="noConversion"/>
  </si>
  <si>
    <t>1202</t>
    <phoneticPr fontId="1" type="noConversion"/>
  </si>
  <si>
    <t>1103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</si>
  <si>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</si>
  <si>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</si>
  <si>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</si>
  <si>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4001</t>
    <phoneticPr fontId="1" type="noConversion"/>
  </si>
  <si>
    <t>5001</t>
    <phoneticPr fontId="1" type="noConversion"/>
  </si>
  <si>
    <t>원재료</t>
    <phoneticPr fontId="1" type="noConversion"/>
  </si>
  <si>
    <t>부재료</t>
    <phoneticPr fontId="1" type="noConversion"/>
  </si>
  <si>
    <t>소모품</t>
    <phoneticPr fontId="1" type="noConversion"/>
  </si>
  <si>
    <t>제공품</t>
    <phoneticPr fontId="1" type="noConversion"/>
  </si>
  <si>
    <t>제품</t>
    <phoneticPr fontId="1" type="noConversion"/>
  </si>
  <si>
    <t>상품</t>
    <phoneticPr fontId="1" type="noConversion"/>
  </si>
  <si>
    <t>집기비품</t>
    <phoneticPr fontId="1" type="noConversion"/>
  </si>
  <si>
    <t>반제품</t>
    <phoneticPr fontId="1" type="noConversion"/>
  </si>
  <si>
    <t>공구기구</t>
    <phoneticPr fontId="1" type="noConversion"/>
  </si>
  <si>
    <t>1001</t>
    <phoneticPr fontId="1" type="noConversion"/>
  </si>
  <si>
    <t>1002</t>
    <phoneticPr fontId="1" type="noConversion"/>
  </si>
  <si>
    <t>1003</t>
  </si>
  <si>
    <t>2001</t>
    <phoneticPr fontId="1" type="noConversion"/>
  </si>
  <si>
    <t>2002</t>
    <phoneticPr fontId="1" type="noConversion"/>
  </si>
  <si>
    <t>3000</t>
    <phoneticPr fontId="1" type="noConversion"/>
  </si>
  <si>
    <t>4000</t>
    <phoneticPr fontId="1" type="noConversion"/>
  </si>
  <si>
    <t>5000</t>
    <phoneticPr fontId="1" type="noConversion"/>
  </si>
  <si>
    <t>6000</t>
    <phoneticPr fontId="1" type="noConversion"/>
  </si>
  <si>
    <t>1102</t>
    <phoneticPr fontId="1" type="noConversion"/>
  </si>
  <si>
    <t>AE백색</t>
    <phoneticPr fontId="7" type="noConversion"/>
  </si>
  <si>
    <t>AP백색</t>
    <phoneticPr fontId="7" type="noConversion"/>
  </si>
  <si>
    <t>EDP백색</t>
    <phoneticPr fontId="7" type="noConversion"/>
  </si>
  <si>
    <t>H/S</t>
  </si>
  <si>
    <t>MB노랑색반투명</t>
  </si>
  <si>
    <t>PCTA 검정색투명</t>
    <phoneticPr fontId="7" type="noConversion"/>
  </si>
  <si>
    <t>PCTA 투명</t>
    <phoneticPr fontId="7" type="noConversion"/>
  </si>
  <si>
    <t>PCTA검정색</t>
  </si>
  <si>
    <t>PCTA백색</t>
  </si>
  <si>
    <t>PKG백색</t>
  </si>
  <si>
    <t>PP백색</t>
  </si>
  <si>
    <t>RD아이스</t>
    <phoneticPr fontId="7" type="noConversion"/>
  </si>
  <si>
    <t>갈반투명</t>
    <phoneticPr fontId="7" type="noConversion"/>
  </si>
  <si>
    <t>갈색</t>
  </si>
  <si>
    <t>갈색무광증착</t>
    <phoneticPr fontId="7" type="noConversion"/>
  </si>
  <si>
    <t>갈색반투명</t>
  </si>
  <si>
    <t>갈색투명</t>
  </si>
  <si>
    <t>검정</t>
  </si>
  <si>
    <t>검정반투명</t>
  </si>
  <si>
    <t>검정불투명</t>
    <phoneticPr fontId="7" type="noConversion"/>
  </si>
  <si>
    <t>검정색</t>
  </si>
  <si>
    <t>검정색반투명</t>
    <phoneticPr fontId="7" type="noConversion"/>
  </si>
  <si>
    <t>검정색불투명</t>
    <phoneticPr fontId="7" type="noConversion"/>
  </si>
  <si>
    <t>검정색투명</t>
    <phoneticPr fontId="7" type="noConversion"/>
  </si>
  <si>
    <t>검정색투명NO.3</t>
  </si>
  <si>
    <t>검정유광증착</t>
    <phoneticPr fontId="7" type="noConversion"/>
  </si>
  <si>
    <t>겨자색</t>
  </si>
  <si>
    <t>고동색</t>
  </si>
  <si>
    <t>고투명</t>
    <phoneticPr fontId="7" type="noConversion"/>
  </si>
  <si>
    <t>골드</t>
  </si>
  <si>
    <t>골드무광증착</t>
    <phoneticPr fontId="7" type="noConversion"/>
  </si>
  <si>
    <t>골드반무광증착</t>
    <phoneticPr fontId="7" type="noConversion"/>
  </si>
  <si>
    <t>골드반투명</t>
    <phoneticPr fontId="7" type="noConversion"/>
  </si>
  <si>
    <t>골드아이보리</t>
    <phoneticPr fontId="7" type="noConversion"/>
  </si>
  <si>
    <t>골드유광</t>
    <phoneticPr fontId="7" type="noConversion"/>
  </si>
  <si>
    <t>골드유광증착</t>
    <phoneticPr fontId="7" type="noConversion"/>
  </si>
  <si>
    <t>골드투명</t>
    <phoneticPr fontId="7" type="noConversion"/>
  </si>
  <si>
    <t>골드펄</t>
  </si>
  <si>
    <t>골드펄#2</t>
  </si>
  <si>
    <t>골드펄검정색</t>
  </si>
  <si>
    <t>골드펄반투명</t>
  </si>
  <si>
    <t>골드펄투명</t>
  </si>
  <si>
    <t>국방색투명</t>
  </si>
  <si>
    <t>군청색반투명</t>
    <phoneticPr fontId="7" type="noConversion"/>
  </si>
  <si>
    <t>군청색</t>
  </si>
  <si>
    <t>군청색투명</t>
  </si>
  <si>
    <t>그린불투명</t>
  </si>
  <si>
    <t>그린투명</t>
  </si>
  <si>
    <t>남색</t>
  </si>
  <si>
    <t>남색반투명</t>
  </si>
  <si>
    <t>내츄럴</t>
    <phoneticPr fontId="7" type="noConversion"/>
  </si>
  <si>
    <t>넬리아이스</t>
  </si>
  <si>
    <t>노랑색</t>
  </si>
  <si>
    <t>노랑색반투명</t>
  </si>
  <si>
    <t>노랑색투명</t>
  </si>
  <si>
    <t>녹색</t>
  </si>
  <si>
    <t>녹색반투명</t>
    <phoneticPr fontId="7" type="noConversion"/>
  </si>
  <si>
    <t>녹색불투명</t>
    <phoneticPr fontId="7" type="noConversion"/>
  </si>
  <si>
    <t>녹색투명</t>
  </si>
  <si>
    <t>다크블루</t>
  </si>
  <si>
    <t>다홍색반투명</t>
  </si>
  <si>
    <t>도금</t>
  </si>
  <si>
    <t>두유색</t>
  </si>
  <si>
    <t>레드</t>
    <phoneticPr fontId="7" type="noConversion"/>
  </si>
  <si>
    <t>레드오렌지투명</t>
  </si>
  <si>
    <t>레드투명</t>
  </si>
  <si>
    <t>로즈골드</t>
    <phoneticPr fontId="7" type="noConversion"/>
  </si>
  <si>
    <t>로즈골드반투명</t>
    <phoneticPr fontId="7" type="noConversion"/>
  </si>
  <si>
    <t>로즈골드유광증착</t>
    <phoneticPr fontId="7" type="noConversion"/>
  </si>
  <si>
    <t>로즈골드증착</t>
    <phoneticPr fontId="7" type="noConversion"/>
  </si>
  <si>
    <t>로즈골드투명</t>
    <phoneticPr fontId="7" type="noConversion"/>
  </si>
  <si>
    <t>무지개펄미백색</t>
  </si>
  <si>
    <t>무지개펄백색</t>
    <phoneticPr fontId="7" type="noConversion"/>
  </si>
  <si>
    <t>미백</t>
    <phoneticPr fontId="7" type="noConversion"/>
  </si>
  <si>
    <t>미백색</t>
  </si>
  <si>
    <t>민트색</t>
    <phoneticPr fontId="7" type="noConversion"/>
  </si>
  <si>
    <t>민트색반투명</t>
    <phoneticPr fontId="7" type="noConversion"/>
  </si>
  <si>
    <t>민트색투명</t>
    <phoneticPr fontId="7" type="noConversion"/>
  </si>
  <si>
    <t>반투명</t>
  </si>
  <si>
    <t>반투명검정</t>
    <phoneticPr fontId="7" type="noConversion"/>
  </si>
  <si>
    <t>밝은백색</t>
    <phoneticPr fontId="7" type="noConversion"/>
  </si>
  <si>
    <t>밝은연두색</t>
  </si>
  <si>
    <t>밝은하늘색투명</t>
  </si>
  <si>
    <t>밤색</t>
  </si>
  <si>
    <t>밤색투명</t>
  </si>
  <si>
    <t>백보라색</t>
    <phoneticPr fontId="7" type="noConversion"/>
  </si>
  <si>
    <t>백색</t>
  </si>
  <si>
    <t>백색(BBW)</t>
    <phoneticPr fontId="7" type="noConversion"/>
  </si>
  <si>
    <t>백색(EDP)</t>
    <phoneticPr fontId="7" type="noConversion"/>
  </si>
  <si>
    <t>백색(HI-100)</t>
    <phoneticPr fontId="7" type="noConversion"/>
  </si>
  <si>
    <t>백색_전용</t>
    <phoneticPr fontId="7" type="noConversion"/>
  </si>
  <si>
    <t>백색반투명</t>
    <phoneticPr fontId="7" type="noConversion"/>
  </si>
  <si>
    <t>백색투명</t>
  </si>
  <si>
    <t>베이지색</t>
  </si>
  <si>
    <t>베이지유광증착</t>
    <phoneticPr fontId="7" type="noConversion"/>
  </si>
  <si>
    <t>보라색</t>
  </si>
  <si>
    <t>보라색반투명</t>
  </si>
  <si>
    <t>보라색투명</t>
  </si>
  <si>
    <t>보시아백색</t>
  </si>
  <si>
    <t>분홍색</t>
  </si>
  <si>
    <t>분홍골드유광증착</t>
    <phoneticPr fontId="7" type="noConversion"/>
  </si>
  <si>
    <t>분홍색반투명</t>
    <phoneticPr fontId="7" type="noConversion"/>
  </si>
  <si>
    <t>분홍색투명</t>
  </si>
  <si>
    <t>불투명베이지마블</t>
  </si>
  <si>
    <t>블랙투명</t>
  </si>
  <si>
    <t>블루블랙</t>
    <phoneticPr fontId="7" type="noConversion"/>
  </si>
  <si>
    <t>블루투명</t>
  </si>
  <si>
    <t>빨간색</t>
  </si>
  <si>
    <t>빨간색반투명</t>
    <phoneticPr fontId="7" type="noConversion"/>
  </si>
  <si>
    <t>빨간색투명</t>
  </si>
  <si>
    <t>살구색</t>
  </si>
  <si>
    <t>살구색반투명</t>
    <phoneticPr fontId="7" type="noConversion"/>
  </si>
  <si>
    <t>살구색투명</t>
    <phoneticPr fontId="7" type="noConversion"/>
  </si>
  <si>
    <t>살색</t>
    <phoneticPr fontId="7" type="noConversion"/>
  </si>
  <si>
    <t>살색투명</t>
  </si>
  <si>
    <t>상해백색</t>
    <phoneticPr fontId="7" type="noConversion"/>
  </si>
  <si>
    <t>샛노랑</t>
    <phoneticPr fontId="7" type="noConversion"/>
  </si>
  <si>
    <t>샴페인골드</t>
    <phoneticPr fontId="7" type="noConversion"/>
  </si>
  <si>
    <t>순백색</t>
    <phoneticPr fontId="7" type="noConversion"/>
  </si>
  <si>
    <t>스모그아이스</t>
  </si>
  <si>
    <t>스모그아이스연그린색투명</t>
    <phoneticPr fontId="7" type="noConversion"/>
  </si>
  <si>
    <t>스모그아이스연그린투명</t>
    <phoneticPr fontId="7" type="noConversion"/>
  </si>
  <si>
    <t>스모그증착</t>
    <phoneticPr fontId="7" type="noConversion"/>
  </si>
  <si>
    <t>실버무유광증착</t>
    <phoneticPr fontId="7" type="noConversion"/>
  </si>
  <si>
    <t>실버반무광증착</t>
    <phoneticPr fontId="7" type="noConversion"/>
  </si>
  <si>
    <t>실버유광</t>
    <phoneticPr fontId="7" type="noConversion"/>
  </si>
  <si>
    <t>실버유광증착</t>
    <phoneticPr fontId="7" type="noConversion"/>
  </si>
  <si>
    <t>쑥색</t>
    <phoneticPr fontId="7" type="noConversion"/>
  </si>
  <si>
    <t>쑥색투명</t>
  </si>
  <si>
    <t>아이보리색</t>
  </si>
  <si>
    <t>아이보리반투명</t>
  </si>
  <si>
    <t>아이보리색투명</t>
    <phoneticPr fontId="7" type="noConversion"/>
  </si>
  <si>
    <t>아이스</t>
  </si>
  <si>
    <t>아이스(PKG레드도어색상)</t>
  </si>
  <si>
    <t>아이스1/2</t>
    <phoneticPr fontId="7" type="noConversion"/>
  </si>
  <si>
    <t>아이스NO.1</t>
    <phoneticPr fontId="7" type="noConversion"/>
  </si>
  <si>
    <t>아이스NO.2</t>
    <phoneticPr fontId="7" type="noConversion"/>
  </si>
  <si>
    <t>아이스NO.3</t>
    <phoneticPr fontId="7" type="noConversion"/>
  </si>
  <si>
    <t>아이스골드펄</t>
  </si>
  <si>
    <t>아이스반투명</t>
    <phoneticPr fontId="7" type="noConversion"/>
  </si>
  <si>
    <t>아이스아이보리</t>
    <phoneticPr fontId="7" type="noConversion"/>
  </si>
  <si>
    <t>아이스유백색</t>
    <phoneticPr fontId="7" type="noConversion"/>
  </si>
  <si>
    <t>아이스칼라</t>
  </si>
  <si>
    <t>아이스투명</t>
  </si>
  <si>
    <t>에메랄드투명</t>
  </si>
  <si>
    <t>연갈색</t>
  </si>
  <si>
    <t>연갈색반투명</t>
    <phoneticPr fontId="7" type="noConversion"/>
  </si>
  <si>
    <t>연갈색투명</t>
    <phoneticPr fontId="7" type="noConversion"/>
  </si>
  <si>
    <t>연골드</t>
    <phoneticPr fontId="7" type="noConversion"/>
  </si>
  <si>
    <t>연골드유광증착</t>
    <phoneticPr fontId="7" type="noConversion"/>
  </si>
  <si>
    <t>연골드투명</t>
    <phoneticPr fontId="7" type="noConversion"/>
  </si>
  <si>
    <t>연그린</t>
  </si>
  <si>
    <t>연그린반투명</t>
  </si>
  <si>
    <t>연그린색투명</t>
    <phoneticPr fontId="7" type="noConversion"/>
  </si>
  <si>
    <t>연그린투명</t>
  </si>
  <si>
    <t>연남색</t>
  </si>
  <si>
    <t>연노랑색</t>
  </si>
  <si>
    <t>연노랑색투명</t>
  </si>
  <si>
    <t>연노랑</t>
  </si>
  <si>
    <t>연노랑반투명</t>
  </si>
  <si>
    <t>연녹검정색투명</t>
    <phoneticPr fontId="7" type="noConversion"/>
  </si>
  <si>
    <t>연녹색</t>
  </si>
  <si>
    <t>연녹색반투명</t>
  </si>
  <si>
    <t>연녹색투명</t>
  </si>
  <si>
    <t>연녹황색반투명</t>
    <phoneticPr fontId="7" type="noConversion"/>
  </si>
  <si>
    <t>연두색반투명</t>
  </si>
  <si>
    <t>연두색</t>
  </si>
  <si>
    <t>연두색투명</t>
  </si>
  <si>
    <t>연미백색</t>
    <phoneticPr fontId="7" type="noConversion"/>
  </si>
  <si>
    <t>연베이지</t>
    <phoneticPr fontId="7" type="noConversion"/>
  </si>
  <si>
    <t>연보라색</t>
  </si>
  <si>
    <t>연보라반투명</t>
    <phoneticPr fontId="7" type="noConversion"/>
  </si>
  <si>
    <t>연보라색투명</t>
  </si>
  <si>
    <t>연분홍</t>
    <phoneticPr fontId="7" type="noConversion"/>
  </si>
  <si>
    <t>연분홍마블</t>
  </si>
  <si>
    <t>연분홍색</t>
    <phoneticPr fontId="7" type="noConversion"/>
  </si>
  <si>
    <t>연분홍색반투명</t>
  </si>
  <si>
    <t>연분홍색투명</t>
    <phoneticPr fontId="7" type="noConversion"/>
  </si>
  <si>
    <t>연분홍투명</t>
  </si>
  <si>
    <t>연블루메탈코팅</t>
  </si>
  <si>
    <t>연살구마블</t>
  </si>
  <si>
    <t>연살구색</t>
  </si>
  <si>
    <t>연살구색투명</t>
  </si>
  <si>
    <t>연아이보리</t>
    <phoneticPr fontId="7" type="noConversion"/>
  </si>
  <si>
    <t>연아이보리반투명</t>
    <phoneticPr fontId="7" type="noConversion"/>
  </si>
  <si>
    <t>연아이보리색</t>
  </si>
  <si>
    <t>연아이보리아이스반투명</t>
    <phoneticPr fontId="7" type="noConversion"/>
  </si>
  <si>
    <t>연아이스</t>
  </si>
  <si>
    <t>연오렌지색</t>
    <phoneticPr fontId="7" type="noConversion"/>
  </si>
  <si>
    <t>연옥색반투명</t>
    <phoneticPr fontId="7" type="noConversion"/>
  </si>
  <si>
    <t>연옥색투명</t>
  </si>
  <si>
    <t>연자주색투명</t>
  </si>
  <si>
    <t>연청색투명</t>
  </si>
  <si>
    <t>연청투명</t>
    <phoneticPr fontId="7" type="noConversion"/>
  </si>
  <si>
    <t>연파랑색</t>
  </si>
  <si>
    <t>연파랑색투명</t>
    <phoneticPr fontId="7" type="noConversion"/>
  </si>
  <si>
    <t>연풀색투명</t>
  </si>
  <si>
    <t>연핑크</t>
  </si>
  <si>
    <t>연핑크반투명</t>
    <phoneticPr fontId="7" type="noConversion"/>
  </si>
  <si>
    <t>연핑크투명</t>
  </si>
  <si>
    <t>연하늘색</t>
  </si>
  <si>
    <t>연하늘색투명</t>
    <phoneticPr fontId="7" type="noConversion"/>
  </si>
  <si>
    <t>연하늘청투명</t>
  </si>
  <si>
    <t>연한갈색</t>
  </si>
  <si>
    <t>연한살구색</t>
  </si>
  <si>
    <t>연한아이보리</t>
    <phoneticPr fontId="7" type="noConversion"/>
  </si>
  <si>
    <t>연황색</t>
    <phoneticPr fontId="7" type="noConversion"/>
  </si>
  <si>
    <t>연회색</t>
  </si>
  <si>
    <t>연흑색</t>
    <phoneticPr fontId="7" type="noConversion"/>
  </si>
  <si>
    <t>옐로우그린투명</t>
  </si>
  <si>
    <t>옐로우반투명</t>
    <phoneticPr fontId="7" type="noConversion"/>
  </si>
  <si>
    <t>오랜지,실버유광증착</t>
    <phoneticPr fontId="7" type="noConversion"/>
  </si>
  <si>
    <t>오렌지색</t>
    <phoneticPr fontId="7" type="noConversion"/>
  </si>
  <si>
    <t>오렌지반투명</t>
    <phoneticPr fontId="7" type="noConversion"/>
  </si>
  <si>
    <t>오렌지투명</t>
  </si>
  <si>
    <t>오버캡</t>
  </si>
  <si>
    <t>옥색</t>
    <phoneticPr fontId="7" type="noConversion"/>
  </si>
  <si>
    <t>옥색투명</t>
  </si>
  <si>
    <t>와인색</t>
    <phoneticPr fontId="7" type="noConversion"/>
  </si>
  <si>
    <t>와인색투명</t>
  </si>
  <si>
    <t>우유백색</t>
    <phoneticPr fontId="7" type="noConversion"/>
  </si>
  <si>
    <t>유백색</t>
    <phoneticPr fontId="7" type="noConversion"/>
  </si>
  <si>
    <t>이디피백색</t>
    <phoneticPr fontId="7" type="noConversion"/>
  </si>
  <si>
    <t>인쇄</t>
  </si>
  <si>
    <t>일반백색</t>
    <phoneticPr fontId="7" type="noConversion"/>
  </si>
  <si>
    <t>자주색</t>
  </si>
  <si>
    <t>자주색반투명</t>
    <phoneticPr fontId="7" type="noConversion"/>
  </si>
  <si>
    <t>자주색투명</t>
  </si>
  <si>
    <t>적갈색</t>
    <phoneticPr fontId="7" type="noConversion"/>
  </si>
  <si>
    <t>적갈색반투명</t>
    <phoneticPr fontId="7" type="noConversion"/>
  </si>
  <si>
    <t>적갈색투명</t>
    <phoneticPr fontId="7" type="noConversion"/>
  </si>
  <si>
    <t>적검정</t>
    <phoneticPr fontId="7" type="noConversion"/>
  </si>
  <si>
    <t>적골드</t>
    <phoneticPr fontId="7" type="noConversion"/>
  </si>
  <si>
    <t>적보라반투명</t>
    <phoneticPr fontId="7" type="noConversion"/>
  </si>
  <si>
    <t>적색</t>
  </si>
  <si>
    <t>적색반투명</t>
    <phoneticPr fontId="7" type="noConversion"/>
  </si>
  <si>
    <t>적색투명</t>
  </si>
  <si>
    <t>전용백색</t>
    <phoneticPr fontId="7" type="noConversion"/>
  </si>
  <si>
    <t>조개펄아이스</t>
  </si>
  <si>
    <t>주황색</t>
  </si>
  <si>
    <t>주황색반투명</t>
    <phoneticPr fontId="7" type="noConversion"/>
  </si>
  <si>
    <t>주황색유광증착</t>
    <phoneticPr fontId="7" type="noConversion"/>
  </si>
  <si>
    <t>주황색투명</t>
  </si>
  <si>
    <t>증착</t>
  </si>
  <si>
    <t>진갈색</t>
  </si>
  <si>
    <t>진갈색반투명</t>
    <phoneticPr fontId="7" type="noConversion"/>
  </si>
  <si>
    <t>진갈색투명</t>
    <phoneticPr fontId="7" type="noConversion"/>
  </si>
  <si>
    <t>진검정보라투명</t>
  </si>
  <si>
    <t>진고동색</t>
    <phoneticPr fontId="7" type="noConversion"/>
  </si>
  <si>
    <t>진골드</t>
  </si>
  <si>
    <t>진군청색</t>
    <phoneticPr fontId="7" type="noConversion"/>
  </si>
  <si>
    <t>진남색</t>
    <phoneticPr fontId="7" type="noConversion"/>
  </si>
  <si>
    <t>진노랑색반투명</t>
  </si>
  <si>
    <t>진녹색</t>
    <phoneticPr fontId="7" type="noConversion"/>
  </si>
  <si>
    <t>진녹색반투명</t>
  </si>
  <si>
    <t>진녹색투명</t>
  </si>
  <si>
    <t>진베이지</t>
  </si>
  <si>
    <t>진보라색</t>
  </si>
  <si>
    <t>진보라투명</t>
  </si>
  <si>
    <t>진분홍색</t>
    <phoneticPr fontId="7" type="noConversion"/>
  </si>
  <si>
    <t>진분홍색반투명</t>
    <phoneticPr fontId="7" type="noConversion"/>
  </si>
  <si>
    <t>진분홍색투명</t>
    <phoneticPr fontId="7" type="noConversion"/>
  </si>
  <si>
    <t>진빨간색투명</t>
    <phoneticPr fontId="7" type="noConversion"/>
  </si>
  <si>
    <t>진아이스</t>
  </si>
  <si>
    <t>진연두색</t>
    <phoneticPr fontId="7" type="noConversion"/>
  </si>
  <si>
    <t>진자주색</t>
    <phoneticPr fontId="7" type="noConversion"/>
  </si>
  <si>
    <t>진청색투명</t>
    <phoneticPr fontId="7" type="noConversion"/>
  </si>
  <si>
    <t>진초록검정</t>
    <phoneticPr fontId="7" type="noConversion"/>
  </si>
  <si>
    <t>진파랑색</t>
  </si>
  <si>
    <t>진파랑반투명</t>
    <phoneticPr fontId="7" type="noConversion"/>
  </si>
  <si>
    <t>진파랑투명</t>
    <phoneticPr fontId="7" type="noConversion"/>
  </si>
  <si>
    <t>진펄고동반투명</t>
    <phoneticPr fontId="7" type="noConversion"/>
  </si>
  <si>
    <t>진하늘색</t>
    <phoneticPr fontId="7" type="noConversion"/>
  </si>
  <si>
    <t>진하늘색투명</t>
    <phoneticPr fontId="7" type="noConversion"/>
  </si>
  <si>
    <t>진한녹색</t>
  </si>
  <si>
    <t>진한녹색투명</t>
  </si>
  <si>
    <t>진회색</t>
  </si>
  <si>
    <t>진회색투명</t>
    <phoneticPr fontId="7" type="noConversion"/>
  </si>
  <si>
    <t>진흑갈색</t>
    <phoneticPr fontId="7" type="noConversion"/>
  </si>
  <si>
    <t>진흙갈색반투명</t>
    <phoneticPr fontId="7" type="noConversion"/>
  </si>
  <si>
    <t>청녹색</t>
  </si>
  <si>
    <t>청녹색반투명</t>
    <phoneticPr fontId="7" type="noConversion"/>
  </si>
  <si>
    <t>청록색</t>
    <phoneticPr fontId="7" type="noConversion"/>
  </si>
  <si>
    <t>청록색투명</t>
  </si>
  <si>
    <t>청보라색투명</t>
    <phoneticPr fontId="7" type="noConversion"/>
  </si>
  <si>
    <t>청색</t>
  </si>
  <si>
    <t>청색반투명</t>
  </si>
  <si>
    <t>청색투명</t>
  </si>
  <si>
    <t>초록색반투명</t>
    <phoneticPr fontId="7" type="noConversion"/>
  </si>
  <si>
    <t>초록색투명</t>
    <phoneticPr fontId="7" type="noConversion"/>
  </si>
  <si>
    <t>코팅</t>
  </si>
  <si>
    <t>크롬증착</t>
    <phoneticPr fontId="7" type="noConversion"/>
  </si>
  <si>
    <t>투명</t>
    <phoneticPr fontId="7" type="noConversion"/>
  </si>
  <si>
    <t>투명 UV차단</t>
    <phoneticPr fontId="7" type="noConversion"/>
  </si>
  <si>
    <t>투명-UV차단제4%</t>
    <phoneticPr fontId="7" type="noConversion"/>
  </si>
  <si>
    <t>투명적색</t>
  </si>
  <si>
    <t>파랑반색투명</t>
  </si>
  <si>
    <t>파랑색</t>
  </si>
  <si>
    <t>파랑색반투명</t>
  </si>
  <si>
    <t>파랑색투명</t>
  </si>
  <si>
    <t>펄갈색</t>
    <phoneticPr fontId="7" type="noConversion"/>
  </si>
  <si>
    <t>펄갈색반투명</t>
    <phoneticPr fontId="7" type="noConversion"/>
  </si>
  <si>
    <t>펄갈색투명</t>
  </si>
  <si>
    <t>펄검정색</t>
  </si>
  <si>
    <t>펄고동색</t>
  </si>
  <si>
    <t>펄고동색반투명</t>
  </si>
  <si>
    <t>펄골드</t>
    <phoneticPr fontId="7" type="noConversion"/>
  </si>
  <si>
    <t>펄골드반투명</t>
    <phoneticPr fontId="7" type="noConversion"/>
  </si>
  <si>
    <t>펄골드백색</t>
  </si>
  <si>
    <t>펄골드색</t>
  </si>
  <si>
    <t>펄골드색반투명</t>
    <phoneticPr fontId="7" type="noConversion"/>
  </si>
  <si>
    <t>펄골드아이스반투명</t>
  </si>
  <si>
    <t>펄골드자주색투명</t>
    <phoneticPr fontId="7" type="noConversion"/>
  </si>
  <si>
    <t>펄골드적색</t>
    <phoneticPr fontId="7" type="noConversion"/>
  </si>
  <si>
    <t>펄골드진녹색투명</t>
    <phoneticPr fontId="7" type="noConversion"/>
  </si>
  <si>
    <t>펄골드투명</t>
  </si>
  <si>
    <t>펄골드편광</t>
    <phoneticPr fontId="7" type="noConversion"/>
  </si>
  <si>
    <t>펄골드편광반투명</t>
    <phoneticPr fontId="7" type="noConversion"/>
  </si>
  <si>
    <t>펄군청색</t>
    <phoneticPr fontId="7" type="noConversion"/>
  </si>
  <si>
    <t>펄군청색반투명</t>
    <phoneticPr fontId="7" type="noConversion"/>
  </si>
  <si>
    <t>펄그린투명</t>
  </si>
  <si>
    <t>펄녹색</t>
  </si>
  <si>
    <t>펄녹색반투명</t>
  </si>
  <si>
    <t>펄밝은연두색투명</t>
  </si>
  <si>
    <t>펄백색</t>
  </si>
  <si>
    <t>펄백색반투명</t>
  </si>
  <si>
    <t>펄백색투명</t>
  </si>
  <si>
    <t>펄베이지</t>
  </si>
  <si>
    <t>펄베이지색</t>
  </si>
  <si>
    <t>펄베이지색반투명</t>
  </si>
  <si>
    <t>펄베이지투명</t>
    <phoneticPr fontId="7" type="noConversion"/>
  </si>
  <si>
    <t>펄보라색</t>
    <phoneticPr fontId="7" type="noConversion"/>
  </si>
  <si>
    <t>펄보라색반투명</t>
    <phoneticPr fontId="7" type="noConversion"/>
  </si>
  <si>
    <t>펄보라색투명</t>
  </si>
  <si>
    <t>펄분홍색</t>
  </si>
  <si>
    <t>펄분홍반투명</t>
    <phoneticPr fontId="7" type="noConversion"/>
  </si>
  <si>
    <t>펄브라운</t>
  </si>
  <si>
    <t>펄브라운반투명</t>
  </si>
  <si>
    <t>펄브라운투명</t>
  </si>
  <si>
    <t>펄블루반투명</t>
  </si>
  <si>
    <t>펄빨간색</t>
    <phoneticPr fontId="7" type="noConversion"/>
  </si>
  <si>
    <t>펄빨강색반투명</t>
    <phoneticPr fontId="7" type="noConversion"/>
  </si>
  <si>
    <t>펄살구</t>
  </si>
  <si>
    <t>펄살구색반투명</t>
  </si>
  <si>
    <t>펄살색</t>
  </si>
  <si>
    <t>펄아이보리색</t>
    <phoneticPr fontId="7" type="noConversion"/>
  </si>
  <si>
    <t>펄아이스</t>
  </si>
  <si>
    <t>펄아이스반투명</t>
    <phoneticPr fontId="7" type="noConversion"/>
  </si>
  <si>
    <t>펄아이스투명</t>
    <phoneticPr fontId="7" type="noConversion"/>
  </si>
  <si>
    <t>펄연갈색</t>
  </si>
  <si>
    <t>펄연갈색투명</t>
    <phoneticPr fontId="7" type="noConversion"/>
  </si>
  <si>
    <t>펄연골드색</t>
    <phoneticPr fontId="7" type="noConversion"/>
  </si>
  <si>
    <t>펄연골드투명</t>
    <phoneticPr fontId="7" type="noConversion"/>
  </si>
  <si>
    <t>펄연노랑투명</t>
    <phoneticPr fontId="7" type="noConversion"/>
  </si>
  <si>
    <t>펄연베이지</t>
  </si>
  <si>
    <t>펄연보라색</t>
  </si>
  <si>
    <t>펄연분홍색</t>
  </si>
  <si>
    <t>펄연살구색반투명</t>
    <phoneticPr fontId="7" type="noConversion"/>
  </si>
  <si>
    <t>펄연아이보리색</t>
    <phoneticPr fontId="7" type="noConversion"/>
  </si>
  <si>
    <t>펄연옥색반투명</t>
  </si>
  <si>
    <t>펄연회색</t>
  </si>
  <si>
    <t>펄연흑색</t>
    <phoneticPr fontId="7" type="noConversion"/>
  </si>
  <si>
    <t>펄오렌지색투명</t>
  </si>
  <si>
    <t>펄은색</t>
    <phoneticPr fontId="7" type="noConversion"/>
  </si>
  <si>
    <t>펄자주반투명</t>
    <phoneticPr fontId="7" type="noConversion"/>
  </si>
  <si>
    <t>펄자주색</t>
  </si>
  <si>
    <t>펄자주색반투명</t>
    <phoneticPr fontId="7" type="noConversion"/>
  </si>
  <si>
    <t>펄적색</t>
  </si>
  <si>
    <t>펄적색반투명</t>
  </si>
  <si>
    <t>펄적색투명</t>
  </si>
  <si>
    <t>펄주황색투명</t>
  </si>
  <si>
    <t>펄진갈색</t>
    <phoneticPr fontId="7" type="noConversion"/>
  </si>
  <si>
    <t>펄진갈색반투명</t>
    <phoneticPr fontId="7" type="noConversion"/>
  </si>
  <si>
    <t>펄진갈색투명</t>
  </si>
  <si>
    <t>펄진골드</t>
    <phoneticPr fontId="7" type="noConversion"/>
  </si>
  <si>
    <t>펄진녹색</t>
    <phoneticPr fontId="7" type="noConversion"/>
  </si>
  <si>
    <t>펄진베이지</t>
    <phoneticPr fontId="7" type="noConversion"/>
  </si>
  <si>
    <t>펄진보라투명</t>
  </si>
  <si>
    <t>펄진블루</t>
    <phoneticPr fontId="7" type="noConversion"/>
  </si>
  <si>
    <t>펄진청색</t>
    <phoneticPr fontId="7" type="noConversion"/>
  </si>
  <si>
    <t>펄진황색</t>
  </si>
  <si>
    <t>펄진회색</t>
    <phoneticPr fontId="7" type="noConversion"/>
  </si>
  <si>
    <t>펄청녹색</t>
    <phoneticPr fontId="7" type="noConversion"/>
  </si>
  <si>
    <t>펄청색</t>
    <phoneticPr fontId="7" type="noConversion"/>
  </si>
  <si>
    <t>펄청색반투명</t>
    <phoneticPr fontId="7" type="noConversion"/>
  </si>
  <si>
    <t>펄청색투명</t>
  </si>
  <si>
    <t>펄초록색</t>
    <phoneticPr fontId="7" type="noConversion"/>
  </si>
  <si>
    <t>펄크림</t>
  </si>
  <si>
    <t>펄크림색</t>
  </si>
  <si>
    <t>펄투명</t>
  </si>
  <si>
    <t>펄파랑색</t>
  </si>
  <si>
    <t>펄편광분홍색</t>
    <phoneticPr fontId="7" type="noConversion"/>
  </si>
  <si>
    <t>펄핑크</t>
    <phoneticPr fontId="7" type="noConversion"/>
  </si>
  <si>
    <t>펄핑크반투명</t>
    <phoneticPr fontId="7" type="noConversion"/>
  </si>
  <si>
    <t>펄핑크투명</t>
  </si>
  <si>
    <t>펄하늘색</t>
    <phoneticPr fontId="7" type="noConversion"/>
  </si>
  <si>
    <t>펄하늘색반투명</t>
    <phoneticPr fontId="7" type="noConversion"/>
  </si>
  <si>
    <t>펄하늘색투명</t>
  </si>
  <si>
    <t>펄황동색투명</t>
  </si>
  <si>
    <t>펄회색</t>
  </si>
  <si>
    <t>펄회색반투명</t>
  </si>
  <si>
    <t>펄회색투명</t>
  </si>
  <si>
    <t>펄흑갈색</t>
    <phoneticPr fontId="7" type="noConversion"/>
  </si>
  <si>
    <t>펄흑색</t>
    <phoneticPr fontId="7" type="noConversion"/>
  </si>
  <si>
    <t>핑크</t>
    <phoneticPr fontId="7" type="noConversion"/>
  </si>
  <si>
    <t>핑크반투명</t>
    <phoneticPr fontId="7" type="noConversion"/>
  </si>
  <si>
    <t>핑크투명</t>
  </si>
  <si>
    <t>핑크오로라펄백색반투명</t>
    <phoneticPr fontId="7" type="noConversion"/>
  </si>
  <si>
    <t>핑크펄투명</t>
  </si>
  <si>
    <t>하늘색</t>
  </si>
  <si>
    <t>하늘색반투명</t>
  </si>
  <si>
    <t>하늘색투명</t>
  </si>
  <si>
    <t>황금색</t>
  </si>
  <si>
    <t>황동골드색</t>
  </si>
  <si>
    <t>황토색</t>
    <phoneticPr fontId="7" type="noConversion"/>
  </si>
  <si>
    <t>회갈색</t>
    <phoneticPr fontId="7" type="noConversion"/>
  </si>
  <si>
    <t>회갈색투명</t>
    <phoneticPr fontId="7" type="noConversion"/>
  </si>
  <si>
    <t>회색</t>
    <phoneticPr fontId="7" type="noConversion"/>
  </si>
  <si>
    <t>회색반투명</t>
  </si>
  <si>
    <t>회색투명</t>
  </si>
  <si>
    <t>흑갈색반투명</t>
    <phoneticPr fontId="7" type="noConversion"/>
  </si>
  <si>
    <t>흑녹색반투명</t>
    <phoneticPr fontId="7" type="noConversion"/>
  </si>
  <si>
    <t>흑녹색투명</t>
  </si>
  <si>
    <t>흑색</t>
    <phoneticPr fontId="7" type="noConversion"/>
  </si>
  <si>
    <t>3104</t>
    <phoneticPr fontId="1" type="noConversion"/>
  </si>
  <si>
    <t>001</t>
    <phoneticPr fontId="1" type="noConversion"/>
  </si>
  <si>
    <t>002</t>
    <phoneticPr fontId="1" type="noConversion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</si>
  <si>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</si>
  <si>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</si>
  <si>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</si>
  <si>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</si>
  <si>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</si>
  <si>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</si>
  <si>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</si>
  <si>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</si>
  <si>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</si>
  <si>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</si>
  <si>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</si>
  <si>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</si>
  <si>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</si>
  <si>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</si>
  <si>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</si>
  <si>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</si>
  <si>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</si>
  <si>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</si>
  <si>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</si>
  <si>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</si>
  <si>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</si>
  <si>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</si>
  <si>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</si>
  <si>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</si>
  <si>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</si>
  <si>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</si>
  <si>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</si>
  <si>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</si>
  <si>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</si>
  <si>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</si>
  <si>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</si>
  <si>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</si>
  <si>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</si>
  <si>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</si>
  <si>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</si>
  <si>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</si>
  <si>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</si>
  <si>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</si>
  <si>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</si>
  <si>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</si>
  <si>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</si>
  <si>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</si>
  <si>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</si>
  <si>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</si>
  <si>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</si>
  <si>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</si>
  <si>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</si>
  <si>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</si>
  <si>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</si>
  <si>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</si>
  <si>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</si>
  <si>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</si>
  <si>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</si>
  <si>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</si>
  <si>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</si>
  <si>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</si>
  <si>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</si>
  <si>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</si>
  <si>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</si>
  <si>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</si>
  <si>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</si>
  <si>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</si>
  <si>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</si>
  <si>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</si>
  <si>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</si>
  <si>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</si>
  <si>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</si>
  <si>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</si>
  <si>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</si>
  <si>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</si>
  <si>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</si>
  <si>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</si>
  <si>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</si>
  <si>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</si>
  <si>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</si>
  <si>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</si>
  <si>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</si>
  <si>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</si>
  <si>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</si>
  <si>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</si>
  <si>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</si>
  <si>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</si>
  <si>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</si>
  <si>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</si>
  <si>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</si>
  <si>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</si>
  <si>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</si>
  <si>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</si>
  <si>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</si>
  <si>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</si>
  <si>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</si>
  <si>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</si>
  <si>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</si>
  <si>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</si>
  <si>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</si>
  <si>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</si>
  <si>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</si>
  <si>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</si>
  <si>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</si>
  <si>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</si>
  <si>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</si>
  <si>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</si>
  <si>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</si>
  <si>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</si>
  <si>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</si>
  <si>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</si>
  <si>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</si>
  <si>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</si>
  <si>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</si>
  <si>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</si>
  <si>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</si>
  <si>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</si>
  <si>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</si>
  <si>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</si>
  <si>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</si>
  <si>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</si>
  <si>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</si>
  <si>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</si>
  <si>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</si>
  <si>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</si>
  <si>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</si>
  <si>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</si>
  <si>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</si>
  <si>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</si>
  <si>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</si>
  <si>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</si>
  <si>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</si>
  <si>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</si>
  <si>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</si>
  <si>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</si>
  <si>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</si>
  <si>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</si>
  <si>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</si>
  <si>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</si>
  <si>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</si>
  <si>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</si>
  <si>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</si>
  <si>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</si>
  <si>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</si>
  <si>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</si>
  <si>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</si>
  <si>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</si>
  <si>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</si>
  <si>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</si>
  <si>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</si>
  <si>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</si>
  <si>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</si>
  <si>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</si>
  <si>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</si>
  <si>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</si>
  <si>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</si>
  <si>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</si>
  <si>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</si>
  <si>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</si>
  <si>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</si>
  <si>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</si>
  <si>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</si>
  <si>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</si>
  <si>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</si>
  <si>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</si>
  <si>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</si>
  <si>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</si>
  <si>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</si>
  <si>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</si>
  <si>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</si>
  <si>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</si>
  <si>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</si>
  <si>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</si>
  <si>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</si>
  <si>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</si>
  <si>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</si>
  <si>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</si>
  <si>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</si>
  <si>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</si>
  <si>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</si>
  <si>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</si>
  <si>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</si>
  <si>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</si>
  <si>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</si>
  <si>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</si>
  <si>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</si>
  <si>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</si>
  <si>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</si>
  <si>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</si>
  <si>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</si>
  <si>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</si>
  <si>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</si>
  <si>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</si>
  <si>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</si>
  <si>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</si>
  <si>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</si>
  <si>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</si>
  <si>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</si>
  <si>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</si>
  <si>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</si>
  <si>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</si>
  <si>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</si>
  <si>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</si>
  <si>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</si>
  <si>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</si>
  <si>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</si>
  <si>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</si>
  <si>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</si>
  <si>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</si>
  <si>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</si>
  <si>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</si>
  <si>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</si>
  <si>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</si>
  <si>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</si>
  <si>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</si>
  <si>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</si>
  <si>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</si>
  <si>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</si>
  <si>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</si>
  <si>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</si>
  <si>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</si>
  <si>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</si>
  <si>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</si>
  <si>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</si>
  <si>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</si>
  <si>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</si>
  <si>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</si>
  <si>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</si>
  <si>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</si>
  <si>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</si>
  <si>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</si>
  <si>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</si>
  <si>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</si>
  <si>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</si>
  <si>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</si>
  <si>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</si>
  <si>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</si>
  <si>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</si>
  <si>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</si>
  <si>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</si>
  <si>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</si>
  <si>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</si>
  <si>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</si>
  <si>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</si>
  <si>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</si>
  <si>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</si>
  <si>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</si>
  <si>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</si>
  <si>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</si>
  <si>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</si>
  <si>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</si>
  <si>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</si>
  <si>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</si>
  <si>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</si>
  <si>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</si>
  <si>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</si>
  <si>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</si>
  <si>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</si>
  <si>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</si>
  <si>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</si>
  <si>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</si>
  <si>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</si>
  <si>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</si>
  <si>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</si>
  <si>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</si>
  <si>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</si>
  <si>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</si>
  <si>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</si>
  <si>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</si>
  <si>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</si>
  <si>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</si>
  <si>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</si>
  <si>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</si>
  <si>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</si>
  <si>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</si>
  <si>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</si>
  <si>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</si>
  <si>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</si>
  <si>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</si>
  <si>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</si>
  <si>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</si>
  <si>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</si>
  <si>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</si>
  <si>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</si>
  <si>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</si>
  <si>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</si>
  <si>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</si>
  <si>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</si>
  <si>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</si>
  <si>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</si>
  <si>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</si>
  <si>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</si>
  <si>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</si>
  <si>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</si>
  <si>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</si>
  <si>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</si>
  <si>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</si>
  <si>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</si>
  <si>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</si>
  <si>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</si>
  <si>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</si>
  <si>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</si>
  <si>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</si>
  <si>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</si>
  <si>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</si>
  <si>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</si>
  <si>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</si>
  <si>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</si>
  <si>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</si>
  <si>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</si>
  <si>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</si>
  <si>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</si>
  <si>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</si>
  <si>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</si>
  <si>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</si>
  <si>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</si>
  <si>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</si>
  <si>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</si>
  <si>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</si>
  <si>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</si>
  <si>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</si>
  <si>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</si>
  <si>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</si>
  <si>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</si>
  <si>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</si>
  <si>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</si>
  <si>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</si>
  <si>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</si>
  <si>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</si>
  <si>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</si>
  <si>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</si>
  <si>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</si>
  <si>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</si>
  <si>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</si>
  <si>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</si>
  <si>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</si>
  <si>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</si>
  <si>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</si>
  <si>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</si>
  <si>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</si>
  <si>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</si>
  <si>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</si>
  <si>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</si>
  <si>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</si>
  <si>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</si>
  <si>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</si>
  <si>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</si>
  <si>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</si>
  <si>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</si>
  <si>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</si>
  <si>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</si>
  <si>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</si>
  <si>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</si>
  <si>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</si>
  <si>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</si>
  <si>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</si>
  <si>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</si>
  <si>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</si>
  <si>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</si>
  <si>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</si>
  <si>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</si>
  <si>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</si>
  <si>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</si>
  <si>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</si>
  <si>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</si>
  <si>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</si>
  <si>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</si>
  <si>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</si>
  <si>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</si>
  <si>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</si>
  <si>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</si>
  <si>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</si>
  <si>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</si>
  <si>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</si>
  <si>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</si>
  <si>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</si>
  <si>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</si>
  <si>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</si>
  <si>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</si>
  <si>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</si>
  <si>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</si>
  <si>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</si>
  <si>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</si>
  <si>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</si>
  <si>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</si>
  <si>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</si>
  <si>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</si>
  <si>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</si>
  <si>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</si>
  <si>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</si>
  <si>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</si>
  <si>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</si>
  <si>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</si>
  <si>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</si>
  <si>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</si>
  <si>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</si>
  <si>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</si>
  <si>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</si>
  <si>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</si>
  <si>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</si>
  <si>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</si>
  <si>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</si>
  <si>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</si>
  <si>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</si>
  <si>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</si>
  <si>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</si>
  <si>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</si>
  <si>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</si>
  <si>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</si>
  <si>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</si>
  <si>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</si>
  <si>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</si>
  <si>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</si>
  <si>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</si>
  <si>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</si>
  <si>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</si>
  <si>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</si>
  <si>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</si>
  <si>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</si>
  <si>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</si>
  <si>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</si>
  <si>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</si>
  <si>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</si>
  <si>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</si>
  <si>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</si>
  <si>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</si>
  <si>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</si>
  <si>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01</t>
    <phoneticPr fontId="7" type="noConversion"/>
  </si>
  <si>
    <t>ABS</t>
    <phoneticPr fontId="7" type="noConversion"/>
  </si>
  <si>
    <t>02</t>
  </si>
  <si>
    <t>AS</t>
    <phoneticPr fontId="7" type="noConversion"/>
  </si>
  <si>
    <t>03</t>
  </si>
  <si>
    <t>ASA</t>
  </si>
  <si>
    <t>04</t>
  </si>
  <si>
    <t>PC</t>
  </si>
  <si>
    <t>05</t>
  </si>
  <si>
    <t>PCTA</t>
    <phoneticPr fontId="7" type="noConversion"/>
  </si>
  <si>
    <t>06</t>
  </si>
  <si>
    <t>PE</t>
    <phoneticPr fontId="1" type="noConversion"/>
  </si>
  <si>
    <t>07</t>
  </si>
  <si>
    <t>PETG</t>
    <phoneticPr fontId="7" type="noConversion"/>
  </si>
  <si>
    <t>08</t>
  </si>
  <si>
    <t>PMMA</t>
  </si>
  <si>
    <t>09</t>
  </si>
  <si>
    <t>POM</t>
  </si>
  <si>
    <t>10</t>
  </si>
  <si>
    <t>PP</t>
    <phoneticPr fontId="7" type="noConversion"/>
  </si>
  <si>
    <t>11</t>
  </si>
  <si>
    <t>PTEG</t>
    <phoneticPr fontId="7" type="noConversion"/>
  </si>
  <si>
    <t>12</t>
  </si>
  <si>
    <t>SURLYN</t>
  </si>
  <si>
    <t>13</t>
  </si>
  <si>
    <t>UT</t>
    <phoneticPr fontId="1" type="noConversion"/>
  </si>
  <si>
    <t>line_clos</t>
    <phoneticPr fontId="1" type="noConversion"/>
  </si>
  <si>
    <t>마감여부</t>
    <phoneticPr fontId="1" type="noConversion"/>
  </si>
  <si>
    <t>기타입고</t>
    <phoneticPr fontId="1" type="noConversion"/>
  </si>
  <si>
    <t>이동출고</t>
    <phoneticPr fontId="1" type="noConversion"/>
  </si>
  <si>
    <t>mtrl_isos_dvcd</t>
    <phoneticPr fontId="1" type="noConversion"/>
  </si>
  <si>
    <t>prod_isos_dvcd</t>
    <phoneticPr fontId="1" type="noConversion"/>
  </si>
  <si>
    <t>(자재)입출고 구분</t>
    <phoneticPr fontId="1" type="noConversion"/>
  </si>
  <si>
    <t>(제품)입출고 구분</t>
    <phoneticPr fontId="1" type="noConversion"/>
  </si>
  <si>
    <t>2101</t>
    <phoneticPr fontId="1" type="noConversion"/>
  </si>
  <si>
    <t>생산입고</t>
    <phoneticPr fontId="1" type="noConversion"/>
  </si>
  <si>
    <t>isos_dvcd</t>
    <phoneticPr fontId="1" type="noConversion"/>
  </si>
  <si>
    <t>(자재,제품)입출고 구분</t>
    <phoneticPr fontId="1" type="noConversion"/>
  </si>
  <si>
    <t>소모품</t>
    <phoneticPr fontId="1" type="noConversion"/>
  </si>
  <si>
    <t>재공품</t>
    <phoneticPr fontId="1" type="noConversion"/>
  </si>
  <si>
    <t>반제품</t>
    <phoneticPr fontId="1" type="noConversion"/>
  </si>
  <si>
    <t>제품</t>
    <phoneticPr fontId="1" type="noConversion"/>
  </si>
  <si>
    <t>상품</t>
    <phoneticPr fontId="1" type="noConversion"/>
  </si>
  <si>
    <t>부재료</t>
    <phoneticPr fontId="1" type="noConversion"/>
  </si>
  <si>
    <t>집기비품</t>
    <phoneticPr fontId="1" type="noConversion"/>
  </si>
  <si>
    <t>공구기구</t>
    <phoneticPr fontId="1" type="noConversion"/>
  </si>
  <si>
    <t>내수</t>
    <phoneticPr fontId="1" type="noConversion"/>
  </si>
  <si>
    <t>acpt_stat_dvcd</t>
    <phoneticPr fontId="1" type="noConversion"/>
  </si>
  <si>
    <t>수주상태구분코드</t>
    <phoneticPr fontId="1" type="noConversion"/>
  </si>
  <si>
    <t>0011</t>
    <phoneticPr fontId="1" type="noConversion"/>
  </si>
  <si>
    <t>승인완료</t>
    <phoneticPr fontId="1" type="noConversion"/>
  </si>
  <si>
    <t>거래처구분코드</t>
    <phoneticPr fontId="1" type="noConversion"/>
  </si>
  <si>
    <t>검사기기</t>
    <phoneticPr fontId="1" type="noConversion"/>
  </si>
  <si>
    <t>wkct_insp_dvcd</t>
    <phoneticPr fontId="1" type="noConversion"/>
  </si>
  <si>
    <t>공정검사구분코드</t>
    <phoneticPr fontId="1" type="noConversion"/>
  </si>
  <si>
    <t>초중종물검사</t>
    <phoneticPr fontId="1" type="noConversion"/>
  </si>
  <si>
    <t>자주검사</t>
    <phoneticPr fontId="1" type="noConversion"/>
  </si>
  <si>
    <t>최종입고검사</t>
    <phoneticPr fontId="1" type="noConversion"/>
  </si>
  <si>
    <t>move_loct_dvcd</t>
    <phoneticPr fontId="1" type="noConversion"/>
  </si>
  <si>
    <t>이동장소구분</t>
    <phoneticPr fontId="1" type="noConversion"/>
  </si>
  <si>
    <t>move_purp_dvcd</t>
    <phoneticPr fontId="1" type="noConversion"/>
  </si>
  <si>
    <t>이동목적구분코드</t>
    <phoneticPr fontId="1" type="noConversion"/>
  </si>
  <si>
    <t>사내생산투입</t>
    <phoneticPr fontId="1" type="noConversion"/>
  </si>
  <si>
    <t>점검대기</t>
    <phoneticPr fontId="1" type="noConversion"/>
  </si>
  <si>
    <t>수리대기</t>
    <phoneticPr fontId="1" type="noConversion"/>
  </si>
  <si>
    <t>외주처</t>
    <phoneticPr fontId="1" type="noConversion"/>
  </si>
  <si>
    <t>발주처</t>
    <phoneticPr fontId="1" type="noConversion"/>
  </si>
  <si>
    <t>생산</t>
    <phoneticPr fontId="1" type="noConversion"/>
  </si>
  <si>
    <t>점검및수리</t>
    <phoneticPr fontId="1" type="noConversion"/>
  </si>
  <si>
    <t>반납</t>
    <phoneticPr fontId="1" type="noConversion"/>
  </si>
  <si>
    <t>회수</t>
    <phoneticPr fontId="1" type="noConversion"/>
  </si>
  <si>
    <t>관리부서</t>
    <phoneticPr fontId="1" type="noConversion"/>
  </si>
  <si>
    <t>prjt_dvcd</t>
    <phoneticPr fontId="1" type="noConversion"/>
  </si>
  <si>
    <t>프로젝트구분코드</t>
    <phoneticPr fontId="1" type="noConversion"/>
  </si>
  <si>
    <t>신작</t>
    <phoneticPr fontId="1" type="noConversion"/>
  </si>
  <si>
    <t>수정</t>
    <phoneticPr fontId="1" type="noConversion"/>
  </si>
  <si>
    <t>A/S</t>
    <phoneticPr fontId="1" type="noConversion"/>
  </si>
  <si>
    <t>dsig_sche_dvcd</t>
    <phoneticPr fontId="1" type="noConversion"/>
  </si>
  <si>
    <t>설계일정구분코드</t>
    <phoneticPr fontId="1" type="noConversion"/>
  </si>
  <si>
    <t>개략설계</t>
    <phoneticPr fontId="1" type="noConversion"/>
  </si>
  <si>
    <t>확정설계</t>
    <phoneticPr fontId="1" type="noConversion"/>
  </si>
  <si>
    <t>rply_mthd_dvcd</t>
    <phoneticPr fontId="1" type="noConversion"/>
  </si>
  <si>
    <t>회신방법구분코드</t>
    <phoneticPr fontId="1" type="noConversion"/>
  </si>
  <si>
    <t>유선통보</t>
    <phoneticPr fontId="1" type="noConversion"/>
  </si>
  <si>
    <t>서류제출</t>
    <phoneticPr fontId="1" type="noConversion"/>
  </si>
  <si>
    <t>팩스</t>
    <phoneticPr fontId="1" type="noConversion"/>
  </si>
  <si>
    <t>이메일</t>
    <phoneticPr fontId="1" type="noConversion"/>
  </si>
  <si>
    <t>해당없음</t>
    <phoneticPr fontId="1" type="noConversion"/>
  </si>
  <si>
    <t>cpst_dvcd</t>
    <phoneticPr fontId="1" type="noConversion"/>
  </si>
  <si>
    <t>유무상구분코드</t>
    <phoneticPr fontId="1" type="noConversion"/>
  </si>
  <si>
    <t>유상</t>
    <phoneticPr fontId="1" type="noConversion"/>
  </si>
  <si>
    <t>무상</t>
    <phoneticPr fontId="1" type="noConversion"/>
  </si>
  <si>
    <t>colt_dvcd</t>
    <phoneticPr fontId="1" type="noConversion"/>
  </si>
  <si>
    <t>수금구분코드</t>
    <phoneticPr fontId="1" type="noConversion"/>
  </si>
  <si>
    <t>선수금</t>
    <phoneticPr fontId="1" type="noConversion"/>
  </si>
  <si>
    <t>중도금</t>
    <phoneticPr fontId="1" type="noConversion"/>
  </si>
  <si>
    <t>잔금</t>
    <phoneticPr fontId="1" type="noConversion"/>
  </si>
  <si>
    <t>supl_dvcd</t>
    <phoneticPr fontId="1" type="noConversion"/>
  </si>
  <si>
    <t>조달구분코드</t>
    <phoneticPr fontId="1" type="noConversion"/>
  </si>
  <si>
    <t>국내매입</t>
    <phoneticPr fontId="1" type="noConversion"/>
  </si>
  <si>
    <t>외주매입</t>
    <phoneticPr fontId="1" type="noConversion"/>
  </si>
  <si>
    <t>외주가공</t>
    <phoneticPr fontId="1" type="noConversion"/>
  </si>
  <si>
    <t>사내가공</t>
    <phoneticPr fontId="1" type="noConversion"/>
  </si>
  <si>
    <t>유상사급</t>
    <phoneticPr fontId="1" type="noConversion"/>
  </si>
  <si>
    <t>5002</t>
    <phoneticPr fontId="1" type="noConversion"/>
  </si>
  <si>
    <t>무상사급</t>
    <phoneticPr fontId="1" type="noConversion"/>
  </si>
  <si>
    <t>labo_rate_dvcd</t>
    <phoneticPr fontId="1" type="noConversion"/>
  </si>
  <si>
    <t>임율구분코드</t>
    <phoneticPr fontId="1" type="noConversion"/>
  </si>
  <si>
    <t>인원</t>
    <phoneticPr fontId="1" type="noConversion"/>
  </si>
  <si>
    <t>공정</t>
    <phoneticPr fontId="1" type="noConversion"/>
  </si>
  <si>
    <t>설비</t>
    <phoneticPr fontId="1" type="noConversion"/>
  </si>
  <si>
    <t>부서</t>
    <phoneticPr fontId="1" type="noConversion"/>
  </si>
  <si>
    <t>smli_dvcd</t>
    <phoneticPr fontId="1" type="noConversion"/>
  </si>
  <si>
    <t>초중종구분코드</t>
    <phoneticPr fontId="1" type="noConversion"/>
  </si>
  <si>
    <t>초물</t>
    <phoneticPr fontId="1" type="noConversion"/>
  </si>
  <si>
    <t>중물</t>
    <phoneticPr fontId="1" type="noConversion"/>
  </si>
  <si>
    <t>종물</t>
    <phoneticPr fontId="1" type="noConversion"/>
  </si>
  <si>
    <t>코팅</t>
    <phoneticPr fontId="1" type="noConversion"/>
  </si>
  <si>
    <t>증착</t>
    <phoneticPr fontId="1" type="noConversion"/>
  </si>
  <si>
    <t>H/S</t>
    <phoneticPr fontId="1" type="noConversion"/>
  </si>
  <si>
    <t>사출</t>
    <phoneticPr fontId="1" type="noConversion"/>
  </si>
  <si>
    <t>조립품</t>
    <phoneticPr fontId="1" type="noConversion"/>
  </si>
  <si>
    <t>인쇄</t>
    <phoneticPr fontId="1" type="noConversion"/>
  </si>
  <si>
    <t>8000</t>
    <phoneticPr fontId="1" type="noConversion"/>
  </si>
  <si>
    <t>도금</t>
    <phoneticPr fontId="1" type="noConversion"/>
  </si>
  <si>
    <t>캡</t>
    <phoneticPr fontId="1" type="noConversion"/>
  </si>
  <si>
    <t>prod_dvcd</t>
    <phoneticPr fontId="1" type="noConversion"/>
  </si>
  <si>
    <t>생산구분코드</t>
    <phoneticPr fontId="1" type="noConversion"/>
  </si>
  <si>
    <t>국가</t>
    <phoneticPr fontId="1" type="noConversion"/>
  </si>
  <si>
    <t>총무</t>
    <phoneticPr fontId="1" type="noConversion"/>
  </si>
  <si>
    <t>z</t>
    <phoneticPr fontId="1" type="noConversion"/>
  </si>
  <si>
    <t>FR60</t>
    <phoneticPr fontId="1" type="noConversion"/>
  </si>
  <si>
    <t>FR35</t>
    <phoneticPr fontId="1" type="noConversion"/>
  </si>
  <si>
    <t>FR30</t>
    <phoneticPr fontId="1" type="noConversion"/>
  </si>
  <si>
    <t>FR25</t>
    <phoneticPr fontId="1" type="noConversion"/>
  </si>
  <si>
    <t>FR20</t>
    <phoneticPr fontId="1" type="noConversion"/>
  </si>
  <si>
    <t>FR15</t>
    <phoneticPr fontId="1" type="noConversion"/>
  </si>
  <si>
    <t>0100</t>
    <phoneticPr fontId="1" type="noConversion"/>
  </si>
  <si>
    <t>0010</t>
    <phoneticPr fontId="1" type="noConversion"/>
  </si>
  <si>
    <t>FR10</t>
    <phoneticPr fontId="1" type="noConversion"/>
  </si>
  <si>
    <t>마감:red</t>
    <phoneticPr fontId="1" type="noConversion"/>
  </si>
  <si>
    <t>정상:blue</t>
    <phoneticPr fontId="1" type="noConversion"/>
  </si>
  <si>
    <t>무검사</t>
    <phoneticPr fontId="1" type="noConversion"/>
  </si>
  <si>
    <t>야간</t>
    <phoneticPr fontId="1" type="noConversion"/>
  </si>
  <si>
    <t>금형창고</t>
    <phoneticPr fontId="1" type="noConversion"/>
  </si>
  <si>
    <t>ftp_provider</t>
  </si>
  <si>
    <t>ftp접속방식</t>
    <phoneticPr fontId="1" type="noConversion"/>
  </si>
  <si>
    <t>nftp</t>
    <phoneticPr fontId="1" type="noConversion"/>
  </si>
  <si>
    <t>sftp</t>
    <phoneticPr fontId="1" type="noConversion"/>
  </si>
  <si>
    <t>hoof_stat_dvcd</t>
    <phoneticPr fontId="1" type="noConversion"/>
  </si>
  <si>
    <t>work_schd_dvcd</t>
    <phoneticPr fontId="1" type="noConversion"/>
  </si>
  <si>
    <t>작업일정구분코드</t>
    <phoneticPr fontId="1" type="noConversion"/>
  </si>
  <si>
    <t>계략일정</t>
    <phoneticPr fontId="1" type="noConversion"/>
  </si>
  <si>
    <t>상세일정계획</t>
    <phoneticPr fontId="1" type="noConversion"/>
  </si>
  <si>
    <t>설계변경</t>
    <phoneticPr fontId="1" type="noConversion"/>
  </si>
  <si>
    <t>AS기타</t>
    <phoneticPr fontId="1" type="noConversion"/>
  </si>
  <si>
    <t>work_ordr_dvcd</t>
    <phoneticPr fontId="1" type="noConversion"/>
  </si>
  <si>
    <t>작업오더구분코드</t>
    <phoneticPr fontId="1" type="noConversion"/>
  </si>
  <si>
    <t>불량재작업</t>
    <phoneticPr fontId="1" type="noConversion"/>
  </si>
  <si>
    <t>간접무역</t>
    <phoneticPr fontId="1" type="noConversion"/>
  </si>
  <si>
    <t>offr_dvcd</t>
    <phoneticPr fontId="1" type="noConversion"/>
  </si>
  <si>
    <t>발주구분코드</t>
    <phoneticPr fontId="1" type="noConversion"/>
  </si>
  <si>
    <t>자동발주</t>
    <phoneticPr fontId="1" type="noConversion"/>
  </si>
  <si>
    <t>없음</t>
    <phoneticPr fontId="1" type="noConversion"/>
  </si>
  <si>
    <t>계획정지</t>
    <phoneticPr fontId="1" type="noConversion"/>
  </si>
  <si>
    <t>금형교체</t>
    <phoneticPr fontId="1" type="noConversion"/>
  </si>
  <si>
    <t>금형수리</t>
    <phoneticPr fontId="1" type="noConversion"/>
  </si>
  <si>
    <t>공정품질</t>
    <phoneticPr fontId="1" type="noConversion"/>
  </si>
  <si>
    <t>부품선별</t>
    <phoneticPr fontId="1" type="noConversion"/>
  </si>
  <si>
    <t>부품결품</t>
    <phoneticPr fontId="1" type="noConversion"/>
  </si>
  <si>
    <t>돌발상황</t>
    <phoneticPr fontId="1" type="noConversion"/>
  </si>
  <si>
    <t>정전</t>
    <phoneticPr fontId="1" type="noConversion"/>
  </si>
  <si>
    <t>천재지변</t>
    <phoneticPr fontId="1" type="noConversion"/>
  </si>
  <si>
    <t>재해사고</t>
    <phoneticPr fontId="1" type="noConversion"/>
  </si>
  <si>
    <t>6001</t>
    <phoneticPr fontId="1" type="noConversion"/>
  </si>
  <si>
    <t>6002</t>
    <phoneticPr fontId="1" type="noConversion"/>
  </si>
  <si>
    <t>6003</t>
    <phoneticPr fontId="1" type="noConversion"/>
  </si>
  <si>
    <t>6004</t>
    <phoneticPr fontId="1" type="noConversion"/>
  </si>
  <si>
    <t>1006</t>
    <phoneticPr fontId="1" type="noConversion"/>
  </si>
  <si>
    <t>1007</t>
    <phoneticPr fontId="1" type="noConversion"/>
  </si>
  <si>
    <t>1008</t>
    <phoneticPr fontId="1" type="noConversion"/>
  </si>
  <si>
    <t>prog_stat_dvcd</t>
    <phoneticPr fontId="1" type="noConversion"/>
  </si>
  <si>
    <t>작업진행상태구분코드</t>
    <phoneticPr fontId="1" type="noConversion"/>
  </si>
  <si>
    <t>대기</t>
    <phoneticPr fontId="1" type="noConversion"/>
  </si>
  <si>
    <t>생산착수</t>
    <phoneticPr fontId="1" type="noConversion"/>
  </si>
  <si>
    <t>work_stat_dvcd</t>
    <phoneticPr fontId="1" type="noConversion"/>
  </si>
  <si>
    <t>작업상태구분코드(도원금형)</t>
    <phoneticPr fontId="1" type="noConversion"/>
  </si>
  <si>
    <t>대기중:blue</t>
    <phoneticPr fontId="1" type="noConversion"/>
  </si>
  <si>
    <t>위험:red</t>
    <phoneticPr fontId="1" type="noConversion"/>
  </si>
  <si>
    <t>진행중:blue</t>
    <phoneticPr fontId="1" type="noConversion"/>
  </si>
  <si>
    <t>지연1:green</t>
    <phoneticPr fontId="1" type="noConversion"/>
  </si>
  <si>
    <t>지연2:brown</t>
    <phoneticPr fontId="1" type="noConversion"/>
  </si>
  <si>
    <t>지연진행중1:green</t>
    <phoneticPr fontId="1" type="noConversion"/>
  </si>
  <si>
    <t>지연진행중2:brown</t>
    <phoneticPr fontId="1" type="noConversion"/>
  </si>
  <si>
    <t>위험진행중:red</t>
    <phoneticPr fontId="1" type="noConversion"/>
  </si>
  <si>
    <t>2300</t>
    <phoneticPr fontId="1" type="noConversion"/>
  </si>
  <si>
    <t>2400</t>
    <phoneticPr fontId="1" type="noConversion"/>
  </si>
  <si>
    <t>외주작업지시</t>
    <phoneticPr fontId="1" type="noConversion"/>
  </si>
  <si>
    <t>불량유형</t>
    <phoneticPr fontId="1" type="noConversion"/>
  </si>
  <si>
    <t>현금</t>
    <phoneticPr fontId="1" type="noConversion"/>
  </si>
  <si>
    <t>카드</t>
    <phoneticPr fontId="1" type="noConversion"/>
  </si>
  <si>
    <t>무통장입금</t>
    <phoneticPr fontId="1" type="noConversion"/>
  </si>
  <si>
    <t>외상</t>
    <phoneticPr fontId="1" type="noConversion"/>
  </si>
  <si>
    <t>보류:green</t>
    <phoneticPr fontId="1" type="noConversion"/>
  </si>
  <si>
    <t>NEGO</t>
    <phoneticPr fontId="1" type="noConversion"/>
  </si>
  <si>
    <t>합산청구</t>
    <phoneticPr fontId="1" type="noConversion"/>
  </si>
  <si>
    <t>미정</t>
    <phoneticPr fontId="1" type="noConversion"/>
  </si>
  <si>
    <t>fare_type</t>
    <phoneticPr fontId="1" type="noConversion"/>
  </si>
  <si>
    <t>등급</t>
    <phoneticPr fontId="1" type="noConversion"/>
  </si>
  <si>
    <t>품질육성</t>
    <phoneticPr fontId="1" type="noConversion"/>
  </si>
  <si>
    <t>scrt_sett_dvcd</t>
    <phoneticPr fontId="1" type="noConversion"/>
  </si>
  <si>
    <t>담보설정구분코드</t>
    <phoneticPr fontId="1" type="noConversion"/>
  </si>
  <si>
    <t>0</t>
    <phoneticPr fontId="1" type="noConversion"/>
  </si>
  <si>
    <t>설정안함</t>
    <phoneticPr fontId="1" type="noConversion"/>
  </si>
  <si>
    <t>1</t>
    <phoneticPr fontId="1" type="noConversion"/>
  </si>
  <si>
    <t>설정 함</t>
    <phoneticPr fontId="1" type="noConversion"/>
  </si>
  <si>
    <t>vist_purp_dvcd</t>
    <phoneticPr fontId="1" type="noConversion"/>
  </si>
  <si>
    <t>방문목적</t>
    <phoneticPr fontId="1" type="noConversion"/>
  </si>
  <si>
    <t>1000</t>
    <phoneticPr fontId="1" type="noConversion"/>
  </si>
  <si>
    <t>정기방문</t>
    <phoneticPr fontId="1" type="noConversion"/>
  </si>
  <si>
    <t>1100</t>
    <phoneticPr fontId="1" type="noConversion"/>
  </si>
  <si>
    <t>영업자료 수집</t>
    <phoneticPr fontId="1" type="noConversion"/>
  </si>
  <si>
    <t>1200</t>
    <phoneticPr fontId="1" type="noConversion"/>
  </si>
  <si>
    <t>불량처리협의</t>
    <phoneticPr fontId="1" type="noConversion"/>
  </si>
  <si>
    <t>2100</t>
    <phoneticPr fontId="1" type="noConversion"/>
  </si>
  <si>
    <t>수주상담</t>
    <phoneticPr fontId="1" type="noConversion"/>
  </si>
  <si>
    <t>2200</t>
    <phoneticPr fontId="1" type="noConversion"/>
  </si>
  <si>
    <t>단가조정협의</t>
    <phoneticPr fontId="1" type="noConversion"/>
  </si>
  <si>
    <t>9000</t>
    <phoneticPr fontId="1" type="noConversion"/>
  </si>
  <si>
    <t>회의</t>
    <phoneticPr fontId="1" type="noConversion"/>
  </si>
  <si>
    <t>vist_stat_dvcd</t>
    <phoneticPr fontId="1" type="noConversion"/>
  </si>
  <si>
    <t>방문상태</t>
    <phoneticPr fontId="1" type="noConversion"/>
  </si>
  <si>
    <t>정상</t>
    <phoneticPr fontId="1" type="noConversion"/>
  </si>
  <si>
    <t>단축조업</t>
    <phoneticPr fontId="1" type="noConversion"/>
  </si>
  <si>
    <t>1300</t>
    <phoneticPr fontId="1" type="noConversion"/>
  </si>
  <si>
    <t>기타</t>
    <phoneticPr fontId="1" type="noConversion"/>
  </si>
  <si>
    <t>8000</t>
    <phoneticPr fontId="1" type="noConversion"/>
  </si>
  <si>
    <t>생산</t>
    <phoneticPr fontId="1" type="noConversion"/>
  </si>
  <si>
    <t>2500</t>
    <phoneticPr fontId="1" type="noConversion"/>
  </si>
  <si>
    <t>판매출고</t>
    <phoneticPr fontId="1" type="noConversion"/>
  </si>
  <si>
    <t>chek_mthd_dvcd</t>
    <phoneticPr fontId="1" type="noConversion"/>
  </si>
  <si>
    <t>점검방법구분코드</t>
    <phoneticPr fontId="1" type="noConversion"/>
  </si>
  <si>
    <t>1000</t>
    <phoneticPr fontId="1" type="noConversion"/>
  </si>
  <si>
    <t>육안</t>
    <phoneticPr fontId="1" type="noConversion"/>
  </si>
  <si>
    <t>1100</t>
    <phoneticPr fontId="1" type="noConversion"/>
  </si>
  <si>
    <t>1200</t>
    <phoneticPr fontId="1" type="noConversion"/>
  </si>
  <si>
    <t>소모품교체주기</t>
    <phoneticPr fontId="1" type="noConversion"/>
  </si>
  <si>
    <t>오일량확인</t>
    <phoneticPr fontId="1" type="noConversion"/>
  </si>
  <si>
    <t>1300</t>
    <phoneticPr fontId="1" type="noConversion"/>
  </si>
  <si>
    <t>작업품목상태</t>
    <phoneticPr fontId="1" type="noConversion"/>
  </si>
  <si>
    <t>msmt_mthd_dvcd</t>
    <phoneticPr fontId="1" type="noConversion"/>
  </si>
  <si>
    <t>측정방법구분코드</t>
    <phoneticPr fontId="1" type="noConversion"/>
  </si>
  <si>
    <t>설계</t>
    <phoneticPr fontId="1" type="noConversion"/>
  </si>
  <si>
    <t>공지구분코드</t>
    <phoneticPr fontId="1" type="noConversion"/>
  </si>
  <si>
    <t>행사</t>
    <phoneticPr fontId="1" type="noConversion"/>
  </si>
  <si>
    <t>loss_dvcd</t>
    <phoneticPr fontId="1" type="noConversion"/>
  </si>
  <si>
    <t>손실구분코드</t>
    <phoneticPr fontId="1" type="noConversion"/>
  </si>
  <si>
    <t>자재미입</t>
    <phoneticPr fontId="1" type="noConversion"/>
  </si>
  <si>
    <t>자재선별</t>
    <phoneticPr fontId="1" type="noConversion"/>
  </si>
  <si>
    <t>CAM불량</t>
    <phoneticPr fontId="1" type="noConversion"/>
  </si>
  <si>
    <t>N/C불량</t>
    <phoneticPr fontId="1" type="noConversion"/>
  </si>
  <si>
    <t>방전불량</t>
    <phoneticPr fontId="1" type="noConversion"/>
  </si>
  <si>
    <t>사상불량</t>
    <phoneticPr fontId="1" type="noConversion"/>
  </si>
  <si>
    <t>설계분량</t>
    <phoneticPr fontId="1" type="noConversion"/>
  </si>
  <si>
    <t>기술문제</t>
    <phoneticPr fontId="1" type="noConversion"/>
  </si>
  <si>
    <t>재검사</t>
    <phoneticPr fontId="1" type="noConversion"/>
  </si>
  <si>
    <t>외주불량</t>
    <phoneticPr fontId="1" type="noConversion"/>
  </si>
  <si>
    <t>sysm_optn_dvcd</t>
    <phoneticPr fontId="1" type="noConversion"/>
  </si>
  <si>
    <t>시스템옵션구분코드</t>
    <phoneticPr fontId="1" type="noConversion"/>
  </si>
  <si>
    <t>논리값</t>
    <phoneticPr fontId="1" type="noConversion"/>
  </si>
  <si>
    <t>숫자</t>
    <phoneticPr fontId="1" type="noConversion"/>
  </si>
  <si>
    <t>문자</t>
    <phoneticPr fontId="1" type="noConversion"/>
  </si>
  <si>
    <t>범위</t>
    <phoneticPr fontId="1" type="noConversion"/>
  </si>
  <si>
    <t>코드</t>
    <phoneticPr fontId="1" type="noConversion"/>
  </si>
  <si>
    <t>출고용도</t>
    <phoneticPr fontId="1" type="noConversion"/>
  </si>
  <si>
    <t>일자</t>
    <phoneticPr fontId="1" type="noConversion"/>
  </si>
  <si>
    <t>작업내용</t>
    <phoneticPr fontId="1" type="noConversion"/>
  </si>
  <si>
    <t>테이블 P.Key조정 
   site_idcd 를 Primary Key에 추가 함.
   (적용 회사별로 기초코드 또는 명칭을 따로 지정하기 위해)</t>
    <phoneticPr fontId="1" type="noConversion"/>
  </si>
  <si>
    <t>두인 및 뉴볼텍 기초코드 종류 값을 별도로 지정 함.
향후 색깔으로 구분된 부분은 시스템에서 공통으로 사용하는 항목으로
변경 금지
server에서 Resource를 가져올 때 먼저 SYSTEM 내용을 가져오고,
별도로 회사별로 적용된 내용이 있을 경우 회사 적용 데이터를 적용 함.
사용예는 기초코드 종류를 참조할 것</t>
    <phoneticPr fontId="1" type="noConversion"/>
  </si>
  <si>
    <t>poor_proc_dvcd</t>
    <phoneticPr fontId="1" type="noConversion"/>
  </si>
  <si>
    <t>불량처리구분코드</t>
    <phoneticPr fontId="1" type="noConversion"/>
  </si>
  <si>
    <t>재작업</t>
    <phoneticPr fontId="1" type="noConversion"/>
  </si>
  <si>
    <t>분해</t>
    <phoneticPr fontId="1" type="noConversion"/>
  </si>
  <si>
    <t>특채</t>
    <phoneticPr fontId="1" type="noConversion"/>
  </si>
  <si>
    <t>구매입고</t>
    <phoneticPr fontId="1" type="noConversion"/>
  </si>
  <si>
    <t>2600</t>
    <phoneticPr fontId="1" type="noConversion"/>
  </si>
  <si>
    <t>1500</t>
    <phoneticPr fontId="1" type="noConversion"/>
  </si>
  <si>
    <t>2700</t>
    <phoneticPr fontId="1" type="noConversion"/>
  </si>
  <si>
    <t>출고취소</t>
    <phoneticPr fontId="1" type="noConversion"/>
  </si>
  <si>
    <t>01</t>
    <phoneticPr fontId="1" type="noConversion"/>
  </si>
  <si>
    <t>02</t>
    <phoneticPr fontId="1" type="noConversion"/>
  </si>
  <si>
    <t>일시정지</t>
    <phoneticPr fontId="1" type="noConversion"/>
  </si>
  <si>
    <t>03</t>
    <phoneticPr fontId="1" type="noConversion"/>
  </si>
  <si>
    <t>04</t>
    <phoneticPr fontId="1" type="noConversion"/>
  </si>
  <si>
    <t>05</t>
    <phoneticPr fontId="1" type="noConversion"/>
  </si>
  <si>
    <t>06</t>
    <phoneticPr fontId="1" type="noConversion"/>
  </si>
  <si>
    <t>07</t>
    <phoneticPr fontId="1" type="noConversion"/>
  </si>
  <si>
    <t>08</t>
    <phoneticPr fontId="1" type="noConversion"/>
  </si>
  <si>
    <t>09</t>
    <phoneticPr fontId="1" type="noConversion"/>
  </si>
  <si>
    <t>11</t>
    <phoneticPr fontId="1" type="noConversion"/>
  </si>
  <si>
    <t>12</t>
    <phoneticPr fontId="1" type="noConversion"/>
  </si>
  <si>
    <t>wkod_dvcd</t>
    <phoneticPr fontId="1" type="noConversion"/>
  </si>
  <si>
    <t>작업지시구분코드</t>
    <phoneticPr fontId="1" type="noConversion"/>
  </si>
  <si>
    <t>재질</t>
    <phoneticPr fontId="1" type="noConversion"/>
  </si>
  <si>
    <t>입고구분코드</t>
    <phoneticPr fontId="1" type="noConversion"/>
  </si>
  <si>
    <t>istt_dvcd</t>
    <phoneticPr fontId="1" type="noConversion"/>
  </si>
  <si>
    <t>ostt_dvcd</t>
    <phoneticPr fontId="1" type="noConversion"/>
  </si>
  <si>
    <t>출고구분코드</t>
    <phoneticPr fontId="1" type="noConversion"/>
  </si>
  <si>
    <t>rett_resn_dvcd</t>
    <phoneticPr fontId="1" type="noConversion"/>
  </si>
  <si>
    <t>반품사유구분코드</t>
    <phoneticPr fontId="1" type="noConversion"/>
  </si>
  <si>
    <t>품질불량</t>
    <phoneticPr fontId="1" type="noConversion"/>
  </si>
  <si>
    <t>납기미준수</t>
    <phoneticPr fontId="1" type="noConversion"/>
  </si>
  <si>
    <t>과오납품</t>
    <phoneticPr fontId="1" type="noConversion"/>
  </si>
  <si>
    <t>수주취소</t>
    <phoneticPr fontId="1" type="noConversion"/>
  </si>
  <si>
    <t>rett_proc_dvcd</t>
    <phoneticPr fontId="1" type="noConversion"/>
  </si>
  <si>
    <t>반품처리구분코드</t>
    <phoneticPr fontId="1" type="noConversion"/>
  </si>
  <si>
    <t>재고반영</t>
    <phoneticPr fontId="1" type="noConversion"/>
  </si>
  <si>
    <t>선별</t>
    <phoneticPr fontId="1" type="noConversion"/>
  </si>
  <si>
    <t>수정지시</t>
    <phoneticPr fontId="1" type="noConversion"/>
  </si>
  <si>
    <t>불량폐기</t>
    <phoneticPr fontId="1" type="noConversion"/>
  </si>
  <si>
    <t>불량원인</t>
    <phoneticPr fontId="1" type="noConversion"/>
  </si>
  <si>
    <t>dayn_dvcd</t>
    <phoneticPr fontId="1" type="noConversion"/>
  </si>
  <si>
    <t>주야구분</t>
    <phoneticPr fontId="1" type="noConversion"/>
  </si>
  <si>
    <t>acpt_dvcd</t>
    <phoneticPr fontId="1" type="noConversion"/>
  </si>
  <si>
    <t>수주구분코드</t>
    <phoneticPr fontId="1" type="noConversion"/>
  </si>
  <si>
    <t>1000</t>
    <phoneticPr fontId="1" type="noConversion"/>
  </si>
  <si>
    <t>양산</t>
    <phoneticPr fontId="1" type="noConversion"/>
  </si>
  <si>
    <t>2000</t>
    <phoneticPr fontId="1" type="noConversion"/>
  </si>
  <si>
    <t>Sample</t>
    <phoneticPr fontId="1" type="noConversion"/>
  </si>
  <si>
    <t>cost_larg_dvcd</t>
    <phoneticPr fontId="1" type="noConversion"/>
  </si>
  <si>
    <t>원가소구분코드</t>
    <phoneticPr fontId="1" type="noConversion"/>
  </si>
  <si>
    <t>원가대구분코드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</si>
  <si>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</si>
  <si>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</si>
  <si>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</si>
  <si>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단가구분코드</t>
    <phoneticPr fontId="1" type="noConversion"/>
  </si>
  <si>
    <t>6100</t>
    <phoneticPr fontId="1" type="noConversion"/>
  </si>
  <si>
    <t>유실공수</t>
    <phoneticPr fontId="1" type="noConversion"/>
  </si>
  <si>
    <t>근무교대</t>
    <phoneticPr fontId="1" type="noConversion"/>
  </si>
  <si>
    <t>프로젝트</t>
    <phoneticPr fontId="1" type="noConversion"/>
  </si>
  <si>
    <t>입출고유형</t>
    <phoneticPr fontId="1" type="noConversion"/>
  </si>
  <si>
    <t>common</t>
    <phoneticPr fontId="1" type="noConversion"/>
  </si>
  <si>
    <t>mngt_sbsc_dvcd</t>
    <phoneticPr fontId="1" type="noConversion"/>
  </si>
  <si>
    <t>관리항목구분코드</t>
    <phoneticPr fontId="1" type="noConversion"/>
  </si>
  <si>
    <t>1000</t>
    <phoneticPr fontId="1" type="noConversion"/>
  </si>
  <si>
    <t>품목관련</t>
    <phoneticPr fontId="1" type="noConversion"/>
  </si>
  <si>
    <t>2000</t>
    <phoneticPr fontId="1" type="noConversion"/>
  </si>
  <si>
    <t>거래처관련</t>
    <phoneticPr fontId="1" type="noConversion"/>
  </si>
  <si>
    <t>3000</t>
    <phoneticPr fontId="1" type="noConversion"/>
  </si>
  <si>
    <t>품질관련</t>
    <phoneticPr fontId="1" type="noConversion"/>
  </si>
  <si>
    <t>memo_dvcd</t>
    <phoneticPr fontId="1" type="noConversion"/>
  </si>
  <si>
    <t>메모구분</t>
    <phoneticPr fontId="1" type="noConversion"/>
  </si>
  <si>
    <t>1</t>
    <phoneticPr fontId="1" type="noConversion"/>
  </si>
  <si>
    <t>test1</t>
    <phoneticPr fontId="1" type="noConversion"/>
  </si>
  <si>
    <t>2</t>
    <phoneticPr fontId="1" type="noConversion"/>
  </si>
  <si>
    <t>test</t>
    <phoneticPr fontId="1" type="noConversion"/>
  </si>
  <si>
    <t>구매카드</t>
    <phoneticPr fontId="1" type="noConversion"/>
  </si>
  <si>
    <t>근무구분코드</t>
    <phoneticPr fontId="1" type="noConversion"/>
  </si>
  <si>
    <t>cost_adpt_dvcd</t>
    <phoneticPr fontId="1" type="noConversion"/>
  </si>
  <si>
    <t>원가적용구분코드</t>
    <phoneticPr fontId="1" type="noConversion"/>
  </si>
  <si>
    <t>1</t>
    <phoneticPr fontId="1" type="noConversion"/>
  </si>
  <si>
    <t>정상</t>
    <phoneticPr fontId="1" type="noConversion"/>
  </si>
  <si>
    <t>2</t>
    <phoneticPr fontId="1" type="noConversion"/>
  </si>
  <si>
    <t>최초1회</t>
    <phoneticPr fontId="1" type="noConversion"/>
  </si>
  <si>
    <t>1000</t>
    <phoneticPr fontId="1" type="noConversion"/>
  </si>
  <si>
    <t>2000</t>
    <phoneticPr fontId="1" type="noConversion"/>
  </si>
  <si>
    <t>3000</t>
    <phoneticPr fontId="1" type="noConversion"/>
  </si>
  <si>
    <t>4100</t>
    <phoneticPr fontId="1" type="noConversion"/>
  </si>
  <si>
    <t>방문(귀빈)</t>
    <phoneticPr fontId="1" type="noConversion"/>
  </si>
  <si>
    <t>4200</t>
    <phoneticPr fontId="1" type="noConversion"/>
  </si>
  <si>
    <t>방문(고객사)</t>
    <phoneticPr fontId="1" type="noConversion"/>
  </si>
  <si>
    <t>plan_rslt_dvcd</t>
    <phoneticPr fontId="1" type="noConversion"/>
  </si>
  <si>
    <t>계획실적구분코드</t>
    <phoneticPr fontId="1" type="noConversion"/>
  </si>
  <si>
    <t>실적</t>
    <phoneticPr fontId="1" type="noConversion"/>
  </si>
  <si>
    <t>계획</t>
    <phoneticPr fontId="1" type="noConversion"/>
  </si>
  <si>
    <t>업무권한</t>
    <phoneticPr fontId="1" type="noConversion"/>
  </si>
  <si>
    <t>반려</t>
    <phoneticPr fontId="1" type="noConversion"/>
  </si>
  <si>
    <t>승인:red</t>
    <phoneticPr fontId="1" type="noConversion"/>
  </si>
  <si>
    <t>item_dvcd</t>
    <phoneticPr fontId="1" type="noConversion"/>
  </si>
  <si>
    <t>품목구분코드</t>
    <phoneticPr fontId="1" type="noConversion"/>
  </si>
  <si>
    <t>1000</t>
    <phoneticPr fontId="1" type="noConversion"/>
  </si>
  <si>
    <t>2000</t>
    <phoneticPr fontId="1" type="noConversion"/>
  </si>
  <si>
    <t>rprt_dvcd</t>
    <phoneticPr fontId="1" type="noConversion"/>
  </si>
  <si>
    <t>보고서구분코드</t>
    <phoneticPr fontId="1" type="noConversion"/>
  </si>
  <si>
    <t>거래명세서</t>
    <phoneticPr fontId="1" type="noConversion"/>
  </si>
  <si>
    <t>검사성적서</t>
    <phoneticPr fontId="1" type="noConversion"/>
  </si>
  <si>
    <t>완제품라벨</t>
    <phoneticPr fontId="1" type="noConversion"/>
  </si>
  <si>
    <t>완제품포장라벨</t>
    <phoneticPr fontId="1" type="noConversion"/>
  </si>
  <si>
    <t>자재라벨</t>
    <phoneticPr fontId="1" type="noConversion"/>
  </si>
  <si>
    <t>재공품라벨</t>
    <phoneticPr fontId="1" type="noConversion"/>
  </si>
  <si>
    <t>광일테크 재정의</t>
    <phoneticPr fontId="1" type="noConversion"/>
  </si>
  <si>
    <t>clss_dvcd</t>
    <phoneticPr fontId="1" type="noConversion"/>
  </si>
  <si>
    <t>분류구분코드</t>
    <phoneticPr fontId="1" type="noConversion"/>
  </si>
  <si>
    <t>거래처</t>
    <phoneticPr fontId="1" type="noConversion"/>
  </si>
  <si>
    <t>생산설비</t>
    <phoneticPr fontId="1" type="noConversion"/>
  </si>
  <si>
    <t>계측</t>
    <phoneticPr fontId="1" type="noConversion"/>
  </si>
  <si>
    <t>cond_dvcd</t>
    <phoneticPr fontId="1" type="noConversion"/>
  </si>
  <si>
    <t>작업조건 work conditions</t>
    <phoneticPr fontId="1" type="noConversion"/>
  </si>
  <si>
    <t>작업시간 work time</t>
    <phoneticPr fontId="1" type="noConversion"/>
  </si>
  <si>
    <t>정지시간 down time</t>
    <phoneticPr fontId="1" type="noConversion"/>
  </si>
  <si>
    <t>양품수 good product count</t>
    <phoneticPr fontId="1" type="noConversion"/>
  </si>
  <si>
    <t>초/중/종 검사 initia/mid/final inspection</t>
    <phoneticPr fontId="1" type="noConversion"/>
  </si>
  <si>
    <t>불량유형 poor</t>
    <phoneticPr fontId="1" type="noConversion"/>
  </si>
  <si>
    <t>08:30</t>
    <phoneticPr fontId="1" type="noConversion"/>
  </si>
  <si>
    <t>09:30</t>
    <phoneticPr fontId="1" type="noConversion"/>
  </si>
  <si>
    <t>10:30</t>
    <phoneticPr fontId="1" type="noConversion"/>
  </si>
  <si>
    <t>11:30</t>
    <phoneticPr fontId="1" type="noConversion"/>
  </si>
  <si>
    <t>12:30</t>
    <phoneticPr fontId="1" type="noConversion"/>
  </si>
  <si>
    <t>13:30</t>
    <phoneticPr fontId="1" type="noConversion"/>
  </si>
  <si>
    <t>14:30</t>
    <phoneticPr fontId="1" type="noConversion"/>
  </si>
  <si>
    <t>15:30</t>
    <phoneticPr fontId="1" type="noConversion"/>
  </si>
  <si>
    <t>16:30</t>
    <phoneticPr fontId="1" type="noConversion"/>
  </si>
  <si>
    <t>17:30</t>
    <phoneticPr fontId="1" type="noConversion"/>
  </si>
  <si>
    <t>18:30</t>
    <phoneticPr fontId="1" type="noConversion"/>
  </si>
  <si>
    <t>19:30</t>
    <phoneticPr fontId="1" type="noConversion"/>
  </si>
  <si>
    <t>20:30</t>
    <phoneticPr fontId="1" type="noConversion"/>
  </si>
  <si>
    <t>21:30</t>
    <phoneticPr fontId="1" type="noConversion"/>
  </si>
  <si>
    <t>22:30</t>
    <phoneticPr fontId="1" type="noConversion"/>
  </si>
  <si>
    <t>23:30</t>
    <phoneticPr fontId="1" type="noConversion"/>
  </si>
  <si>
    <t>00:30</t>
    <phoneticPr fontId="1" type="noConversion"/>
  </si>
  <si>
    <t>01:30</t>
    <phoneticPr fontId="1" type="noConversion"/>
  </si>
  <si>
    <t>02:30</t>
    <phoneticPr fontId="1" type="noConversion"/>
  </si>
  <si>
    <t>03:30</t>
    <phoneticPr fontId="1" type="noConversion"/>
  </si>
  <si>
    <t>04:30</t>
    <phoneticPr fontId="1" type="noConversion"/>
  </si>
  <si>
    <t>05:30</t>
    <phoneticPr fontId="1" type="noConversion"/>
  </si>
  <si>
    <t>주간점검주기</t>
    <phoneticPr fontId="1" type="noConversion"/>
  </si>
  <si>
    <t>야간점검주기</t>
    <phoneticPr fontId="1" type="noConversion"/>
  </si>
  <si>
    <t>dytm_chck_dvcd</t>
    <phoneticPr fontId="1" type="noConversion"/>
  </si>
  <si>
    <t>nttm_chck_dvcd</t>
    <phoneticPr fontId="1" type="noConversion"/>
  </si>
  <si>
    <t>0830</t>
    <phoneticPr fontId="1" type="noConversion"/>
  </si>
  <si>
    <t>0930</t>
    <phoneticPr fontId="1" type="noConversion"/>
  </si>
  <si>
    <t>1030</t>
    <phoneticPr fontId="1" type="noConversion"/>
  </si>
  <si>
    <t>1130</t>
    <phoneticPr fontId="1" type="noConversion"/>
  </si>
  <si>
    <t>1230</t>
    <phoneticPr fontId="1" type="noConversion"/>
  </si>
  <si>
    <t>1330</t>
    <phoneticPr fontId="1" type="noConversion"/>
  </si>
  <si>
    <t>1430</t>
    <phoneticPr fontId="1" type="noConversion"/>
  </si>
  <si>
    <t>1530</t>
    <phoneticPr fontId="1" type="noConversion"/>
  </si>
  <si>
    <t>1630</t>
    <phoneticPr fontId="1" type="noConversion"/>
  </si>
  <si>
    <t>1730</t>
    <phoneticPr fontId="1" type="noConversion"/>
  </si>
  <si>
    <t>1830</t>
    <phoneticPr fontId="1" type="noConversion"/>
  </si>
  <si>
    <t>1930</t>
    <phoneticPr fontId="1" type="noConversion"/>
  </si>
  <si>
    <t>2030</t>
    <phoneticPr fontId="1" type="noConversion"/>
  </si>
  <si>
    <t>2130</t>
    <phoneticPr fontId="1" type="noConversion"/>
  </si>
  <si>
    <t>2230</t>
    <phoneticPr fontId="1" type="noConversion"/>
  </si>
  <si>
    <t>2330</t>
    <phoneticPr fontId="1" type="noConversion"/>
  </si>
  <si>
    <t>0030</t>
    <phoneticPr fontId="1" type="noConversion"/>
  </si>
  <si>
    <t>0130</t>
    <phoneticPr fontId="1" type="noConversion"/>
  </si>
  <si>
    <t>0230</t>
    <phoneticPr fontId="1" type="noConversion"/>
  </si>
  <si>
    <t>0330</t>
    <phoneticPr fontId="1" type="noConversion"/>
  </si>
  <si>
    <t>0430</t>
    <phoneticPr fontId="1" type="noConversion"/>
  </si>
  <si>
    <t>0530</t>
    <phoneticPr fontId="1" type="noConversion"/>
  </si>
  <si>
    <t>file_dvcd_1fst</t>
    <phoneticPr fontId="1" type="noConversion"/>
  </si>
  <si>
    <t>file_dvcd_2snd</t>
    <phoneticPr fontId="1" type="noConversion"/>
  </si>
  <si>
    <t>file_dvcd_3trd</t>
    <phoneticPr fontId="1" type="noConversion"/>
  </si>
  <si>
    <t>file구분코드 1</t>
    <phoneticPr fontId="1" type="noConversion"/>
  </si>
  <si>
    <t>file구분코드 2</t>
    <phoneticPr fontId="1" type="noConversion"/>
  </si>
  <si>
    <t>file구분코드 3</t>
    <phoneticPr fontId="1" type="noConversion"/>
  </si>
  <si>
    <t>사업자등록증</t>
    <phoneticPr fontId="1" type="noConversion"/>
  </si>
  <si>
    <t>견적서</t>
    <phoneticPr fontId="1" type="noConversion"/>
  </si>
  <si>
    <t>주문서</t>
    <phoneticPr fontId="1" type="noConversion"/>
  </si>
  <si>
    <t>계약서</t>
    <phoneticPr fontId="1" type="noConversion"/>
  </si>
  <si>
    <t>회사소개자료</t>
    <phoneticPr fontId="1" type="noConversion"/>
  </si>
  <si>
    <t>3100</t>
    <phoneticPr fontId="1" type="noConversion"/>
  </si>
  <si>
    <t>도면자료</t>
    <phoneticPr fontId="1" type="noConversion"/>
  </si>
  <si>
    <t>출고완료:blue</t>
    <phoneticPr fontId="1" type="noConversion"/>
  </si>
  <si>
    <t>부분출고:brown</t>
    <phoneticPr fontId="1" type="noConversion"/>
  </si>
  <si>
    <t>출고대기:red</t>
    <phoneticPr fontId="1" type="noConversion"/>
  </si>
  <si>
    <t>운임부담구분코드</t>
    <phoneticPr fontId="1" type="noConversion"/>
  </si>
  <si>
    <t>pric_burd_dvcd</t>
    <phoneticPr fontId="1" type="noConversion"/>
  </si>
  <si>
    <t>자사</t>
    <phoneticPr fontId="1" type="noConversion"/>
  </si>
  <si>
    <t>고객사</t>
    <phoneticPr fontId="1" type="noConversion"/>
  </si>
  <si>
    <t>wkct_dvcd</t>
    <phoneticPr fontId="1" type="noConversion"/>
  </si>
  <si>
    <t>공정구분코드</t>
    <phoneticPr fontId="1" type="noConversion"/>
  </si>
  <si>
    <t>P/G</t>
    <phoneticPr fontId="1" type="noConversion"/>
  </si>
  <si>
    <t>NC</t>
    <phoneticPr fontId="1" type="noConversion"/>
  </si>
  <si>
    <t>절곡</t>
    <phoneticPr fontId="1" type="noConversion"/>
  </si>
  <si>
    <t>압입</t>
    <phoneticPr fontId="1" type="noConversion"/>
  </si>
  <si>
    <t>용접</t>
    <phoneticPr fontId="1" type="noConversion"/>
  </si>
  <si>
    <t>도장</t>
    <phoneticPr fontId="1" type="noConversion"/>
  </si>
  <si>
    <t>납품</t>
    <phoneticPr fontId="1" type="noConversion"/>
  </si>
  <si>
    <t>CUTT_DVCD</t>
    <phoneticPr fontId="1" type="noConversion"/>
  </si>
  <si>
    <t>절사구분코드</t>
    <phoneticPr fontId="1" type="noConversion"/>
  </si>
  <si>
    <t>버림</t>
    <phoneticPr fontId="1" type="noConversion"/>
  </si>
  <si>
    <t>올림</t>
    <phoneticPr fontId="1" type="noConversion"/>
  </si>
  <si>
    <t>prod_item_dvcd</t>
    <phoneticPr fontId="1" type="noConversion"/>
  </si>
  <si>
    <t>생산품목구분코드</t>
    <phoneticPr fontId="1" type="noConversion"/>
  </si>
  <si>
    <t>C/T Box</t>
    <phoneticPr fontId="1" type="noConversion"/>
  </si>
  <si>
    <t>Shop Bag</t>
    <phoneticPr fontId="1" type="noConversion"/>
  </si>
  <si>
    <t>Col Box</t>
    <phoneticPr fontId="1" type="noConversion"/>
  </si>
  <si>
    <t>Sheet</t>
    <phoneticPr fontId="1" type="noConversion"/>
  </si>
  <si>
    <t>영업계획구분코드</t>
    <phoneticPr fontId="1" type="noConversion"/>
  </si>
  <si>
    <t>sale_plan_dvcd</t>
    <phoneticPr fontId="1" type="noConversion"/>
  </si>
  <si>
    <t>매출</t>
    <phoneticPr fontId="1" type="noConversion"/>
  </si>
  <si>
    <t>수주</t>
    <phoneticPr fontId="1" type="noConversion"/>
  </si>
  <si>
    <t>수금</t>
    <phoneticPr fontId="1" type="noConversion"/>
  </si>
  <si>
    <t>offr_path_dvcd</t>
    <phoneticPr fontId="1" type="noConversion"/>
  </si>
  <si>
    <t>발주경로구분코드</t>
    <phoneticPr fontId="1" type="noConversion"/>
  </si>
  <si>
    <t>부자재발주</t>
    <phoneticPr fontId="1" type="noConversion"/>
  </si>
  <si>
    <t>상품발주</t>
    <phoneticPr fontId="1" type="noConversion"/>
  </si>
  <si>
    <t>item_path_dvcd</t>
    <phoneticPr fontId="1" type="noConversion"/>
  </si>
  <si>
    <t>품목경로구분코드</t>
    <phoneticPr fontId="1" type="noConversion"/>
  </si>
  <si>
    <t>수주에 의한 등록</t>
    <phoneticPr fontId="1" type="noConversion"/>
  </si>
  <si>
    <t>필름</t>
    <phoneticPr fontId="1" type="noConversion"/>
  </si>
  <si>
    <t>품목형태구분코드</t>
    <phoneticPr fontId="1" type="noConversion"/>
  </si>
  <si>
    <t>item_type_dvcd</t>
    <phoneticPr fontId="1" type="noConversion"/>
  </si>
  <si>
    <t>품목제조구분코드</t>
    <phoneticPr fontId="1" type="noConversion"/>
  </si>
  <si>
    <t>item_make_dvcd</t>
    <phoneticPr fontId="1" type="noConversion"/>
  </si>
  <si>
    <t>공통</t>
    <phoneticPr fontId="1" type="noConversion"/>
  </si>
  <si>
    <t>주물</t>
    <phoneticPr fontId="1" type="noConversion"/>
  </si>
  <si>
    <t>볼트금형</t>
    <phoneticPr fontId="1" type="noConversion"/>
  </si>
  <si>
    <t>삿슈</t>
    <phoneticPr fontId="1" type="noConversion"/>
  </si>
  <si>
    <t>주문제작</t>
    <phoneticPr fontId="1" type="noConversion"/>
  </si>
  <si>
    <t>기계</t>
    <phoneticPr fontId="1" type="noConversion"/>
  </si>
  <si>
    <t>자동차부품</t>
    <phoneticPr fontId="1" type="noConversion"/>
  </si>
  <si>
    <t>관제</t>
    <phoneticPr fontId="1" type="noConversion"/>
  </si>
  <si>
    <t>0001</t>
    <phoneticPr fontId="1" type="noConversion"/>
  </si>
  <si>
    <t>prgm_dvcd</t>
    <phoneticPr fontId="1" type="noConversion"/>
  </si>
  <si>
    <t>프로그램 적용분야</t>
    <phoneticPr fontId="1" type="noConversion"/>
  </si>
  <si>
    <t>메뉴</t>
    <phoneticPr fontId="1" type="noConversion"/>
  </si>
  <si>
    <t>purc_sale_dvcd</t>
    <phoneticPr fontId="1" type="noConversion"/>
  </si>
  <si>
    <t>매입매출구분코드</t>
    <phoneticPr fontId="1" type="noConversion"/>
  </si>
  <si>
    <t>매입</t>
    <phoneticPr fontId="1" type="noConversion"/>
  </si>
  <si>
    <t>청구영수구분코드</t>
    <phoneticPr fontId="1" type="noConversion"/>
  </si>
  <si>
    <t>rqod_rcvd_dvcd</t>
    <phoneticPr fontId="1" type="noConversion"/>
  </si>
  <si>
    <t>청구</t>
    <phoneticPr fontId="1" type="noConversion"/>
  </si>
  <si>
    <t>영수</t>
    <phoneticPr fontId="1" type="noConversion"/>
  </si>
  <si>
    <t>현금영수증</t>
    <phoneticPr fontId="1" type="noConversion"/>
  </si>
  <si>
    <t>txbl_path_dvcd</t>
    <phoneticPr fontId="1" type="noConversion"/>
  </si>
  <si>
    <t>세금계산서발행경로구분코드</t>
    <phoneticPr fontId="1" type="noConversion"/>
  </si>
  <si>
    <t>원단매입</t>
    <phoneticPr fontId="1" type="noConversion"/>
  </si>
  <si>
    <t>기타매입</t>
    <phoneticPr fontId="1" type="noConversion"/>
  </si>
  <si>
    <t>21</t>
    <phoneticPr fontId="1" type="noConversion"/>
  </si>
  <si>
    <t>상품매입</t>
    <phoneticPr fontId="1" type="noConversion"/>
  </si>
  <si>
    <t>13</t>
    <phoneticPr fontId="1" type="noConversion"/>
  </si>
  <si>
    <t>22</t>
    <phoneticPr fontId="1" type="noConversion"/>
  </si>
  <si>
    <t>23</t>
    <phoneticPr fontId="1" type="noConversion"/>
  </si>
  <si>
    <t>기타매출</t>
    <phoneticPr fontId="1" type="noConversion"/>
  </si>
  <si>
    <t>제품매출</t>
    <phoneticPr fontId="1" type="noConversion"/>
  </si>
  <si>
    <t>상품매출</t>
    <phoneticPr fontId="1" type="noConversion"/>
  </si>
  <si>
    <t>원자재</t>
    <phoneticPr fontId="1" type="noConversion"/>
  </si>
  <si>
    <t>부속자재</t>
    <phoneticPr fontId="1" type="noConversion"/>
  </si>
  <si>
    <t>bond_dvcd</t>
    <phoneticPr fontId="1" type="noConversion"/>
  </si>
  <si>
    <t>채권채무구분코드</t>
    <phoneticPr fontId="1" type="noConversion"/>
  </si>
  <si>
    <t>매출채권</t>
    <phoneticPr fontId="1" type="noConversion"/>
  </si>
  <si>
    <t>매입채무</t>
    <phoneticPr fontId="1" type="noConversion"/>
  </si>
  <si>
    <t>crud_dvcd</t>
    <phoneticPr fontId="1" type="noConversion"/>
  </si>
  <si>
    <t>CRUD구분코드</t>
    <phoneticPr fontId="1" type="noConversion"/>
  </si>
  <si>
    <t>insert</t>
    <phoneticPr fontId="1" type="noConversion"/>
  </si>
  <si>
    <t>R</t>
    <phoneticPr fontId="1" type="noConversion"/>
  </si>
  <si>
    <t>update</t>
    <phoneticPr fontId="1" type="noConversion"/>
  </si>
  <si>
    <t>read</t>
    <phoneticPr fontId="1" type="noConversion"/>
  </si>
  <si>
    <t>U</t>
    <phoneticPr fontId="1" type="noConversion"/>
  </si>
  <si>
    <t>delete</t>
    <phoneticPr fontId="1" type="noConversion"/>
  </si>
  <si>
    <t>L</t>
    <phoneticPr fontId="1" type="noConversion"/>
  </si>
  <si>
    <t>Log In</t>
    <phoneticPr fontId="1" type="noConversion"/>
  </si>
  <si>
    <t>mtrl_clss_dvcd</t>
    <phoneticPr fontId="1" type="noConversion"/>
  </si>
  <si>
    <t>자재분류구분코드</t>
    <phoneticPr fontId="1" type="noConversion"/>
  </si>
  <si>
    <t>출고경로구분코드</t>
    <phoneticPr fontId="1" type="noConversion"/>
  </si>
  <si>
    <t>ostt_path_dvcd</t>
    <phoneticPr fontId="1" type="noConversion"/>
  </si>
  <si>
    <t>원단출고</t>
    <phoneticPr fontId="1" type="noConversion"/>
  </si>
  <si>
    <t>부자재출고</t>
    <phoneticPr fontId="1" type="noConversion"/>
  </si>
  <si>
    <t>검사성적서 양식</t>
    <phoneticPr fontId="1" type="noConversion"/>
  </si>
  <si>
    <t>자재분류</t>
    <phoneticPr fontId="1" type="noConversion"/>
  </si>
  <si>
    <t>dirt_dvcd</t>
    <phoneticPr fontId="1" type="noConversion"/>
  </si>
  <si>
    <t>방향구분코드</t>
    <phoneticPr fontId="1" type="noConversion"/>
  </si>
  <si>
    <t>Right</t>
    <phoneticPr fontId="1" type="noConversion"/>
  </si>
  <si>
    <t>Left</t>
    <phoneticPr fontId="1" type="noConversion"/>
  </si>
  <si>
    <t>N</t>
    <phoneticPr fontId="1" type="noConversion"/>
  </si>
  <si>
    <t>n/a</t>
    <phoneticPr fontId="1" type="noConversion"/>
  </si>
  <si>
    <t>asmt_dvcd</t>
    <phoneticPr fontId="1" type="noConversion"/>
  </si>
  <si>
    <t>부자재구분코드</t>
    <phoneticPr fontId="1" type="noConversion"/>
  </si>
  <si>
    <t>수지</t>
    <phoneticPr fontId="1" type="noConversion"/>
  </si>
  <si>
    <t>접착제</t>
    <phoneticPr fontId="1" type="noConversion"/>
  </si>
  <si>
    <t>방수제</t>
    <phoneticPr fontId="1" type="noConversion"/>
  </si>
  <si>
    <t>인쇄사양</t>
    <phoneticPr fontId="1" type="noConversion"/>
  </si>
  <si>
    <t>좌측1</t>
    <phoneticPr fontId="1" type="noConversion"/>
  </si>
  <si>
    <t>좌측2</t>
    <phoneticPr fontId="1" type="noConversion"/>
  </si>
  <si>
    <t>우측1</t>
    <phoneticPr fontId="1" type="noConversion"/>
  </si>
  <si>
    <t>우측2</t>
    <phoneticPr fontId="1" type="noConversion"/>
  </si>
  <si>
    <t>전면1</t>
    <phoneticPr fontId="1" type="noConversion"/>
  </si>
  <si>
    <t>3200</t>
    <phoneticPr fontId="1" type="noConversion"/>
  </si>
  <si>
    <t>전면2</t>
    <phoneticPr fontId="1" type="noConversion"/>
  </si>
  <si>
    <t>후면1</t>
    <phoneticPr fontId="1" type="noConversion"/>
  </si>
  <si>
    <t>후면2</t>
    <phoneticPr fontId="1" type="noConversion"/>
  </si>
  <si>
    <t>비고1</t>
    <phoneticPr fontId="1" type="noConversion"/>
  </si>
  <si>
    <t>5200</t>
    <phoneticPr fontId="1" type="noConversion"/>
  </si>
  <si>
    <t>비고2</t>
    <phoneticPr fontId="1" type="noConversion"/>
  </si>
  <si>
    <t>efcn_grad_dvcd</t>
    <phoneticPr fontId="1" type="noConversion"/>
  </si>
  <si>
    <t>효율등급</t>
    <phoneticPr fontId="1" type="noConversion"/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</si>
  <si>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</si>
  <si>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</si>
  <si>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</si>
  <si>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</si>
  <si>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asmb_plac_dvcd</t>
    <phoneticPr fontId="1" type="noConversion"/>
  </si>
  <si>
    <t>조립위치구분코드</t>
    <phoneticPr fontId="1" type="noConversion"/>
  </si>
  <si>
    <t>T</t>
    <phoneticPr fontId="1" type="noConversion"/>
  </si>
  <si>
    <t>Top</t>
    <phoneticPr fontId="1" type="noConversion"/>
  </si>
  <si>
    <t>Bottom</t>
    <phoneticPr fontId="1" type="noConversion"/>
  </si>
  <si>
    <t>Center</t>
    <phoneticPr fontId="1" type="noConversion"/>
  </si>
  <si>
    <t>trst_dvcd</t>
    <phoneticPr fontId="1" type="noConversion"/>
  </si>
  <si>
    <t>견적의뢰구분코드</t>
    <phoneticPr fontId="1" type="noConversion"/>
  </si>
  <si>
    <t>14</t>
    <phoneticPr fontId="1" type="noConversion"/>
  </si>
  <si>
    <t>부자재매입</t>
    <phoneticPr fontId="1" type="noConversion"/>
  </si>
  <si>
    <t>신제품개발</t>
    <phoneticPr fontId="1" type="noConversion"/>
  </si>
  <si>
    <t>3</t>
    <phoneticPr fontId="1" type="noConversion"/>
  </si>
  <si>
    <t>재고생산</t>
    <phoneticPr fontId="1" type="noConversion"/>
  </si>
  <si>
    <t>wkun_dvcd</t>
    <phoneticPr fontId="1" type="noConversion"/>
  </si>
  <si>
    <t>작업단위</t>
    <phoneticPr fontId="1" type="noConversion"/>
  </si>
  <si>
    <t>도</t>
    <phoneticPr fontId="1" type="noConversion"/>
  </si>
  <si>
    <t>컨테이너</t>
    <phoneticPr fontId="1" type="noConversion"/>
  </si>
  <si>
    <t>홈</t>
    <phoneticPr fontId="1" type="noConversion"/>
  </si>
  <si>
    <t>방</t>
    <phoneticPr fontId="1" type="noConversion"/>
  </si>
  <si>
    <t>15</t>
    <phoneticPr fontId="1" type="noConversion"/>
  </si>
  <si>
    <t>2800</t>
    <phoneticPr fontId="1" type="noConversion"/>
  </si>
  <si>
    <t>불량폐기</t>
    <phoneticPr fontId="1" type="noConversion"/>
  </si>
  <si>
    <t>신규등록</t>
    <phoneticPr fontId="1" type="noConversion"/>
  </si>
  <si>
    <t>자재창고</t>
    <phoneticPr fontId="1" type="noConversion"/>
  </si>
  <si>
    <t>0002</t>
    <phoneticPr fontId="1" type="noConversion"/>
  </si>
  <si>
    <t>제품창고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</si>
  <si>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</si>
  <si>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</si>
  <si>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</si>
  <si>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</si>
  <si>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</si>
  <si>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</si>
  <si>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</si>
  <si>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</si>
  <si>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</si>
  <si>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</si>
  <si>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</si>
  <si>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</si>
  <si>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01</t>
    <phoneticPr fontId="1" type="noConversion"/>
  </si>
  <si>
    <t>02</t>
    <phoneticPr fontId="1" type="noConversion"/>
  </si>
  <si>
    <t>03</t>
    <phoneticPr fontId="1" type="noConversion"/>
  </si>
  <si>
    <t>04</t>
    <phoneticPr fontId="1" type="noConversion"/>
  </si>
  <si>
    <t>05</t>
    <phoneticPr fontId="1" type="noConversion"/>
  </si>
  <si>
    <t>06</t>
    <phoneticPr fontId="1" type="noConversion"/>
  </si>
  <si>
    <t>07</t>
    <phoneticPr fontId="1" type="noConversion"/>
  </si>
  <si>
    <t>08</t>
    <phoneticPr fontId="1" type="noConversion"/>
  </si>
  <si>
    <t>09</t>
    <phoneticPr fontId="1" type="noConversion"/>
  </si>
  <si>
    <t>10</t>
    <phoneticPr fontId="1" type="noConversion"/>
  </si>
  <si>
    <t>11</t>
    <phoneticPr fontId="1" type="noConversion"/>
  </si>
  <si>
    <t>12</t>
    <phoneticPr fontId="1" type="noConversion"/>
  </si>
  <si>
    <t>monh_dvcd</t>
    <phoneticPr fontId="1" type="noConversion"/>
  </si>
  <si>
    <t>월</t>
    <phoneticPr fontId="1" type="noConversion"/>
  </si>
  <si>
    <t>1</t>
    <phoneticPr fontId="1" type="noConversion"/>
  </si>
  <si>
    <t>2</t>
    <phoneticPr fontId="1" type="noConversion"/>
  </si>
  <si>
    <t>재가입</t>
    <phoneticPr fontId="1" type="noConversion"/>
  </si>
  <si>
    <t>3</t>
    <phoneticPr fontId="1" type="noConversion"/>
  </si>
  <si>
    <t>4</t>
    <phoneticPr fontId="1" type="noConversion"/>
  </si>
  <si>
    <t>carr_dvcd</t>
    <phoneticPr fontId="1" type="noConversion"/>
  </si>
  <si>
    <t>경력구분코드</t>
    <phoneticPr fontId="1" type="noConversion"/>
  </si>
  <si>
    <t>없음</t>
    <phoneticPr fontId="1" type="noConversion"/>
  </si>
  <si>
    <t>3개월미만</t>
    <phoneticPr fontId="1" type="noConversion"/>
  </si>
  <si>
    <t>3~6개월</t>
    <phoneticPr fontId="1" type="noConversion"/>
  </si>
  <si>
    <t>1년이상</t>
    <phoneticPr fontId="1" type="noConversion"/>
  </si>
  <si>
    <t>5</t>
    <phoneticPr fontId="1" type="noConversion"/>
  </si>
  <si>
    <t>기타</t>
    <phoneticPr fontId="1" type="noConversion"/>
  </si>
  <si>
    <t>정지</t>
    <phoneticPr fontId="1" type="noConversion"/>
  </si>
  <si>
    <t>9</t>
    <phoneticPr fontId="1" type="noConversion"/>
  </si>
  <si>
    <t>탈퇴</t>
    <phoneticPr fontId="1" type="noConversion"/>
  </si>
  <si>
    <t>picg_dvcd</t>
    <phoneticPr fontId="1" type="noConversion"/>
  </si>
  <si>
    <t>신상변동구분코드</t>
    <phoneticPr fontId="1" type="noConversion"/>
  </si>
  <si>
    <t>신규가입</t>
    <phoneticPr fontId="1" type="noConversion"/>
  </si>
  <si>
    <t>정지복귀</t>
    <phoneticPr fontId="1" type="noConversion"/>
  </si>
  <si>
    <t>ampm_dvcd</t>
    <phoneticPr fontId="1" type="noConversion"/>
  </si>
  <si>
    <t>오전오후구분코드</t>
    <phoneticPr fontId="1" type="noConversion"/>
  </si>
  <si>
    <t>1</t>
    <phoneticPr fontId="1" type="noConversion"/>
  </si>
  <si>
    <t>오전</t>
    <phoneticPr fontId="1" type="noConversion"/>
  </si>
  <si>
    <t>AM</t>
    <phoneticPr fontId="1" type="noConversion"/>
  </si>
  <si>
    <t>PM</t>
    <phoneticPr fontId="1" type="noConversion"/>
  </si>
  <si>
    <t>오후</t>
    <phoneticPr fontId="1" type="noConversion"/>
  </si>
  <si>
    <t>resv_stat_dvcd</t>
    <phoneticPr fontId="1" type="noConversion"/>
  </si>
  <si>
    <t>예약상태구분코드</t>
    <phoneticPr fontId="1" type="noConversion"/>
  </si>
  <si>
    <t>예약</t>
    <phoneticPr fontId="1" type="noConversion"/>
  </si>
  <si>
    <t>2</t>
    <phoneticPr fontId="1" type="noConversion"/>
  </si>
  <si>
    <t>3</t>
    <phoneticPr fontId="1" type="noConversion"/>
  </si>
  <si>
    <t>보류</t>
    <phoneticPr fontId="1" type="noConversion"/>
  </si>
  <si>
    <t>9</t>
    <phoneticPr fontId="1" type="noConversion"/>
  </si>
  <si>
    <t>취소</t>
    <phoneticPr fontId="1" type="noConversion"/>
  </si>
  <si>
    <t>방문</t>
    <phoneticPr fontId="1" type="noConversion"/>
  </si>
  <si>
    <t>0</t>
    <phoneticPr fontId="1" type="noConversion"/>
  </si>
  <si>
    <t>대기</t>
    <phoneticPr fontId="1" type="noConversion"/>
  </si>
  <si>
    <t>0</t>
    <phoneticPr fontId="1" type="noConversion"/>
  </si>
  <si>
    <t>수입</t>
    <phoneticPr fontId="1" type="noConversion"/>
  </si>
  <si>
    <t>2</t>
    <phoneticPr fontId="1" type="noConversion"/>
  </si>
  <si>
    <t>1</t>
    <phoneticPr fontId="1" type="noConversion"/>
  </si>
  <si>
    <t>비용</t>
    <phoneticPr fontId="1" type="noConversion"/>
  </si>
  <si>
    <t>고정자산매입</t>
    <phoneticPr fontId="1" type="noConversion"/>
  </si>
  <si>
    <t>간편징부자료구분코드</t>
    <phoneticPr fontId="1" type="noConversion"/>
  </si>
  <si>
    <t>smbk_data_dvcd</t>
    <phoneticPr fontId="1" type="noConversion"/>
  </si>
  <si>
    <t>prof_dvcd</t>
    <phoneticPr fontId="1" type="noConversion"/>
  </si>
  <si>
    <t>증빙구분코드</t>
    <phoneticPr fontId="1" type="noConversion"/>
  </si>
  <si>
    <t>세금계산서</t>
    <phoneticPr fontId="1" type="noConversion"/>
  </si>
  <si>
    <t>계산서</t>
    <phoneticPr fontId="1" type="noConversion"/>
  </si>
  <si>
    <t>신용카드</t>
    <phoneticPr fontId="1" type="noConversion"/>
  </si>
  <si>
    <t>3</t>
    <phoneticPr fontId="1" type="noConversion"/>
  </si>
  <si>
    <t>4</t>
    <phoneticPr fontId="1" type="noConversion"/>
  </si>
  <si>
    <t>현금영수증</t>
    <phoneticPr fontId="1" type="noConversion"/>
  </si>
  <si>
    <t>5</t>
    <phoneticPr fontId="1" type="noConversion"/>
  </si>
  <si>
    <t>9</t>
    <phoneticPr fontId="1" type="noConversion"/>
  </si>
  <si>
    <t>간이영수증</t>
    <phoneticPr fontId="1" type="noConversion"/>
  </si>
  <si>
    <t>refn_dvcd</t>
    <phoneticPr fontId="1" type="noConversion"/>
  </si>
  <si>
    <t>참조구분코드</t>
    <phoneticPr fontId="1" type="noConversion"/>
  </si>
  <si>
    <t>1</t>
    <phoneticPr fontId="1" type="noConversion"/>
  </si>
  <si>
    <t>용도.용법</t>
    <phoneticPr fontId="1" type="noConversion"/>
  </si>
  <si>
    <t>2</t>
    <phoneticPr fontId="1" type="noConversion"/>
  </si>
  <si>
    <t>보관방법</t>
    <phoneticPr fontId="1" type="noConversion"/>
  </si>
  <si>
    <t>3</t>
    <phoneticPr fontId="1" type="noConversion"/>
  </si>
  <si>
    <t>취급사항</t>
    <phoneticPr fontId="1" type="noConversion"/>
  </si>
  <si>
    <t>4</t>
    <phoneticPr fontId="1" type="noConversion"/>
  </si>
  <si>
    <t>세부취급사항</t>
    <phoneticPr fontId="1" type="noConversion"/>
  </si>
  <si>
    <t>stot_time_dvcd</t>
    <phoneticPr fontId="1" type="noConversion"/>
  </si>
  <si>
    <t>결제시기구분코드</t>
    <phoneticPr fontId="1" type="noConversion"/>
  </si>
  <si>
    <t>1</t>
    <phoneticPr fontId="1" type="noConversion"/>
  </si>
  <si>
    <t>2</t>
    <phoneticPr fontId="1" type="noConversion"/>
  </si>
  <si>
    <t>32</t>
    <phoneticPr fontId="1" type="noConversion"/>
  </si>
  <si>
    <t>31</t>
    <phoneticPr fontId="1" type="noConversion"/>
  </si>
  <si>
    <t>gods_dvcd</t>
    <phoneticPr fontId="1" type="noConversion"/>
  </si>
  <si>
    <t>재화구분코드</t>
    <phoneticPr fontId="1" type="noConversion"/>
  </si>
  <si>
    <t>재화</t>
    <phoneticPr fontId="1" type="noConversion"/>
  </si>
  <si>
    <t>용역</t>
    <phoneticPr fontId="1" type="noConversion"/>
  </si>
  <si>
    <t>9</t>
    <phoneticPr fontId="1" type="noConversion"/>
  </si>
  <si>
    <t>기타</t>
    <phoneticPr fontId="1" type="noConversion"/>
  </si>
  <si>
    <t>CWO(Cash With Order)</t>
    <phoneticPr fontId="1" type="noConversion"/>
  </si>
  <si>
    <t>T/T(Advenced Telegraphic Transfer Payment)</t>
    <phoneticPr fontId="1" type="noConversion"/>
  </si>
  <si>
    <t>Red clause credit</t>
    <phoneticPr fontId="1" type="noConversion"/>
  </si>
  <si>
    <t>COD(Cash On Delivery)</t>
    <phoneticPr fontId="1" type="noConversion"/>
  </si>
  <si>
    <t>D/P(Document Against Payment)</t>
    <phoneticPr fontId="1" type="noConversion"/>
  </si>
  <si>
    <t>CAD(Cash Against Documents)</t>
    <phoneticPr fontId="1" type="noConversion"/>
  </si>
  <si>
    <t>24</t>
    <phoneticPr fontId="1" type="noConversion"/>
  </si>
  <si>
    <t>At Sight L/C</t>
    <phoneticPr fontId="1" type="noConversion"/>
  </si>
  <si>
    <t>D/A(Document Against Acceptance)</t>
    <phoneticPr fontId="1" type="noConversion"/>
  </si>
  <si>
    <t>Usance D/P</t>
    <phoneticPr fontId="1" type="noConversion"/>
  </si>
  <si>
    <t>33</t>
    <phoneticPr fontId="1" type="noConversion"/>
  </si>
  <si>
    <t>Usance L/C</t>
    <phoneticPr fontId="1" type="noConversion"/>
  </si>
  <si>
    <t>34</t>
    <phoneticPr fontId="1" type="noConversion"/>
  </si>
  <si>
    <t>Open Account</t>
    <phoneticPr fontId="1" type="noConversion"/>
  </si>
  <si>
    <t>10</t>
    <phoneticPr fontId="1" type="noConversion"/>
  </si>
  <si>
    <t>T/T(송금)</t>
    <phoneticPr fontId="1" type="noConversion"/>
  </si>
  <si>
    <t>21</t>
    <phoneticPr fontId="1" type="noConversion"/>
  </si>
  <si>
    <t>D/A</t>
    <phoneticPr fontId="1" type="noConversion"/>
  </si>
  <si>
    <t>22</t>
    <phoneticPr fontId="1" type="noConversion"/>
  </si>
  <si>
    <t>D/P</t>
    <phoneticPr fontId="1" type="noConversion"/>
  </si>
  <si>
    <t>30</t>
    <phoneticPr fontId="1" type="noConversion"/>
  </si>
  <si>
    <t>L/C</t>
    <phoneticPr fontId="1" type="noConversion"/>
  </si>
  <si>
    <t>trde_stot_dvcd</t>
    <phoneticPr fontId="1" type="noConversion"/>
  </si>
  <si>
    <t>무역결제구분코드</t>
    <phoneticPr fontId="1" type="noConversion"/>
  </si>
  <si>
    <t>expt_invc_dvcd</t>
    <phoneticPr fontId="1" type="noConversion"/>
  </si>
  <si>
    <t>수출면장구분코드</t>
    <phoneticPr fontId="1" type="noConversion"/>
  </si>
  <si>
    <t>01</t>
    <phoneticPr fontId="1" type="noConversion"/>
  </si>
  <si>
    <t>일반수출면장</t>
    <phoneticPr fontId="1" type="noConversion"/>
  </si>
  <si>
    <t>02</t>
    <phoneticPr fontId="1" type="noConversion"/>
  </si>
  <si>
    <t>무상수출(반송)면장</t>
    <phoneticPr fontId="1" type="noConversion"/>
  </si>
  <si>
    <t>imex_path_dvcd</t>
    <phoneticPr fontId="1" type="noConversion"/>
  </si>
  <si>
    <t>수입비용경로구분코드</t>
    <phoneticPr fontId="1" type="noConversion"/>
  </si>
  <si>
    <t>10</t>
    <phoneticPr fontId="1" type="noConversion"/>
  </si>
  <si>
    <t>수입Order</t>
    <phoneticPr fontId="1" type="noConversion"/>
  </si>
  <si>
    <t>20</t>
    <phoneticPr fontId="1" type="noConversion"/>
  </si>
  <si>
    <t>수입Invoice</t>
    <phoneticPr fontId="1" type="noConversion"/>
  </si>
  <si>
    <t>30</t>
    <phoneticPr fontId="1" type="noConversion"/>
  </si>
  <si>
    <t>수입B/L</t>
    <phoneticPr fontId="1" type="noConversion"/>
  </si>
  <si>
    <t>40</t>
    <phoneticPr fontId="1" type="noConversion"/>
  </si>
  <si>
    <t>수입신고필증</t>
    <phoneticPr fontId="1" type="noConversion"/>
  </si>
  <si>
    <t>sale_path_dvcd</t>
    <phoneticPr fontId="1" type="noConversion"/>
  </si>
  <si>
    <t>판매경로구분코드</t>
    <phoneticPr fontId="1" type="noConversion"/>
  </si>
  <si>
    <t>00</t>
    <phoneticPr fontId="1" type="noConversion"/>
  </si>
  <si>
    <t>정상</t>
    <phoneticPr fontId="1" type="noConversion"/>
  </si>
  <si>
    <t>90</t>
    <phoneticPr fontId="1" type="noConversion"/>
  </si>
  <si>
    <t>적송품 이월</t>
    <phoneticPr fontId="1" type="noConversion"/>
  </si>
  <si>
    <t>expt_dmst_dvcd</t>
    <phoneticPr fontId="1" type="noConversion"/>
  </si>
  <si>
    <t>수출내수구분코드</t>
    <phoneticPr fontId="1" type="noConversion"/>
  </si>
  <si>
    <t>내수</t>
    <phoneticPr fontId="1" type="noConversion"/>
  </si>
  <si>
    <t>수출</t>
    <phoneticPr fontId="1" type="noConversion"/>
  </si>
  <si>
    <t>D</t>
    <phoneticPr fontId="1" type="noConversion"/>
  </si>
  <si>
    <t>E</t>
    <phoneticPr fontId="1" type="noConversion"/>
  </si>
  <si>
    <t>KOR</t>
    <phoneticPr fontId="1" type="noConversion"/>
  </si>
  <si>
    <t>trde_exps_dvcd</t>
    <phoneticPr fontId="1" type="noConversion"/>
  </si>
  <si>
    <t>무역비용구분코드</t>
    <phoneticPr fontId="1" type="noConversion"/>
  </si>
  <si>
    <t>0700</t>
    <phoneticPr fontId="1" type="noConversion"/>
  </si>
  <si>
    <t>0800</t>
    <phoneticPr fontId="1" type="noConversion"/>
  </si>
  <si>
    <t>0900</t>
    <phoneticPr fontId="1" type="noConversion"/>
  </si>
  <si>
    <t>1600</t>
    <phoneticPr fontId="1" type="noConversion"/>
  </si>
  <si>
    <t>1700</t>
    <phoneticPr fontId="1" type="noConversion"/>
  </si>
  <si>
    <t>1800</t>
    <phoneticPr fontId="1" type="noConversion"/>
  </si>
  <si>
    <t>1900</t>
    <phoneticPr fontId="1" type="noConversion"/>
  </si>
  <si>
    <t>Shipping cost (운송료)</t>
  </si>
  <si>
    <t>THC (터미널핸들링비)</t>
  </si>
  <si>
    <t>CFS (창고이용료)</t>
  </si>
  <si>
    <t>WHARFAGE (부두사용료)</t>
  </si>
  <si>
    <t>DOC (서류발급비)</t>
  </si>
  <si>
    <t>INSURANCE (적하보험료)</t>
  </si>
  <si>
    <t>CUSTOM (통관수수료)</t>
  </si>
  <si>
    <t>TRUCKING (국내운송료)</t>
  </si>
  <si>
    <t>HANDLING CHARGE (화물취급 수수료)</t>
  </si>
  <si>
    <t>Peak Season Charge (성수기 추가요금)</t>
  </si>
  <si>
    <t>Fuel Surcharge (유류할증료)</t>
  </si>
  <si>
    <t>CGC Surcharge (항만혼잡할증료)</t>
  </si>
  <si>
    <t>Port Facility Charge (항만시설이용료)</t>
  </si>
  <si>
    <t>Drayge Charge (운반비)</t>
  </si>
  <si>
    <t>AMS Charge (적하신고 전송비용)</t>
  </si>
  <si>
    <t>AFR Charge (적하신고 전송비용)</t>
  </si>
  <si>
    <t>Airport Charge (공항이용료)</t>
  </si>
  <si>
    <t>Seal Charge (컨테이너 씰 추가비)</t>
  </si>
  <si>
    <t>Shoring Fee (컨테이너 자물쇠 추가비)</t>
  </si>
  <si>
    <t>3102</t>
    <phoneticPr fontId="1" type="noConversion"/>
  </si>
  <si>
    <t>차종</t>
    <phoneticPr fontId="1" type="noConversion"/>
  </si>
  <si>
    <t>3104</t>
    <phoneticPr fontId="1" type="noConversion"/>
  </si>
  <si>
    <t>컬러</t>
    <phoneticPr fontId="1" type="noConversion"/>
  </si>
  <si>
    <t>인쇄방식구분코드</t>
    <phoneticPr fontId="1" type="noConversion"/>
  </si>
  <si>
    <t>prnt_mthd_dvcd</t>
    <phoneticPr fontId="1" type="noConversion"/>
  </si>
  <si>
    <t>단면</t>
    <phoneticPr fontId="1" type="noConversion"/>
  </si>
  <si>
    <t>양면</t>
    <phoneticPr fontId="1" type="noConversion"/>
  </si>
  <si>
    <t>8000</t>
    <phoneticPr fontId="1" type="noConversion"/>
  </si>
  <si>
    <t>화폐단위</t>
    <phoneticPr fontId="1" type="noConversion"/>
  </si>
  <si>
    <t>trde_exgp_dvcd</t>
    <phoneticPr fontId="1" type="noConversion"/>
  </si>
  <si>
    <t>무역비용구그룹구분코드</t>
    <phoneticPr fontId="1" type="noConversion"/>
  </si>
  <si>
    <t>수출국내내륙운송</t>
    <phoneticPr fontId="1" type="noConversion"/>
  </si>
  <si>
    <t>수출국내통관</t>
    <phoneticPr fontId="1" type="noConversion"/>
  </si>
  <si>
    <t>수출선적</t>
    <phoneticPr fontId="1" type="noConversion"/>
  </si>
  <si>
    <t>수출해외통관</t>
    <phoneticPr fontId="1" type="noConversion"/>
  </si>
  <si>
    <t>수출해외내륙운송</t>
    <phoneticPr fontId="1" type="noConversion"/>
  </si>
  <si>
    <t>2000</t>
    <phoneticPr fontId="1" type="noConversion"/>
  </si>
  <si>
    <t>3000</t>
    <phoneticPr fontId="1" type="noConversion"/>
  </si>
  <si>
    <t>4000</t>
    <phoneticPr fontId="1" type="noConversion"/>
  </si>
  <si>
    <t>5000</t>
    <phoneticPr fontId="1" type="noConversion"/>
  </si>
  <si>
    <t>N1000ELIMC</t>
    <phoneticPr fontId="1" type="noConversion"/>
  </si>
  <si>
    <t>신제</t>
    <phoneticPr fontId="1" type="noConversion"/>
  </si>
  <si>
    <t>수리</t>
    <phoneticPr fontId="1" type="noConversion"/>
  </si>
  <si>
    <t>임의생산</t>
    <phoneticPr fontId="1" type="noConversion"/>
  </si>
  <si>
    <t>화장실</t>
    <phoneticPr fontId="1" type="noConversion"/>
  </si>
  <si>
    <t>판매견적</t>
    <phoneticPr fontId="1" type="noConversion"/>
  </si>
  <si>
    <t>임대견적</t>
    <phoneticPr fontId="1" type="noConversion"/>
  </si>
  <si>
    <t>바이백견적</t>
    <phoneticPr fontId="1" type="noConversion"/>
  </si>
  <si>
    <t>용접기</t>
    <phoneticPr fontId="1" type="noConversion"/>
  </si>
  <si>
    <t>임대회수</t>
    <phoneticPr fontId="1" type="noConversion"/>
  </si>
  <si>
    <t>바이백회수</t>
    <phoneticPr fontId="1" type="noConversion"/>
  </si>
  <si>
    <t>2220</t>
    <phoneticPr fontId="1" type="noConversion"/>
  </si>
  <si>
    <t>임대출고</t>
    <phoneticPr fontId="1" type="noConversion"/>
  </si>
  <si>
    <t>바이백출고</t>
    <phoneticPr fontId="1" type="noConversion"/>
  </si>
  <si>
    <t>2210</t>
    <phoneticPr fontId="1" type="noConversion"/>
  </si>
  <si>
    <t>가공상태</t>
    <phoneticPr fontId="1" type="noConversion"/>
  </si>
  <si>
    <t>두깨</t>
    <phoneticPr fontId="1" type="noConversion"/>
  </si>
  <si>
    <t>A급</t>
    <phoneticPr fontId="1" type="noConversion"/>
  </si>
  <si>
    <t>B급</t>
    <phoneticPr fontId="1" type="noConversion"/>
  </si>
  <si>
    <t>C급</t>
    <phoneticPr fontId="1" type="noConversion"/>
  </si>
  <si>
    <t>D급</t>
    <phoneticPr fontId="1" type="noConversion"/>
  </si>
  <si>
    <t>직접재료비</t>
    <phoneticPr fontId="1" type="noConversion"/>
  </si>
  <si>
    <t>간접재료비</t>
    <phoneticPr fontId="1" type="noConversion"/>
  </si>
  <si>
    <t>2110</t>
    <phoneticPr fontId="1" type="noConversion"/>
  </si>
  <si>
    <t>2120</t>
    <phoneticPr fontId="1" type="noConversion"/>
  </si>
  <si>
    <t>직접인건비</t>
    <phoneticPr fontId="1" type="noConversion"/>
  </si>
  <si>
    <t>간접인건비</t>
    <phoneticPr fontId="1" type="noConversion"/>
  </si>
  <si>
    <t>2310</t>
    <phoneticPr fontId="1" type="noConversion"/>
  </si>
  <si>
    <t>제조직접비</t>
    <phoneticPr fontId="1" type="noConversion"/>
  </si>
  <si>
    <t>2320</t>
    <phoneticPr fontId="1" type="noConversion"/>
  </si>
  <si>
    <t>제조간접비</t>
    <phoneticPr fontId="1" type="noConversion"/>
  </si>
  <si>
    <t>원자재발주</t>
    <phoneticPr fontId="1" type="noConversion"/>
  </si>
  <si>
    <t>철재</t>
    <phoneticPr fontId="1" type="noConversion"/>
  </si>
  <si>
    <t>내장재</t>
    <phoneticPr fontId="1" type="noConversion"/>
  </si>
  <si>
    <t>목재</t>
    <phoneticPr fontId="1" type="noConversion"/>
  </si>
  <si>
    <t>컨테이너제작</t>
    <phoneticPr fontId="1" type="noConversion"/>
  </si>
  <si>
    <t>컨테이너수리</t>
    <phoneticPr fontId="1" type="noConversion"/>
  </si>
  <si>
    <t>삭제:red</t>
    <phoneticPr fontId="1" type="noConversion"/>
  </si>
  <si>
    <t>사용:blue</t>
    <phoneticPr fontId="1" type="noConversion"/>
  </si>
  <si>
    <t>숨김:green</t>
    <phoneticPr fontId="1" type="noConversion"/>
  </si>
  <si>
    <t>미사용:green</t>
    <phoneticPr fontId="1" type="noConversion"/>
  </si>
  <si>
    <t>아니오:red</t>
    <phoneticPr fontId="1" type="noConversion"/>
  </si>
  <si>
    <t>예:blue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</si>
</sst>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23">
    <font>
      <sz val="11"/>
      <name val="Calibri"/>
    </font>
    <font>
      <sz val="8"/>
      <name val="돋움"/>
      <family val="3"/>
      <charset val="129"/>
    </font>
    <font>
      <sz val="11"/>
      <name val="D2Coding"/>
      <family val="3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9"/>
      <color indexed="8"/>
      <name val="맑은 고딕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b/>
      <sz val="11"/>
      <color theme="0"/>
      <name val="D2Coding"/>
      <family val="3"/>
      <charset val="129"/>
    </font>
    <font>
      <sz val="11"/>
      <color theme="8" tint="-0.249977111117893"/>
      <name val="D2Coding"/>
      <family val="3"/>
      <charset val="129"/>
    </font>
    <font>
      <b/>
      <sz val="11"/>
      <color theme="8" tint="-0.249977111117893"/>
      <name val="D2Coding"/>
      <family val="3"/>
      <charset val="129"/>
    </font>
    <font>
      <sz val="10"/>
      <color theme="8" tint="-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D2Coding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2F7FC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rgb="FF0066FF"/>
      </left>
      <right style="thin">
        <color rgb="FF0066FF"/>
      </right>
      <top style="thin">
        <color rgb="FF0066FF"/>
      </top>
      <bottom style="thin">
        <color rgb="FF0066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3" fillId="0" borderId="0"/>
  </cellStyleXfs>
  <cellXfs count="47">
    <xf numFmtId="0" fontId="0" fillId="0" borderId="0" xfId="0"/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2" fillId="2" borderId="0" xfId="0" applyFont="1" applyFill="1" applyAlignment="1">
      <alignment vertical="center"/>
    </xf>
    <xf numFmtId="0" fontId="4" fillId="0" borderId="2" xfId="0" applyFont="1" applyBorder="1"/>
    <xf numFmtId="0" fontId="5" fillId="4" borderId="3" xfId="0" applyFont="1" applyFill="1" applyBorder="1" applyAlignment="1">
      <alignment horizontal="left" vertical="center" wrapText="1"/>
    </xf>
    <xf numFmtId="0" fontId="6" fillId="0" borderId="0" xfId="0" applyFont="1"/>
    <xf numFmtId="0" fontId="6" fillId="0" borderId="0" xfId="0" quotePrefix="1" applyFont="1"/>
    <xf numFmtId="49" fontId="0" fillId="0" borderId="0" xfId="0" applyNumberForma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10" fillId="0" borderId="4" xfId="1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11" fillId="0" borderId="4" xfId="0" applyFont="1" applyBorder="1" applyAlignment="1">
      <alignment horizontal="center" vertical="center"/>
    </xf>
    <xf numFmtId="0" fontId="12" fillId="0" borderId="4" xfId="2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 wrapText="1"/>
    </xf>
    <xf numFmtId="0" fontId="15" fillId="5" borderId="1" xfId="0" applyFont="1" applyFill="1" applyBorder="1" applyAlignment="1">
      <alignment vertical="center"/>
    </xf>
    <xf numFmtId="0" fontId="15" fillId="5" borderId="0" xfId="0" applyFont="1" applyFill="1" applyAlignment="1">
      <alignment vertical="center"/>
    </xf>
    <xf numFmtId="0" fontId="16" fillId="0" borderId="0" xfId="0" applyFont="1" applyAlignment="1">
      <alignment vertical="center"/>
    </xf>
    <xf numFmtId="0" fontId="17" fillId="5" borderId="1" xfId="0" applyFont="1" applyFill="1" applyBorder="1" applyAlignment="1">
      <alignment vertical="center"/>
    </xf>
    <xf numFmtId="0" fontId="16" fillId="3" borderId="1" xfId="0" applyFont="1" applyFill="1" applyBorder="1" applyAlignment="1">
      <alignment vertical="center"/>
    </xf>
    <xf numFmtId="0" fontId="16" fillId="3" borderId="0" xfId="0" applyFont="1" applyFill="1" applyAlignment="1">
      <alignment vertical="center"/>
    </xf>
    <xf numFmtId="0" fontId="19" fillId="0" borderId="1" xfId="0" applyFont="1" applyBorder="1" applyAlignment="1">
      <alignment vertical="center"/>
    </xf>
    <xf numFmtId="0" fontId="19" fillId="0" borderId="1" xfId="0" quotePrefix="1" applyFont="1" applyBorder="1" applyAlignment="1">
      <alignment vertical="center"/>
    </xf>
    <xf numFmtId="0" fontId="19" fillId="0" borderId="1" xfId="0" applyFont="1" applyBorder="1" applyAlignment="1">
      <alignment vertical="center" wrapText="1"/>
    </xf>
    <xf numFmtId="49" fontId="18" fillId="6" borderId="1" xfId="0" quotePrefix="1" applyNumberFormat="1" applyFont="1" applyFill="1" applyBorder="1" applyAlignment="1">
      <alignment horizontal="center" vertical="center"/>
    </xf>
    <xf numFmtId="49" fontId="18" fillId="6" borderId="1" xfId="0" applyNumberFormat="1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8" fillId="6" borderId="1" xfId="0" quotePrefix="1" applyFont="1" applyFill="1" applyBorder="1" applyAlignment="1">
      <alignment horizontal="center" vertical="center"/>
    </xf>
    <xf numFmtId="49" fontId="18" fillId="6" borderId="1" xfId="0" applyNumberFormat="1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vertical="center"/>
    </xf>
    <xf numFmtId="0" fontId="20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49" fontId="18" fillId="7" borderId="1" xfId="0" quotePrefix="1" applyNumberFormat="1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vertical="center"/>
    </xf>
    <xf numFmtId="0" fontId="19" fillId="0" borderId="0" xfId="0" applyFont="1"/>
    <xf numFmtId="0" fontId="19" fillId="0" borderId="0" xfId="0" applyFont="1" applyAlignment="1">
      <alignment vertical="center"/>
    </xf>
    <xf numFmtId="0" fontId="21" fillId="7" borderId="1" xfId="0" applyFont="1" applyFill="1" applyBorder="1" applyAlignment="1">
      <alignment horizontal="center" vertical="center"/>
    </xf>
    <xf numFmtId="0" fontId="19" fillId="7" borderId="1" xfId="0" quotePrefix="1" applyFont="1" applyFill="1" applyBorder="1" applyAlignment="1">
      <alignment vertical="center"/>
    </xf>
    <xf numFmtId="0" fontId="22" fillId="7" borderId="1" xfId="0" applyFont="1" applyFill="1" applyBorder="1" applyAlignment="1">
      <alignment vertical="center"/>
    </xf>
    <xf numFmtId="49" fontId="22" fillId="7" borderId="1" xfId="0" quotePrefix="1" applyNumberFormat="1" applyFont="1" applyFill="1" applyBorder="1" applyAlignment="1">
      <alignment horizontal="center" vertical="center"/>
    </xf>
    <xf numFmtId="20" fontId="19" fillId="0" borderId="1" xfId="0" quotePrefix="1" applyNumberFormat="1" applyFont="1" applyBorder="1" applyAlignment="1">
      <alignment vertical="center"/>
    </xf>
    <xf numFmtId="176" fontId="19" fillId="0" borderId="1" xfId="0" applyNumberFormat="1" applyFont="1" applyBorder="1" applyAlignment="1">
      <alignment horizontal="center" vertical="center"/>
    </xf>
  </cellXfs>
  <cellStyles count="3">
    <cellStyle name="표준" xfId="0" builtinId="0"/>
    <cellStyle name="표준 2" xfId="2" xr:uid="{00000000-0005-0000-0000-000001000000}"/>
    <cellStyle name="표준_품목_1" xfId="1" xr:uid="{00000000-0005-0000-0000-000002000000}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K401"/>
  <sheetViews>
    <sheetView tabSelected="1" workbookViewId="0">
      <pane xSplit="5" ySplit="2" topLeftCell="F183" activePane="bottomRight" state="frozen"/>
      <selection activeCell="D1" sqref="D1"/>
      <selection pane="topRight" activeCell="F1" sqref="F1"/>
      <selection pane="bottomLeft" activeCell="D3" sqref="D3"/>
      <selection pane="bottomRight" sqref="A1:XFD1048576"/>
    </sheetView>
  </sheetViews>
  <sheetFormatPr defaultColWidth="9.1796875" defaultRowHeight="14.5"/>
  <cols>
    <col min="1" max="1" width="27.54296875" style="1" customWidth="1"/>
    <col min="2" max="2" width="10.54296875" style="1" customWidth="1"/>
    <col min="3" max="3" width="15.54296875" style="1" customWidth="1"/>
    <col min="4" max="4" width="19.81640625" style="1" bestFit="1" customWidth="1"/>
    <col min="5" max="5" width="26.81640625" style="1" customWidth="1"/>
    <col min="6" max="6" width="10.54296875" style="1" hidden="1" customWidth="1"/>
    <col min="7" max="7" width="9.54296875" style="1" customWidth="1"/>
    <col min="8" max="8" width="12.6328125" style="1" hidden="1" customWidth="1"/>
    <col min="9" max="9" width="36" style="1" hidden="1" customWidth="1"/>
    <col min="10" max="10" width="101" style="1" hidden="1" customWidth="1"/>
    <col min="11" max="11" width="11.81640625" style="1" hidden="1" customWidth="1"/>
    <col min="12" max="12" width="10.1796875" style="1" hidden="1" customWidth="1"/>
    <col min="13" max="13" width="9.453125" style="1" hidden="1" customWidth="1"/>
    <col min="14" max="14" width="9.81640625" style="1" hidden="1" customWidth="1"/>
    <col min="15" max="15" width="9.453125" style="1" hidden="1" customWidth="1"/>
    <col min="16" max="16" width="9.54296875" style="1" hidden="1" customWidth="1"/>
    <col min="17" max="17" width="10.1796875" style="1" hidden="1" customWidth="1"/>
    <col min="18" max="18" width="17.54296875" style="1" hidden="1" customWidth="1"/>
    <col min="19" max="19" width="10.81640625" style="1" hidden="1" customWidth="1"/>
    <col min="20" max="20" width="16.453125" style="1" hidden="1" customWidth="1"/>
    <col min="21" max="21" width="10.54296875" style="1" hidden="1" customWidth="1"/>
    <col min="22" max="22" width="10" style="1" hidden="1" customWidth="1"/>
    <col min="23" max="23" width="16.81640625" style="1" hidden="1" customWidth="1"/>
    <col min="24" max="24" width="10" style="1" hidden="1" customWidth="1"/>
    <col min="25" max="25" width="16.453125" style="1" hidden="1" customWidth="1"/>
    <col min="26" max="26" width="9.81640625" style="1" hidden="1" customWidth="1"/>
    <col min="27" max="27" width="9.1796875" style="1" hidden="1" customWidth="1"/>
    <col min="28" max="28" width="8.1796875" style="24" customWidth="1"/>
    <col min="29" max="29" width="14.81640625" style="1" customWidth="1"/>
    <col min="30" max="30" width="7.81640625" style="24" customWidth="1"/>
    <col min="31" max="31" width="15.81640625" style="1" bestFit="1" customWidth="1"/>
    <col min="32" max="32" width="5.54296875" style="24" customWidth="1"/>
    <col min="33" max="33" width="17.81640625" style="1" bestFit="1" customWidth="1"/>
    <col min="34" max="34" width="5.54296875" style="24" customWidth="1"/>
    <col min="35" max="35" width="14.81640625" style="1" customWidth="1"/>
    <col min="36" max="36" width="5.54296875" style="24" customWidth="1"/>
    <col min="37" max="37" width="15.81640625" style="1" bestFit="1" customWidth="1"/>
    <col min="38" max="38" width="5.54296875" style="24" customWidth="1"/>
    <col min="39" max="39" width="13.1796875" style="1" customWidth="1"/>
    <col min="40" max="40" width="5.54296875" style="24" customWidth="1"/>
    <col min="41" max="41" width="13.81640625" style="1" customWidth="1"/>
    <col min="42" max="42" width="5.54296875" style="24" customWidth="1"/>
    <col min="43" max="43" width="11.81640625" style="1" customWidth="1"/>
    <col min="44" max="44" width="5.54296875" style="24" customWidth="1"/>
    <col min="45" max="45" width="11.81640625" style="1" customWidth="1"/>
    <col min="46" max="46" width="5.54296875" style="24" customWidth="1"/>
    <col min="47" max="47" width="10.54296875" style="1" customWidth="1"/>
    <col min="48" max="48" width="5.54296875" style="24" customWidth="1"/>
    <col min="49" max="49" width="13" style="1" customWidth="1"/>
    <col min="50" max="50" width="5.54296875" style="24" customWidth="1"/>
    <col min="51" max="51" width="9.1796875" style="1" bestFit="1" customWidth="1"/>
    <col min="52" max="52" width="5.54296875" style="24" customWidth="1"/>
    <col min="53" max="53" width="9.1796875" style="1" bestFit="1" customWidth="1"/>
    <col min="54" max="54" width="5.54296875" style="24" customWidth="1"/>
    <col min="55" max="55" width="11.1796875" style="1" customWidth="1"/>
    <col min="56" max="56" width="5.54296875" style="24" customWidth="1"/>
    <col min="57" max="57" width="9.1796875" style="1" customWidth="1"/>
    <col min="58" max="58" width="5.54296875" style="24" customWidth="1"/>
    <col min="59" max="59" width="8" style="1" customWidth="1"/>
    <col min="60" max="60" width="5.54296875" style="24" customWidth="1"/>
    <col min="61" max="61" width="9.453125" style="1" customWidth="1"/>
    <col min="62" max="62" width="5.54296875" style="24" customWidth="1"/>
    <col min="63" max="63" width="11.1796875" style="1" customWidth="1"/>
    <col min="64" max="64" width="5.54296875" style="24" customWidth="1"/>
    <col min="65" max="65" width="10.54296875" style="1" customWidth="1"/>
    <col min="66" max="66" width="5.54296875" style="24" customWidth="1"/>
    <col min="67" max="67" width="5.1796875" style="1" bestFit="1" customWidth="1"/>
    <col min="68" max="68" width="5.54296875" style="24" customWidth="1"/>
    <col min="69" max="69" width="5.1796875" style="1" bestFit="1" customWidth="1"/>
    <col min="70" max="70" width="5.54296875" style="24" customWidth="1"/>
    <col min="71" max="71" width="5.1796875" style="1" bestFit="1" customWidth="1"/>
    <col min="72" max="72" width="5.54296875" style="24" customWidth="1"/>
    <col min="73" max="73" width="5.1796875" style="1" bestFit="1" customWidth="1"/>
    <col min="74" max="74" width="5.54296875" style="24" customWidth="1"/>
    <col min="75" max="75" width="5.1796875" style="1" bestFit="1" customWidth="1"/>
    <col min="76" max="76" width="5.54296875" style="24" customWidth="1"/>
    <col min="77" max="78" width="5.1796875" style="1" bestFit="1" customWidth="1"/>
    <col min="79" max="79" width="42.81640625" style="1" customWidth="1"/>
    <col min="80" max="80" width="7.1796875" style="1" bestFit="1" customWidth="1"/>
    <col min="81" max="81" width="5.1796875" style="1" bestFit="1" customWidth="1"/>
    <col min="82" max="82" width="7.1796875" style="1" bestFit="1" customWidth="1"/>
    <col min="83" max="83" width="5.1796875" style="1" bestFit="1" customWidth="1"/>
    <col min="84" max="84" width="7.1796875" style="1" bestFit="1" customWidth="1"/>
    <col min="85" max="85" width="5.1796875" style="1" bestFit="1" customWidth="1"/>
    <col min="86" max="86" width="7.1796875" style="1" bestFit="1" customWidth="1"/>
    <col min="87" max="87" width="5.1796875" style="1" bestFit="1" customWidth="1"/>
    <col min="88" max="88" width="12.453125" style="1" bestFit="1" customWidth="1"/>
    <col min="89" max="89" width="5.1796875" style="1" bestFit="1" customWidth="1"/>
    <col min="90" max="90" width="12.453125" style="1" bestFit="1" customWidth="1"/>
    <col min="91" max="91" width="5.1796875" style="1" bestFit="1" customWidth="1"/>
    <col min="92" max="92" width="12.453125" style="1" bestFit="1" customWidth="1"/>
    <col min="93" max="102" width="5.1796875" style="1" bestFit="1" customWidth="1"/>
    <col min="103" max="104" width="3.1796875" style="1" bestFit="1" customWidth="1"/>
    <col min="105" max="105" width="5.1796875" style="1" bestFit="1" customWidth="1"/>
    <col min="106" max="106" width="7.1796875" style="1" bestFit="1" customWidth="1"/>
    <col min="107" max="114" width="5.1796875" style="1" bestFit="1" customWidth="1"/>
    <col min="115" max="115" width="15.81640625" style="1" bestFit="1" customWidth="1"/>
    <col min="116" max="16384" width="9.1796875" style="1"/>
  </cols>
  <sheetData>
    <row r="1" spans="1:80">
      <c r="A1" s="1" t="s">
        <v>232</v>
      </c>
      <c r="B1" s="1" t="s">
        <v>233</v>
      </c>
      <c r="AB1" s="21"/>
      <c r="AD1" s="21"/>
      <c r="AF1" s="21"/>
      <c r="AH1" s="21"/>
      <c r="AJ1" s="21"/>
      <c r="AL1" s="21"/>
      <c r="AN1" s="21"/>
      <c r="AP1" s="21"/>
      <c r="AR1" s="21"/>
      <c r="AT1" s="21"/>
      <c r="AV1" s="21"/>
      <c r="AX1" s="21"/>
      <c r="AZ1" s="21"/>
      <c r="BB1" s="21"/>
      <c r="BD1" s="21"/>
      <c r="BF1" s="21"/>
      <c r="BH1" s="21"/>
      <c r="BJ1" s="21"/>
      <c r="BL1" s="21"/>
      <c r="BN1" s="21"/>
      <c r="BP1" s="21"/>
      <c r="BR1" s="21"/>
      <c r="BT1" s="21"/>
      <c r="BV1" s="21"/>
      <c r="BX1" s="21"/>
    </row>
    <row r="2" spans="1:80" ht="17">
      <c r="A2" s="19" t="s">
        <v>0</v>
      </c>
      <c r="B2" s="19" t="s">
        <v>1</v>
      </c>
      <c r="C2" s="19" t="s">
        <v>2</v>
      </c>
      <c r="D2" s="19" t="s">
        <v>3</v>
      </c>
      <c r="E2" s="19" t="s">
        <v>4</v>
      </c>
      <c r="F2" s="19" t="s">
        <v>5</v>
      </c>
      <c r="G2" s="19" t="s">
        <v>6</v>
      </c>
      <c r="H2" s="19" t="s">
        <v>7</v>
      </c>
      <c r="I2" s="19" t="s">
        <v>8</v>
      </c>
      <c r="J2" s="19" t="s">
        <v>9</v>
      </c>
      <c r="K2" s="19" t="s">
        <v>10</v>
      </c>
      <c r="L2" s="19" t="s">
        <v>11</v>
      </c>
      <c r="M2" s="19" t="s">
        <v>12</v>
      </c>
      <c r="N2" s="19" t="s">
        <v>13</v>
      </c>
      <c r="O2" s="19" t="s">
        <v>14</v>
      </c>
      <c r="P2" s="19" t="s">
        <v>15</v>
      </c>
      <c r="Q2" s="19" t="s">
        <v>16</v>
      </c>
      <c r="R2" s="19" t="s">
        <v>17</v>
      </c>
      <c r="S2" s="19" t="s">
        <v>18</v>
      </c>
      <c r="T2" s="19" t="s">
        <v>19</v>
      </c>
      <c r="U2" s="19" t="s">
        <v>20</v>
      </c>
      <c r="V2" s="19" t="s">
        <v>21</v>
      </c>
      <c r="W2" s="19" t="s">
        <v>22</v>
      </c>
      <c r="X2" s="19" t="s">
        <v>23</v>
      </c>
      <c r="Y2" s="19" t="s">
        <v>24</v>
      </c>
      <c r="Z2" s="19" t="s">
        <v>25</v>
      </c>
      <c r="AA2" s="19" t="s">
        <v>26</v>
      </c>
      <c r="AB2" s="22"/>
      <c r="AC2" s="19"/>
      <c r="AD2" s="22"/>
      <c r="AE2" s="19"/>
      <c r="AF2" s="22"/>
      <c r="AG2" s="19"/>
      <c r="AH2" s="22"/>
      <c r="AI2" s="19"/>
      <c r="AJ2" s="22"/>
      <c r="AK2" s="19"/>
      <c r="AL2" s="22"/>
      <c r="AM2" s="19"/>
      <c r="AN2" s="22"/>
      <c r="AO2" s="19"/>
      <c r="AP2" s="22"/>
      <c r="AQ2" s="19"/>
      <c r="AR2" s="22"/>
      <c r="AS2" s="19"/>
      <c r="AT2" s="22"/>
      <c r="AU2" s="19"/>
      <c r="AV2" s="22"/>
      <c r="AW2" s="19"/>
      <c r="AX2" s="22"/>
      <c r="AY2" s="19"/>
      <c r="AZ2" s="22"/>
      <c r="BA2" s="19"/>
      <c r="BB2" s="22"/>
      <c r="BC2" s="19"/>
      <c r="BD2" s="22"/>
      <c r="BE2" s="19"/>
      <c r="BF2" s="22"/>
      <c r="BG2" s="19"/>
      <c r="BH2" s="22"/>
      <c r="BI2" s="19"/>
      <c r="BJ2" s="22"/>
      <c r="BK2" s="19"/>
      <c r="BL2" s="22"/>
      <c r="BM2" s="19"/>
      <c r="BN2" s="22"/>
      <c r="BO2" s="19"/>
      <c r="BP2" s="22"/>
      <c r="BQ2" s="19"/>
      <c r="BR2" s="22"/>
      <c r="BS2" s="19"/>
      <c r="BT2" s="22"/>
      <c r="BU2" s="19"/>
      <c r="BV2" s="22"/>
      <c r="BW2" s="19"/>
      <c r="BX2" s="22"/>
      <c r="BY2" s="19"/>
      <c r="BZ2" s="20"/>
      <c r="CB2" s="5" t="str">
        <f>"delete from "&amp;$B$1&amp;";"</f>
        <v>delete from sscd_mast;</v>
      </c>
    </row>
    <row r="3" spans="1:80" ht="17">
      <c r="A3" s="3" t="str">
        <f t="shared" ref="A3:A36" ca="1" si="0">IF(D3="","",D3&amp;"_"&amp;B3&amp;"_"&amp;C3)</f>
        <v>crud_dvcd_lang_dvcd_common</v>
      </c>
      <c r="B3" s="2" t="str">
        <f ca="1">IF(E3="","",OFFSET(B3,-1,0))</f>
        <v>lang_dvcd</v>
      </c>
      <c r="C3" s="25" t="str">
        <f t="shared" ref="C3:C36" si="1">IF(E3="","","common")</f>
        <v>common</v>
      </c>
      <c r="D3" s="25" t="s">
        <v>2864</v>
      </c>
      <c r="E3" s="25" t="s">
        <v>2865</v>
      </c>
      <c r="F3" s="25" t="str">
        <f t="shared" ref="F3:F36" ca="1" si="2">IF(A3="","","gb")</f>
        <v>gb</v>
      </c>
      <c r="G3" s="25"/>
      <c r="H3" s="2" t="str">
        <f t="shared" ref="H3:H36" si="3">"[["""&amp;
SUBSTITUTE(SUBSTITUTE(I3,":",""",""")," ","""],[""")
&amp;"""]]"</f>
        <v>[["C","insert"],["R","read"],["U","update"],["D","delete"],["L","Log"],["In"]]</v>
      </c>
      <c r="I3" s="2" t="str">
        <f t="shared" ref="I3:I36" si="4">IF(AB3="","",AB3&amp;":"&amp;AC3)&amp;
IF(AD3="",""," "&amp;AD3&amp;":"&amp;AE3)&amp;
IF(AF3="",""," "&amp;AF3&amp;":"&amp;AG3)&amp;
IF(AH3="",""," "&amp;AH3&amp;":"&amp;AI3)&amp;
IF(AJ3="",""," "&amp;AJ3&amp;":"&amp;AK3)&amp;
IF(AL3="",""," "&amp;AL3&amp;":"&amp;AM3)&amp;
IF(AN3="",""," "&amp;AN3&amp;":"&amp;AO3)&amp;
IF(AP3="",""," "&amp;AP3&amp;":"&amp;AQ3)&amp;
IF(AR3="",""," "&amp;AR3&amp;":"&amp;AS3)&amp;
IF(AT3="",""," "&amp;AT3&amp;":"&amp;AU3)&amp;
IF(AV3="",""," "&amp;AV3&amp;":"&amp;AW3)&amp;
IF(AX3="",""," "&amp;AX3&amp;":"&amp;AY3)&amp;
IF(AZ3="",""," "&amp;AZ3&amp;":"&amp;BA3)&amp;
IF(BB3="",""," "&amp;BB3&amp;":"&amp;BC3)&amp;
IF(BD3="",""," "&amp;BD3&amp;":"&amp;BE3)&amp;
IF(BF3="",""," "&amp;BF3&amp;":"&amp;BG3)&amp;
IF(BH3="",""," "&amp;BH3&amp;":"&amp;BI3)&amp;
IF(BJ3="",""," "&amp;BJ3&amp;":"&amp;BK3)&amp;
IF(BL3="",""," "&amp;BL3&amp;":"&amp;BM3)&amp;
IF(BN3="",""," "&amp;BN3&amp;":"&amp;BO3)&amp;
IF(BP3="",""," "&amp;BP3&amp;":"&amp;BS3)&amp;
IF(BZ3="",""," "&amp;BZ3&amp;":"&amp;CA3)</f>
        <v>C:insert R:read U:update D:delete L:Log In</v>
      </c>
      <c r="J3" s="2"/>
      <c r="K3" s="35" t="str">
        <f t="shared" ref="K3:K36" si="5">IF(AB3="","",AB3&amp;"="&amp;AC3)&amp;
IF(AD3="","","|"&amp;AD3&amp;"="&amp;AE3)&amp;
IF(AF3="","","|"&amp;AF3&amp;"="&amp;AG3)&amp;
IF(AH3="","","|"&amp;AH3&amp;"="&amp;AI3)&amp;
IF(AJ3="","","|"&amp;AJ3&amp;"="&amp;AK3)&amp;
IF(AL3="","","|"&amp;AL3&amp;"="&amp;AM3)&amp;
IF(AN3="","","|"&amp;AN3&amp;"="&amp;AO3)&amp;
IF(AP3="","","|"&amp;AP3&amp;"="&amp;AQ3)&amp;
IF(AR3="","","|"&amp;AR3&amp;"="&amp;AS3)&amp;
IF(AT3="","","|"&amp;AT3&amp;"="&amp;AU3)&amp;
IF(AV3="","","|"&amp;AV3&amp;"="&amp;AW3)&amp;
IF(AX3="","","|"&amp;AX3&amp;"="&amp;AY3)&amp;
IF(AZ3="","","|"&amp;AZ3&amp;"="&amp;BA3)&amp;
IF(BB3="","","|"&amp;BB3&amp;"="&amp;BC3)&amp;
IF(BD3="","","|"&amp;BD3&amp;"="&amp;BE3)&amp;
IF(BF3="","","|"&amp;BF3&amp;"="&amp;BG3)&amp;
IF(BH3="","","|"&amp;BH3&amp;"="&amp;BI3)&amp;
IF(BJ3="","","|"&amp;BJ3&amp;"="&amp;BK3)&amp;
IF(BL3="","","|"&amp;BL3&amp;"="&amp;BM3)&amp;
IF(BN3="","","|"&amp;BN3&amp;"="&amp;BO3)&amp;
IF(BP3="","","|"&amp;BP3&amp;"="&amp;BQ3)&amp;
IF(BR3="","","|"&amp;BR3&amp;"="&amp;BS3)&amp;
IF(BT3="","","|"&amp;BT3&amp;"="&amp;BU3)&amp;
IF(BV3="","","|"&amp;BV3&amp;"="&amp;BW3)&amp;
IF(BX3="","","|"&amp;BX3&amp;"="&amp;BY3)</f>
        <v>C=insert|R=read|U=update|D=delete|L=Log In</v>
      </c>
      <c r="L3" s="2"/>
      <c r="M3" s="36" t="str">
        <f ca="1">IF(A3="","","0")</f>
        <v>0</v>
      </c>
      <c r="N3" s="36" t="str">
        <f ca="1">IF(B3="","","0")</f>
        <v>0</v>
      </c>
      <c r="O3" s="36" t="str">
        <f>IF(C3="","","0")</f>
        <v>0</v>
      </c>
      <c r="P3" s="36" t="str">
        <f>IF(D3="","","0")</f>
        <v>0</v>
      </c>
      <c r="Q3" s="35" t="str">
        <f t="shared" ref="Q3:Q36" si="6">IF(D3="","",D3&amp;" "&amp;E3&amp;" "&amp;H3)</f>
        <v>crud_dvcd CRUD구분코드 [["C","insert"],["R","read"],["U","update"],["D","delete"],["L","Log"],["In"]]</v>
      </c>
      <c r="R3" s="2" t="s">
        <v>921</v>
      </c>
      <c r="S3" s="2"/>
      <c r="T3" s="2"/>
      <c r="U3" s="2"/>
      <c r="V3" s="2"/>
      <c r="W3" s="2"/>
      <c r="X3" s="2"/>
      <c r="Y3" s="2"/>
      <c r="Z3" s="2"/>
      <c r="AA3" s="2"/>
      <c r="AB3" s="30" t="s">
        <v>1447</v>
      </c>
      <c r="AC3" s="25" t="s">
        <v>2866</v>
      </c>
      <c r="AD3" s="30" t="s">
        <v>2867</v>
      </c>
      <c r="AE3" s="25" t="s">
        <v>2869</v>
      </c>
      <c r="AF3" s="30" t="s">
        <v>2870</v>
      </c>
      <c r="AG3" s="25" t="s">
        <v>2868</v>
      </c>
      <c r="AH3" s="30" t="s">
        <v>733</v>
      </c>
      <c r="AI3" s="25" t="s">
        <v>2871</v>
      </c>
      <c r="AJ3" s="30" t="s">
        <v>2872</v>
      </c>
      <c r="AK3" s="25" t="s">
        <v>2873</v>
      </c>
      <c r="AL3" s="30"/>
      <c r="AM3" s="25"/>
      <c r="AN3" s="30"/>
      <c r="AO3" s="25"/>
      <c r="AP3" s="30"/>
      <c r="AQ3" s="25"/>
      <c r="AR3" s="30"/>
      <c r="AS3" s="25"/>
      <c r="AT3" s="30"/>
      <c r="AU3" s="25"/>
      <c r="AV3" s="30"/>
      <c r="AW3" s="25"/>
      <c r="AX3" s="30"/>
      <c r="AY3" s="25"/>
      <c r="AZ3" s="30"/>
      <c r="BA3" s="25"/>
      <c r="BB3" s="30"/>
      <c r="BC3" s="25"/>
      <c r="BD3" s="30"/>
      <c r="BE3" s="25"/>
      <c r="BF3" s="30"/>
      <c r="BG3" s="25"/>
      <c r="BH3" s="30"/>
      <c r="BI3" s="25"/>
      <c r="BJ3" s="30"/>
      <c r="BK3" s="25"/>
      <c r="BL3" s="30"/>
      <c r="BM3" s="25"/>
      <c r="BN3" s="30"/>
      <c r="BO3" s="25"/>
      <c r="BP3" s="30"/>
      <c r="BQ3" s="25"/>
      <c r="BR3" s="30"/>
      <c r="BS3" s="25"/>
      <c r="BT3" s="30"/>
      <c r="BU3" s="25"/>
      <c r="BV3" s="30"/>
      <c r="BW3" s="25"/>
      <c r="BX3" s="30"/>
      <c r="BY3" s="25"/>
      <c r="CA3" s="1" t="str">
        <f t="shared" ref="CA3:CA36" ca="1" si="7">IF(A3="","","delete from sscd_mast where sscd_idcd = '"&amp;A3&amp;"'  and site_idcd = '"&amp;C3&amp;"';")</f>
        <v>delete from sscd_mast where sscd_idcd = 'crud_dvcd_lang_dvcd_common'  and site_idcd = 'common';</v>
      </c>
      <c r="CB3" s="5" t="str">
        <f ca="1">IF(E3&lt;&gt;"",CREATE_QUERY($B$1,A$2:AA$2,A3:AA3),"")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('crud_dvcd_lang_dvcd_common', 'lang_dvcd', 'common', 'crud_dvcd', 'CRUD구분코드', 'gb', '', '[["C","insert"],["R","read"],["U","update"],["D","delete"],["L","Log"],["In"]]', 'C:insert R:read U:update D:delete L:Log In', '', 'C=insert|R=read|U=update|D=delete|L=Log In', '', '0', '0', '0', '0', 'crud_dvcd CRUD구분코드 [["C","insert"],["R","read"],["U","update"],["D","delete"],["L","Log"],["In"]]', ' ', '', '', '', '', '', '', '', '', '');</v>
      </c>
    </row>
    <row r="4" spans="1:80" ht="17">
      <c r="A4" s="26" t="str">
        <f t="shared" si="0"/>
        <v>asp_site_KOR_common</v>
      </c>
      <c r="B4" s="25" t="s">
        <v>27</v>
      </c>
      <c r="C4" s="25" t="str">
        <f t="shared" si="1"/>
        <v>common</v>
      </c>
      <c r="D4" s="25" t="s">
        <v>39</v>
      </c>
      <c r="E4" s="25" t="s">
        <v>40</v>
      </c>
      <c r="F4" s="25" t="str">
        <f t="shared" si="2"/>
        <v>gb</v>
      </c>
      <c r="G4" s="25"/>
      <c r="H4" s="35" t="str">
        <f t="shared" si="3"/>
        <v>[["system","메인"],["supply","SCM"]]</v>
      </c>
      <c r="I4" s="35" t="str">
        <f t="shared" si="4"/>
        <v>system:메인 supply:SCM</v>
      </c>
      <c r="J4" s="35"/>
      <c r="K4" s="35" t="str">
        <f t="shared" si="5"/>
        <v>system=메인|supply=SCM</v>
      </c>
      <c r="L4" s="2"/>
      <c r="M4" s="36">
        <v>0</v>
      </c>
      <c r="N4" s="36">
        <v>0</v>
      </c>
      <c r="O4" s="36" t="s">
        <v>31</v>
      </c>
      <c r="P4" s="36" t="s">
        <v>31</v>
      </c>
      <c r="Q4" s="35" t="str">
        <f t="shared" si="6"/>
        <v>asp_site ASP 서비스 사이트 리스트 [["system","메인"],["supply","SCM"]]</v>
      </c>
      <c r="R4" s="2" t="s">
        <v>921</v>
      </c>
      <c r="S4" s="2"/>
      <c r="T4" s="2"/>
      <c r="U4" s="2" t="s">
        <v>32</v>
      </c>
      <c r="V4" s="2"/>
      <c r="W4" s="2"/>
      <c r="X4" s="2"/>
      <c r="Y4" s="2"/>
      <c r="Z4" s="2"/>
      <c r="AA4" s="2"/>
      <c r="AB4" s="29" t="s">
        <v>28</v>
      </c>
      <c r="AC4" s="25" t="s">
        <v>350</v>
      </c>
      <c r="AD4" s="29" t="s">
        <v>351</v>
      </c>
      <c r="AE4" s="25" t="s">
        <v>352</v>
      </c>
      <c r="AF4" s="29"/>
      <c r="AG4" s="25"/>
      <c r="AH4" s="29"/>
      <c r="AI4" s="25"/>
      <c r="AJ4" s="29"/>
      <c r="AK4" s="25"/>
      <c r="AL4" s="29"/>
      <c r="AM4" s="25"/>
      <c r="AN4" s="29"/>
      <c r="AO4" s="25"/>
      <c r="AP4" s="29"/>
      <c r="AQ4" s="25"/>
      <c r="AR4" s="29"/>
      <c r="AS4" s="25"/>
      <c r="AT4" s="29"/>
      <c r="AU4" s="25"/>
      <c r="AV4" s="29"/>
      <c r="AW4" s="25"/>
      <c r="AX4" s="29"/>
      <c r="AY4" s="25"/>
      <c r="AZ4" s="29"/>
      <c r="BA4" s="25"/>
      <c r="BB4" s="29"/>
      <c r="BC4" s="25"/>
      <c r="BD4" s="29"/>
      <c r="BE4" s="25"/>
      <c r="BF4" s="29"/>
      <c r="BG4" s="25"/>
      <c r="BH4" s="29"/>
      <c r="BI4" s="25"/>
      <c r="BJ4" s="29"/>
      <c r="BK4" s="25"/>
      <c r="BL4" s="29"/>
      <c r="BM4" s="25"/>
      <c r="BN4" s="29"/>
      <c r="BO4" s="25"/>
      <c r="BP4" s="29"/>
      <c r="BQ4" s="25"/>
      <c r="BR4" s="29"/>
      <c r="BS4" s="25"/>
      <c r="BT4" s="29"/>
      <c r="BU4" s="25"/>
      <c r="BV4" s="29"/>
      <c r="BW4" s="25"/>
      <c r="BX4" s="29"/>
      <c r="BY4" s="25"/>
      <c r="CA4" s="1" t="str">
        <f t="shared" si="7"/>
        <v>delete from sscd_mast where sscd_idcd = 'asp_site_KOR_common'  and site_idcd = 'common';</v>
      </c>
      <c r="CB4" s="5" t="str">
        <f>IF(E4&lt;&gt;"",CREATE_QUERY($B$1,A$2:AA$2,A4:AA4),"")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('asp_site_KOR_common', 'KOR', 'common', 'asp_site', 'ASP 서비스 사이트 리스트', 'gb', '', '[["system","메인"],["supply","SCM"]]', 'system:메인 supply:SCM', '', 'system=메인|supply=SCM', '', '0', '0', '0', '0', 'asp_site ASP 서비스 사이트 리스트 [["system","메인"],["supply","SCM"]]', ' ', '', '', ' ', '', '', '', '', '', '');</v>
      </c>
    </row>
    <row r="5" spans="1:80" ht="17">
      <c r="A5" s="26" t="str">
        <f t="shared" si="0"/>
        <v>provider_KOR_common</v>
      </c>
      <c r="B5" s="25" t="s">
        <v>27</v>
      </c>
      <c r="C5" s="25" t="str">
        <f t="shared" si="1"/>
        <v>common</v>
      </c>
      <c r="D5" s="25" t="s">
        <v>83</v>
      </c>
      <c r="E5" s="25" t="s">
        <v>84</v>
      </c>
      <c r="F5" s="25" t="str">
        <f t="shared" si="2"/>
        <v>gb</v>
      </c>
      <c r="G5" s="25"/>
      <c r="H5" s="35" t="str">
        <f t="shared" si="3"/>
        <v>[["mysql","MySql"],["oracle","Oracle"],["mssql","MS/SQL"]]</v>
      </c>
      <c r="I5" s="35" t="str">
        <f t="shared" si="4"/>
        <v>mysql:MySql oracle:Oracle mssql:MS/SQL</v>
      </c>
      <c r="J5" s="35"/>
      <c r="K5" s="35" t="str">
        <f t="shared" si="5"/>
        <v>mysql=MySql|oracle=Oracle|mssql=MS/SQL</v>
      </c>
      <c r="L5" s="2"/>
      <c r="M5" s="36">
        <v>0</v>
      </c>
      <c r="N5" s="36">
        <v>0</v>
      </c>
      <c r="O5" s="36" t="s">
        <v>31</v>
      </c>
      <c r="P5" s="36" t="s">
        <v>31</v>
      </c>
      <c r="Q5" s="35" t="str">
        <f t="shared" si="6"/>
        <v>provider Data Base의 종류 [["mysql","MySql"],["oracle","Oracle"],["mssql","MS/SQL"]]</v>
      </c>
      <c r="R5" s="2" t="s">
        <v>921</v>
      </c>
      <c r="S5" s="2"/>
      <c r="T5" s="2"/>
      <c r="U5" s="2" t="s">
        <v>32</v>
      </c>
      <c r="V5" s="2"/>
      <c r="W5" s="2"/>
      <c r="X5" s="2"/>
      <c r="Y5" s="2"/>
      <c r="Z5" s="2"/>
      <c r="AA5" s="2"/>
      <c r="AB5" s="29" t="s">
        <v>353</v>
      </c>
      <c r="AC5" s="25" t="s">
        <v>354</v>
      </c>
      <c r="AD5" s="29" t="s">
        <v>355</v>
      </c>
      <c r="AE5" s="25" t="s">
        <v>356</v>
      </c>
      <c r="AF5" s="29" t="s">
        <v>357</v>
      </c>
      <c r="AG5" s="25" t="s">
        <v>358</v>
      </c>
      <c r="AH5" s="29"/>
      <c r="AI5" s="25"/>
      <c r="AJ5" s="29"/>
      <c r="AK5" s="25"/>
      <c r="AL5" s="29"/>
      <c r="AM5" s="25"/>
      <c r="AN5" s="29"/>
      <c r="AO5" s="25"/>
      <c r="AP5" s="29"/>
      <c r="AQ5" s="25"/>
      <c r="AR5" s="29"/>
      <c r="AS5" s="25"/>
      <c r="AT5" s="29"/>
      <c r="AU5" s="25"/>
      <c r="AV5" s="29"/>
      <c r="AW5" s="25"/>
      <c r="AX5" s="29"/>
      <c r="AY5" s="25"/>
      <c r="AZ5" s="29"/>
      <c r="BA5" s="25"/>
      <c r="BB5" s="29"/>
      <c r="BC5" s="25"/>
      <c r="BD5" s="29"/>
      <c r="BE5" s="25"/>
      <c r="BF5" s="29"/>
      <c r="BG5" s="25"/>
      <c r="BH5" s="29"/>
      <c r="BI5" s="25"/>
      <c r="BJ5" s="29"/>
      <c r="BK5" s="25"/>
      <c r="BL5" s="29"/>
      <c r="BM5" s="25"/>
      <c r="BN5" s="29"/>
      <c r="BO5" s="25"/>
      <c r="BP5" s="29"/>
      <c r="BQ5" s="25"/>
      <c r="BR5" s="29"/>
      <c r="BS5" s="25"/>
      <c r="BT5" s="29"/>
      <c r="BU5" s="25"/>
      <c r="BV5" s="29"/>
      <c r="BW5" s="25"/>
      <c r="BX5" s="29"/>
      <c r="BY5" s="25"/>
      <c r="CA5" s="1" t="str">
        <f t="shared" si="7"/>
        <v>delete from sscd_mast where sscd_idcd = 'provider_KOR_common'  and site_idcd = 'common';</v>
      </c>
      <c r="CB5" s="5" t="str">
        <f>IF(E5&lt;&gt;"",CREATE_QUERY($B$1,A$2:AA$2,A5:AA5),"")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('provider_KOR_common', 'KOR', 'common', 'provider', 'Data Base의 종류', 'gb', '', '[["mysql","MySql"],["oracle","Oracle"],["mssql","MS/SQL"]]', 'mysql:MySql oracle:Oracle mssql:MS/SQL', '', 'mysql=MySql|oracle=Oracle|mssql=MS/SQL', '', '0', '0', '0', '0', 'provider Data Base의 종류 [["mysql","MySql"],["oracle","Oracle"],["mssql","MS/SQL"]]', ' ', '', '', ' ', '', '', '', '', '', '');</v>
      </c>
    </row>
    <row r="6" spans="1:80" ht="17">
      <c r="A6" s="26" t="str">
        <f t="shared" si="0"/>
        <v>dbms_dvcd_KOR_common</v>
      </c>
      <c r="B6" s="25" t="s">
        <v>27</v>
      </c>
      <c r="C6" s="25" t="str">
        <f t="shared" si="1"/>
        <v>common</v>
      </c>
      <c r="D6" s="25" t="s">
        <v>249</v>
      </c>
      <c r="E6" s="25" t="s">
        <v>51</v>
      </c>
      <c r="F6" s="25" t="str">
        <f t="shared" si="2"/>
        <v>gb</v>
      </c>
      <c r="G6" s="25"/>
      <c r="H6" s="35" t="str">
        <f t="shared" si="3"/>
        <v>[["mysql","MySql"],["oracle","Oracle"],["mssql","MS/SQL"]]</v>
      </c>
      <c r="I6" s="35" t="str">
        <f t="shared" si="4"/>
        <v>mysql:MySql oracle:Oracle mssql:MS/SQL</v>
      </c>
      <c r="J6" s="35"/>
      <c r="K6" s="35" t="str">
        <f t="shared" si="5"/>
        <v>mysql=MySql|oracle=Oracle|mssql=MS/SQL</v>
      </c>
      <c r="L6" s="2"/>
      <c r="M6" s="36">
        <v>0</v>
      </c>
      <c r="N6" s="36">
        <v>0</v>
      </c>
      <c r="O6" s="36" t="s">
        <v>31</v>
      </c>
      <c r="P6" s="36" t="s">
        <v>31</v>
      </c>
      <c r="Q6" s="35" t="str">
        <f t="shared" si="6"/>
        <v>dbms_dvcd 데이터베이스 구분 [["mysql","MySql"],["oracle","Oracle"],["mssql","MS/SQL"]]</v>
      </c>
      <c r="R6" s="2" t="s">
        <v>921</v>
      </c>
      <c r="S6" s="2"/>
      <c r="T6" s="2"/>
      <c r="U6" s="2" t="s">
        <v>32</v>
      </c>
      <c r="V6" s="2"/>
      <c r="W6" s="2"/>
      <c r="X6" s="2"/>
      <c r="Y6" s="2"/>
      <c r="Z6" s="2"/>
      <c r="AA6" s="2"/>
      <c r="AB6" s="29" t="s">
        <v>353</v>
      </c>
      <c r="AC6" s="25" t="s">
        <v>354</v>
      </c>
      <c r="AD6" s="29" t="s">
        <v>355</v>
      </c>
      <c r="AE6" s="25" t="s">
        <v>356</v>
      </c>
      <c r="AF6" s="29" t="s">
        <v>357</v>
      </c>
      <c r="AG6" s="25" t="s">
        <v>358</v>
      </c>
      <c r="AH6" s="29"/>
      <c r="AI6" s="25"/>
      <c r="AJ6" s="29"/>
      <c r="AK6" s="25"/>
      <c r="AL6" s="29"/>
      <c r="AM6" s="25"/>
      <c r="AN6" s="29"/>
      <c r="AO6" s="25"/>
      <c r="AP6" s="29"/>
      <c r="AQ6" s="25"/>
      <c r="AR6" s="29"/>
      <c r="AS6" s="25"/>
      <c r="AT6" s="29"/>
      <c r="AU6" s="25"/>
      <c r="AV6" s="29"/>
      <c r="AW6" s="25"/>
      <c r="AX6" s="29"/>
      <c r="AY6" s="25"/>
      <c r="AZ6" s="29"/>
      <c r="BA6" s="25"/>
      <c r="BB6" s="29"/>
      <c r="BC6" s="25"/>
      <c r="BD6" s="29"/>
      <c r="BE6" s="25"/>
      <c r="BF6" s="29"/>
      <c r="BG6" s="25"/>
      <c r="BH6" s="29"/>
      <c r="BI6" s="25"/>
      <c r="BJ6" s="29"/>
      <c r="BK6" s="25"/>
      <c r="BL6" s="29"/>
      <c r="BM6" s="25"/>
      <c r="BN6" s="29"/>
      <c r="BO6" s="25"/>
      <c r="BP6" s="29"/>
      <c r="BQ6" s="25"/>
      <c r="BR6" s="29"/>
      <c r="BS6" s="25"/>
      <c r="BT6" s="29"/>
      <c r="BU6" s="25"/>
      <c r="BV6" s="29"/>
      <c r="BW6" s="25"/>
      <c r="BX6" s="29"/>
      <c r="BY6" s="25"/>
      <c r="CA6" s="1" t="str">
        <f t="shared" si="7"/>
        <v>delete from sscd_mast where sscd_idcd = 'dbms_dvcd_KOR_common'  and site_idcd = 'common';</v>
      </c>
      <c r="CB6" s="5" t="str">
        <f>IF(E6&lt;&gt;"",CREATE_QUERY($B$1,A$2:AA$2,A6:AA6),"")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('dbms_dvcd_KOR_common', 'KOR', 'common', 'dbms_dvcd', '데이터베이스 구분', 'gb', '', '[["mysql","MySql"],["oracle","Oracle"],["mssql","MS/SQL"]]', 'mysql:MySql oracle:Oracle mssql:MS/SQL', '', 'mysql=MySql|oracle=Oracle|mssql=MS/SQL', '', '0', '0', '0', '0', 'dbms_dvcd 데이터베이스 구분 [["mysql","MySql"],["oracle","Oracle"],["mssql","MS/SQL"]]', ' ', '', '', ' ', '', '', '', '', '', '');</v>
      </c>
    </row>
    <row r="7" spans="1:80" ht="17">
      <c r="A7" s="26" t="str">
        <f t="shared" si="0"/>
        <v>dbms_size_KOR_common</v>
      </c>
      <c r="B7" s="25" t="s">
        <v>27</v>
      </c>
      <c r="C7" s="25" t="str">
        <f t="shared" si="1"/>
        <v>common</v>
      </c>
      <c r="D7" s="25" t="s">
        <v>239</v>
      </c>
      <c r="E7" s="25" t="s">
        <v>87</v>
      </c>
      <c r="F7" s="25" t="str">
        <f t="shared" si="2"/>
        <v>gb</v>
      </c>
      <c r="G7" s="25"/>
      <c r="H7" s="35" t="str">
        <f t="shared" si="3"/>
        <v>[["0","무제한"],["2","2Gbyte"],["3","3Gbyte"]]</v>
      </c>
      <c r="I7" s="35" t="str">
        <f t="shared" si="4"/>
        <v>0:무제한 2:2Gbyte 3:3Gbyte</v>
      </c>
      <c r="J7" s="35"/>
      <c r="K7" s="35" t="str">
        <f t="shared" si="5"/>
        <v>0=무제한|2=2Gbyte|3=3Gbyte</v>
      </c>
      <c r="L7" s="2"/>
      <c r="M7" s="36">
        <v>0</v>
      </c>
      <c r="N7" s="36">
        <v>0</v>
      </c>
      <c r="O7" s="36" t="s">
        <v>31</v>
      </c>
      <c r="P7" s="36" t="s">
        <v>31</v>
      </c>
      <c r="Q7" s="35" t="str">
        <f t="shared" si="6"/>
        <v>dbms_size DB최대용량 [["0","무제한"],["2","2Gbyte"],["3","3Gbyte"]]</v>
      </c>
      <c r="R7" s="2" t="s">
        <v>921</v>
      </c>
      <c r="S7" s="2"/>
      <c r="T7" s="2"/>
      <c r="U7" s="2" t="s">
        <v>32</v>
      </c>
      <c r="V7" s="2"/>
      <c r="W7" s="2"/>
      <c r="X7" s="2"/>
      <c r="Y7" s="2"/>
      <c r="Z7" s="2"/>
      <c r="AA7" s="2"/>
      <c r="AB7" s="29" t="s">
        <v>31</v>
      </c>
      <c r="AC7" s="25" t="s">
        <v>359</v>
      </c>
      <c r="AD7" s="29">
        <v>2</v>
      </c>
      <c r="AE7" s="25" t="s">
        <v>360</v>
      </c>
      <c r="AF7" s="29">
        <v>3</v>
      </c>
      <c r="AG7" s="25" t="s">
        <v>361</v>
      </c>
      <c r="AH7" s="29"/>
      <c r="AI7" s="25"/>
      <c r="AJ7" s="29"/>
      <c r="AK7" s="25"/>
      <c r="AL7" s="29"/>
      <c r="AM7" s="25"/>
      <c r="AN7" s="29"/>
      <c r="AO7" s="25"/>
      <c r="AP7" s="29"/>
      <c r="AQ7" s="25"/>
      <c r="AR7" s="29"/>
      <c r="AS7" s="25"/>
      <c r="AT7" s="29"/>
      <c r="AU7" s="25"/>
      <c r="AV7" s="29"/>
      <c r="AW7" s="25"/>
      <c r="AX7" s="29"/>
      <c r="AY7" s="25"/>
      <c r="AZ7" s="29"/>
      <c r="BA7" s="25"/>
      <c r="BB7" s="29"/>
      <c r="BC7" s="25"/>
      <c r="BD7" s="29"/>
      <c r="BE7" s="25"/>
      <c r="BF7" s="29"/>
      <c r="BG7" s="25"/>
      <c r="BH7" s="29"/>
      <c r="BI7" s="25"/>
      <c r="BJ7" s="29"/>
      <c r="BK7" s="25"/>
      <c r="BL7" s="29"/>
      <c r="BM7" s="25"/>
      <c r="BN7" s="29"/>
      <c r="BO7" s="25"/>
      <c r="BP7" s="29"/>
      <c r="BQ7" s="25"/>
      <c r="BR7" s="29"/>
      <c r="BS7" s="25"/>
      <c r="BT7" s="29"/>
      <c r="BU7" s="25"/>
      <c r="BV7" s="29"/>
      <c r="BW7" s="25"/>
      <c r="BX7" s="29"/>
      <c r="BY7" s="25"/>
      <c r="CA7" s="1" t="str">
        <f t="shared" si="7"/>
        <v>delete from sscd_mast where sscd_idcd = 'dbms_size_KOR_common'  and site_idcd = 'common';</v>
      </c>
      <c r="CB7" s="5" t="str">
        <f>IF(E7&lt;&gt;"",CREATE_QUERY($B$1,A$2:AA$2,A7:AA7),"")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('dbms_size_KOR_common', 'KOR', 'common', 'dbms_size', 'DB최대용량', 'gb', '', '[["0","무제한"],["2","2Gbyte"],["3","3Gbyte"]]', '0:무제한 2:2Gbyte 3:3Gbyte', '', '0=무제한|2=2Gbyte|3=3Gbyte', '', '0', '0', '0', '0', 'dbms_size DB최대용량 [["0","무제한"],["2","2Gbyte"],["3","3Gbyte"]]', ' ', '', '', ' ', '', '', '', '', '', '');</v>
      </c>
    </row>
    <row r="8" spans="1:80" ht="17">
      <c r="A8" s="26" t="str">
        <f t="shared" si="0"/>
        <v>host_dvcd_KOR_common</v>
      </c>
      <c r="B8" s="25" t="s">
        <v>27</v>
      </c>
      <c r="C8" s="25" t="str">
        <f t="shared" si="1"/>
        <v>common</v>
      </c>
      <c r="D8" s="25" t="s">
        <v>135</v>
      </c>
      <c r="E8" s="25" t="s">
        <v>109</v>
      </c>
      <c r="F8" s="25" t="str">
        <f t="shared" si="2"/>
        <v>gb</v>
      </c>
      <c r="G8" s="25"/>
      <c r="H8" s="35" t="str">
        <f t="shared" si="3"/>
        <v>[["1","사내서버"],["2","외부자사서버"],["3","외부임대서버"],["4","외부클라우드"]]</v>
      </c>
      <c r="I8" s="35" t="str">
        <f t="shared" si="4"/>
        <v>1:사내서버 2:외부자사서버 3:외부임대서버 4:외부클라우드</v>
      </c>
      <c r="J8" s="35"/>
      <c r="K8" s="35" t="str">
        <f t="shared" si="5"/>
        <v>1=사내서버|2=외부자사서버|3=외부임대서버|4=외부클라우드</v>
      </c>
      <c r="L8" s="2"/>
      <c r="M8" s="36">
        <v>0</v>
      </c>
      <c r="N8" s="36">
        <v>0</v>
      </c>
      <c r="O8" s="36" t="s">
        <v>91</v>
      </c>
      <c r="P8" s="36" t="s">
        <v>31</v>
      </c>
      <c r="Q8" s="35" t="str">
        <f t="shared" si="6"/>
        <v>host_dvcd 서버운영구분 [["1","사내서버"],["2","외부자사서버"],["3","외부임대서버"],["4","외부클라우드"]]</v>
      </c>
      <c r="R8" s="2" t="s">
        <v>921</v>
      </c>
      <c r="S8" s="2"/>
      <c r="T8" s="2"/>
      <c r="U8" s="2" t="s">
        <v>32</v>
      </c>
      <c r="V8" s="2"/>
      <c r="W8" s="2"/>
      <c r="X8" s="2"/>
      <c r="Y8" s="2"/>
      <c r="Z8" s="2"/>
      <c r="AA8" s="2"/>
      <c r="AB8" s="29" t="s">
        <v>370</v>
      </c>
      <c r="AC8" s="25" t="s">
        <v>455</v>
      </c>
      <c r="AD8" s="29">
        <v>2</v>
      </c>
      <c r="AE8" s="25" t="s">
        <v>456</v>
      </c>
      <c r="AF8" s="29">
        <v>3</v>
      </c>
      <c r="AG8" s="25" t="s">
        <v>457</v>
      </c>
      <c r="AH8" s="29">
        <v>4</v>
      </c>
      <c r="AI8" s="25" t="s">
        <v>458</v>
      </c>
      <c r="AJ8" s="29"/>
      <c r="AK8" s="25"/>
      <c r="AL8" s="29"/>
      <c r="AM8" s="25"/>
      <c r="AN8" s="29"/>
      <c r="AO8" s="25"/>
      <c r="AP8" s="29"/>
      <c r="AQ8" s="25"/>
      <c r="AR8" s="29"/>
      <c r="AS8" s="25"/>
      <c r="AT8" s="29"/>
      <c r="AU8" s="25"/>
      <c r="AV8" s="29"/>
      <c r="AW8" s="25"/>
      <c r="AX8" s="29"/>
      <c r="AY8" s="25"/>
      <c r="AZ8" s="29"/>
      <c r="BA8" s="25"/>
      <c r="BB8" s="29"/>
      <c r="BC8" s="25"/>
      <c r="BD8" s="29"/>
      <c r="BE8" s="25"/>
      <c r="BF8" s="29"/>
      <c r="BG8" s="25"/>
      <c r="BH8" s="29"/>
      <c r="BI8" s="25"/>
      <c r="BJ8" s="29"/>
      <c r="BK8" s="25"/>
      <c r="BL8" s="29"/>
      <c r="BM8" s="25"/>
      <c r="BN8" s="29"/>
      <c r="BO8" s="25"/>
      <c r="BP8" s="29"/>
      <c r="BQ8" s="25"/>
      <c r="BR8" s="29"/>
      <c r="BS8" s="25"/>
      <c r="BT8" s="29"/>
      <c r="BU8" s="25"/>
      <c r="BV8" s="29"/>
      <c r="BW8" s="25"/>
      <c r="BX8" s="29"/>
      <c r="BY8" s="25"/>
      <c r="CA8" s="1" t="str">
        <f t="shared" si="7"/>
        <v>delete from sscd_mast where sscd_idcd = 'host_dvcd_KOR_common'  and site_idcd = 'common';</v>
      </c>
      <c r="CB8" s="5" t="str">
        <f>IF(E8&lt;&gt;"",CREATE_QUERY($B$1,A$2:AA$2,A8:AA8),"")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('host_dvcd_KOR_common', 'KOR', 'common', 'host_dvcd', '서버운영구분', 'gb', '', '[["1","사내서버"],["2","외부자사서버"],["3","외부임대서버"],["4","외부클라우드"]]', '1:사내서버 2:외부자사서버 3:외부임대서버 4:외부클라우드', '', '1=사내서버|2=외부자사서버|3=외부임대서버|4=외부클라우드', '', '0', '0', '2', '0', 'host_dvcd 서버운영구분 [["1","사내서버"],["2","외부자사서버"],["3","외부임대서버"],["4","외부클라우드"]]', ' ', '', '', ' ', '', '', '', '', '', '');</v>
      </c>
    </row>
    <row r="9" spans="1:80" ht="17">
      <c r="A9" s="26" t="str">
        <f t="shared" si="0"/>
        <v>lang_dvcd_KOR_common</v>
      </c>
      <c r="B9" s="25" t="s">
        <v>27</v>
      </c>
      <c r="C9" s="25" t="str">
        <f t="shared" si="1"/>
        <v>common</v>
      </c>
      <c r="D9" s="25" t="s">
        <v>1</v>
      </c>
      <c r="E9" s="25" t="s">
        <v>117</v>
      </c>
      <c r="F9" s="25" t="str">
        <f t="shared" si="2"/>
        <v>gb</v>
      </c>
      <c r="G9" s="25"/>
      <c r="H9" s="35" t="str">
        <f t="shared" si="3"/>
        <v>[["KOR","한국어"],["ENG","영어"],["CHI","중국어"],["JPN","일본어"]]</v>
      </c>
      <c r="I9" s="35" t="str">
        <f t="shared" si="4"/>
        <v>KOR:한국어 ENG:영어 CHI:중국어 JPN:일본어</v>
      </c>
      <c r="J9" s="35"/>
      <c r="K9" s="35" t="str">
        <f t="shared" si="5"/>
        <v>KOR=한국어|ENG=영어|CHI=중국어|JPN=일본어</v>
      </c>
      <c r="L9" s="2"/>
      <c r="M9" s="36">
        <v>0</v>
      </c>
      <c r="N9" s="36">
        <v>0</v>
      </c>
      <c r="O9" s="36" t="s">
        <v>31</v>
      </c>
      <c r="P9" s="36" t="s">
        <v>31</v>
      </c>
      <c r="Q9" s="35" t="str">
        <f t="shared" si="6"/>
        <v>lang_dvcd 언어코드 [["KOR","한국어"],["ENG","영어"],["CHI","중국어"],["JPN","일본어"]]</v>
      </c>
      <c r="R9" s="2" t="s">
        <v>921</v>
      </c>
      <c r="S9" s="2"/>
      <c r="T9" s="2"/>
      <c r="U9" s="2" t="s">
        <v>32</v>
      </c>
      <c r="V9" s="2"/>
      <c r="W9" s="2"/>
      <c r="X9" s="2"/>
      <c r="Y9" s="2"/>
      <c r="Z9" s="2"/>
      <c r="AA9" s="2"/>
      <c r="AB9" s="29" t="s">
        <v>27</v>
      </c>
      <c r="AC9" s="25" t="s">
        <v>481</v>
      </c>
      <c r="AD9" s="29" t="s">
        <v>482</v>
      </c>
      <c r="AE9" s="25" t="s">
        <v>483</v>
      </c>
      <c r="AF9" s="29" t="s">
        <v>484</v>
      </c>
      <c r="AG9" s="25" t="s">
        <v>485</v>
      </c>
      <c r="AH9" s="29" t="s">
        <v>486</v>
      </c>
      <c r="AI9" s="25" t="s">
        <v>487</v>
      </c>
      <c r="AJ9" s="29"/>
      <c r="AK9" s="25"/>
      <c r="AL9" s="29"/>
      <c r="AM9" s="25"/>
      <c r="AN9" s="29"/>
      <c r="AO9" s="25"/>
      <c r="AP9" s="29"/>
      <c r="AQ9" s="25"/>
      <c r="AR9" s="29"/>
      <c r="AS9" s="25"/>
      <c r="AT9" s="29"/>
      <c r="AU9" s="25"/>
      <c r="AV9" s="29"/>
      <c r="AW9" s="25"/>
      <c r="AX9" s="29"/>
      <c r="AY9" s="25"/>
      <c r="AZ9" s="29"/>
      <c r="BA9" s="25"/>
      <c r="BB9" s="29"/>
      <c r="BC9" s="25"/>
      <c r="BD9" s="29"/>
      <c r="BE9" s="25"/>
      <c r="BF9" s="29"/>
      <c r="BG9" s="25"/>
      <c r="BH9" s="29"/>
      <c r="BI9" s="25"/>
      <c r="BJ9" s="29"/>
      <c r="BK9" s="25"/>
      <c r="BL9" s="29"/>
      <c r="BM9" s="25"/>
      <c r="BN9" s="29"/>
      <c r="BO9" s="25"/>
      <c r="BP9" s="29"/>
      <c r="BQ9" s="25"/>
      <c r="BR9" s="29"/>
      <c r="BS9" s="25"/>
      <c r="BT9" s="29"/>
      <c r="BU9" s="25"/>
      <c r="BV9" s="29"/>
      <c r="BW9" s="25"/>
      <c r="BX9" s="29"/>
      <c r="BY9" s="25"/>
      <c r="CA9" s="1" t="str">
        <f t="shared" si="7"/>
        <v>delete from sscd_mast where sscd_idcd = 'lang_dvcd_KOR_common'  and site_idcd = 'common';</v>
      </c>
      <c r="CB9" s="5" t="str">
        <f>IF(E9&lt;&gt;"",CREATE_QUERY($B$1,A$2:AA$2,A9:AA9),"")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('lang_dvcd_KOR_common', 'KOR', 'common', 'lang_dvcd', '언어코드', 'gb', '', '[["KOR","한국어"],["ENG","영어"],["CHI","중국어"],["JPN","일본어"]]', 'KOR:한국어 ENG:영어 CHI:중국어 JPN:일본어', '', 'KOR=한국어|ENG=영어|CHI=중국어|JPN=일본어', '', '0', '0', '0', '0', 'lang_dvcd 언어코드 [["KOR","한국어"],["ENG","영어"],["CHI","중국어"],["JPN","일본어"]]', ' ', '', '', ' ', '', '', '', '', '', '');</v>
      </c>
    </row>
    <row r="10" spans="1:80" ht="17">
      <c r="A10" s="26" t="str">
        <f t="shared" si="0"/>
        <v>contr_dvcd_KOR_common</v>
      </c>
      <c r="B10" s="25" t="s">
        <v>27</v>
      </c>
      <c r="C10" s="25" t="str">
        <f t="shared" si="1"/>
        <v>common</v>
      </c>
      <c r="D10" s="25" t="s">
        <v>131</v>
      </c>
      <c r="E10" s="25" t="s">
        <v>43</v>
      </c>
      <c r="F10" s="25" t="str">
        <f t="shared" si="2"/>
        <v>gb</v>
      </c>
      <c r="G10" s="25"/>
      <c r="H10" s="35" t="str">
        <f t="shared" si="3"/>
        <v>[["0000","기타"],["1000","유통"],["2000","외식"]]</v>
      </c>
      <c r="I10" s="35" t="str">
        <f t="shared" si="4"/>
        <v>0000:기타 1000:유통 2000:외식</v>
      </c>
      <c r="J10" s="35"/>
      <c r="K10" s="35" t="str">
        <f t="shared" si="5"/>
        <v>0000=기타|1000=유통|2000=외식</v>
      </c>
      <c r="L10" s="2"/>
      <c r="M10" s="36">
        <v>0</v>
      </c>
      <c r="N10" s="36">
        <v>0</v>
      </c>
      <c r="O10" s="36" t="s">
        <v>31</v>
      </c>
      <c r="P10" s="36" t="s">
        <v>31</v>
      </c>
      <c r="Q10" s="35" t="str">
        <f t="shared" si="6"/>
        <v>contr_dvcd 청약 구분 [["0000","기타"],["1000","유통"],["2000","외식"]]</v>
      </c>
      <c r="R10" s="2" t="s">
        <v>921</v>
      </c>
      <c r="S10" s="2"/>
      <c r="T10" s="2"/>
      <c r="U10" s="2" t="s">
        <v>32</v>
      </c>
      <c r="V10" s="2"/>
      <c r="W10" s="2"/>
      <c r="X10" s="2"/>
      <c r="Y10" s="2"/>
      <c r="Z10" s="2"/>
      <c r="AA10" s="2"/>
      <c r="AB10" s="32" t="s">
        <v>440</v>
      </c>
      <c r="AC10" s="27" t="s">
        <v>414</v>
      </c>
      <c r="AD10" s="32">
        <v>1000</v>
      </c>
      <c r="AE10" s="27" t="s">
        <v>550</v>
      </c>
      <c r="AF10" s="32">
        <v>2000</v>
      </c>
      <c r="AG10" s="27" t="s">
        <v>551</v>
      </c>
      <c r="AH10" s="32"/>
      <c r="AI10" s="27"/>
      <c r="AJ10" s="32"/>
      <c r="AK10" s="27"/>
      <c r="AL10" s="32"/>
      <c r="AM10" s="27"/>
      <c r="AN10" s="32"/>
      <c r="AO10" s="27"/>
      <c r="AP10" s="32"/>
      <c r="AQ10" s="27"/>
      <c r="AR10" s="32"/>
      <c r="AS10" s="27"/>
      <c r="AT10" s="32"/>
      <c r="AU10" s="27"/>
      <c r="AV10" s="32"/>
      <c r="AW10" s="27"/>
      <c r="AX10" s="32"/>
      <c r="AY10" s="27"/>
      <c r="AZ10" s="32"/>
      <c r="BA10" s="27"/>
      <c r="BB10" s="32"/>
      <c r="BC10" s="25"/>
      <c r="BD10" s="32"/>
      <c r="BE10" s="25"/>
      <c r="BF10" s="32"/>
      <c r="BG10" s="25"/>
      <c r="BH10" s="32"/>
      <c r="BI10" s="25"/>
      <c r="BJ10" s="32"/>
      <c r="BK10" s="25"/>
      <c r="BL10" s="32"/>
      <c r="BM10" s="25"/>
      <c r="BN10" s="32"/>
      <c r="BO10" s="25"/>
      <c r="BP10" s="32"/>
      <c r="BQ10" s="25"/>
      <c r="BR10" s="32"/>
      <c r="BS10" s="25"/>
      <c r="BT10" s="32"/>
      <c r="BU10" s="25"/>
      <c r="BV10" s="32"/>
      <c r="BW10" s="25"/>
      <c r="BX10" s="32"/>
      <c r="BY10" s="25"/>
      <c r="CA10" s="1" t="str">
        <f t="shared" si="7"/>
        <v>delete from sscd_mast where sscd_idcd = 'contr_dvcd_KOR_common'  and site_idcd = 'common';</v>
      </c>
      <c r="CB10" s="5" t="str">
        <f>IF(E10&lt;&gt;"",CREATE_QUERY($B$1,A$2:AA$2,A10:AA10),"")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('contr_dvcd_KOR_common', 'KOR', 'common', 'contr_dvcd', '청약 구분', 'gb', '', '[["0000","기타"],["1000","유통"],["2000","외식"]]', '0000:기타 1000:유통 2000:외식', '', '0000=기타|1000=유통|2000=외식', '', '0', '0', '0', '0', 'contr_dvcd 청약 구분 [["0000","기타"],["1000","유통"],["2000","외식"]]', ' ', '', '', ' ', '', '', '', '', '', '');</v>
      </c>
    </row>
    <row r="11" spans="1:80" ht="17">
      <c r="A11" s="26" t="str">
        <f t="shared" si="0"/>
        <v>rqust_stat_KOR_common</v>
      </c>
      <c r="B11" s="25" t="s">
        <v>27</v>
      </c>
      <c r="C11" s="25" t="str">
        <f t="shared" si="1"/>
        <v>common</v>
      </c>
      <c r="D11" s="25" t="s">
        <v>151</v>
      </c>
      <c r="E11" s="25" t="s">
        <v>93</v>
      </c>
      <c r="F11" s="25" t="str">
        <f t="shared" si="2"/>
        <v>gb</v>
      </c>
      <c r="G11" s="25"/>
      <c r="H11" s="35" t="str">
        <f t="shared" si="3"/>
        <v>[["0000","개통대기"],["1000","개통"],["2000","미납정지"],["3000","해지"],["4000","직권해지"],["5000","양도해지"]]</v>
      </c>
      <c r="I11" s="35" t="str">
        <f t="shared" si="4"/>
        <v>0000:개통대기 1000:개통 2000:미납정지 3000:해지 4000:직권해지 5000:양도해지</v>
      </c>
      <c r="J11" s="35"/>
      <c r="K11" s="35" t="str">
        <f t="shared" si="5"/>
        <v>0000=개통대기|1000=개통|2000=미납정지|3000=해지|4000=직권해지|5000=양도해지</v>
      </c>
      <c r="L11" s="2"/>
      <c r="M11" s="36">
        <v>0</v>
      </c>
      <c r="N11" s="36">
        <v>0</v>
      </c>
      <c r="O11" s="36" t="s">
        <v>31</v>
      </c>
      <c r="P11" s="36" t="s">
        <v>31</v>
      </c>
      <c r="Q11" s="35" t="str">
        <f t="shared" si="6"/>
        <v>rqust_stat 청약상태 [["0000","개통대기"],["1000","개통"],["2000","미납정지"],["3000","해지"],["4000","직권해지"],["5000","양도해지"]]</v>
      </c>
      <c r="R11" s="2" t="s">
        <v>921</v>
      </c>
      <c r="S11" s="2"/>
      <c r="T11" s="2"/>
      <c r="U11" s="2" t="s">
        <v>32</v>
      </c>
      <c r="V11" s="2"/>
      <c r="W11" s="2"/>
      <c r="X11" s="2"/>
      <c r="Y11" s="2"/>
      <c r="Z11" s="2"/>
      <c r="AA11" s="2"/>
      <c r="AB11" s="29" t="s">
        <v>440</v>
      </c>
      <c r="AC11" s="25" t="s">
        <v>441</v>
      </c>
      <c r="AD11" s="29">
        <v>1000</v>
      </c>
      <c r="AE11" s="25" t="s">
        <v>552</v>
      </c>
      <c r="AF11" s="29">
        <v>2000</v>
      </c>
      <c r="AG11" s="25" t="s">
        <v>442</v>
      </c>
      <c r="AH11" s="29">
        <v>3000</v>
      </c>
      <c r="AI11" s="25" t="s">
        <v>553</v>
      </c>
      <c r="AJ11" s="29">
        <v>4000</v>
      </c>
      <c r="AK11" s="25" t="s">
        <v>443</v>
      </c>
      <c r="AL11" s="29">
        <v>5000</v>
      </c>
      <c r="AM11" s="25" t="s">
        <v>554</v>
      </c>
      <c r="AN11" s="29"/>
      <c r="AO11" s="25"/>
      <c r="AP11" s="29"/>
      <c r="AQ11" s="25"/>
      <c r="AR11" s="29"/>
      <c r="AS11" s="25"/>
      <c r="AT11" s="29"/>
      <c r="AU11" s="25"/>
      <c r="AV11" s="29"/>
      <c r="AW11" s="25"/>
      <c r="AX11" s="29"/>
      <c r="AY11" s="25"/>
      <c r="AZ11" s="29"/>
      <c r="BA11" s="25"/>
      <c r="BB11" s="29"/>
      <c r="BC11" s="25"/>
      <c r="BD11" s="29"/>
      <c r="BE11" s="25"/>
      <c r="BF11" s="29"/>
      <c r="BG11" s="25"/>
      <c r="BH11" s="29"/>
      <c r="BI11" s="25"/>
      <c r="BJ11" s="29"/>
      <c r="BK11" s="25"/>
      <c r="BL11" s="29"/>
      <c r="BM11" s="25"/>
      <c r="BN11" s="29"/>
      <c r="BO11" s="25"/>
      <c r="BP11" s="29"/>
      <c r="BQ11" s="25"/>
      <c r="BR11" s="29"/>
      <c r="BS11" s="25"/>
      <c r="BT11" s="29"/>
      <c r="BU11" s="25"/>
      <c r="BV11" s="29"/>
      <c r="BW11" s="25"/>
      <c r="BX11" s="29"/>
      <c r="BY11" s="25"/>
      <c r="CA11" s="1" t="str">
        <f t="shared" si="7"/>
        <v>delete from sscd_mast where sscd_idcd = 'rqust_stat_KOR_common'  and site_idcd = 'common';</v>
      </c>
      <c r="CB11" s="5" t="str">
        <f>IF(E11&lt;&gt;"",CREATE_QUERY($B$1,A$2:AA$2,A11:AA11),"")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('rqust_stat_KOR_common', 'KOR', 'common', 'rqust_stat', '청약상태', 'gb', '', '[["0000","개통대기"],["1000","개통"],["2000","미납정지"],["3000","해지"],["4000","직권해지"],["5000","양도해지"]]', '0000:개통대기 1000:개통 2000:미납정지 3000:해지 4000:직권해지 5000:양도해지', '', '0000=개통대기|1000=개통|2000=미납정지|3000=해지|4000=직권해지|5000=양도해지', '', '0', '0', '0', '0', 'rqust_stat 청약상태 [["0000","개통대기"],["1000","개통"],["2000","미납정지"],["3000","해지"],["4000","직권해지"],["5000","양도해지"]]', ' ', '', '', ' ', '', '', '', '', '', '');</v>
      </c>
    </row>
    <row r="12" spans="1:80" ht="17">
      <c r="A12" s="26" t="str">
        <f t="shared" si="0"/>
        <v>protocol_KOR_common</v>
      </c>
      <c r="B12" s="25" t="s">
        <v>27</v>
      </c>
      <c r="C12" s="25" t="str">
        <f t="shared" si="1"/>
        <v>common</v>
      </c>
      <c r="D12" s="25" t="s">
        <v>85</v>
      </c>
      <c r="E12" s="25" t="s">
        <v>86</v>
      </c>
      <c r="F12" s="25" t="str">
        <f t="shared" si="2"/>
        <v>gb</v>
      </c>
      <c r="G12" s="25"/>
      <c r="H12" s="35" t="str">
        <f t="shared" si="3"/>
        <v>[["1","Active"],["2","Passive"]]</v>
      </c>
      <c r="I12" s="35" t="str">
        <f t="shared" si="4"/>
        <v>1:Active 2:Passive</v>
      </c>
      <c r="J12" s="35"/>
      <c r="K12" s="35" t="str">
        <f t="shared" si="5"/>
        <v>1=Active|2=Passive</v>
      </c>
      <c r="L12" s="2"/>
      <c r="M12" s="36">
        <v>0</v>
      </c>
      <c r="N12" s="36">
        <v>0</v>
      </c>
      <c r="O12" s="36" t="s">
        <v>31</v>
      </c>
      <c r="P12" s="36" t="s">
        <v>31</v>
      </c>
      <c r="Q12" s="35" t="str">
        <f t="shared" si="6"/>
        <v>protocol 프로토콜의 종류 [["1","Active"],["2","Passive"]]</v>
      </c>
      <c r="R12" s="2" t="s">
        <v>921</v>
      </c>
      <c r="S12" s="2"/>
      <c r="T12" s="2"/>
      <c r="U12" s="2" t="s">
        <v>32</v>
      </c>
      <c r="V12" s="2"/>
      <c r="W12" s="2"/>
      <c r="X12" s="2"/>
      <c r="Y12" s="2"/>
      <c r="Z12" s="2"/>
      <c r="AA12" s="2"/>
      <c r="AB12" s="28" t="s">
        <v>684</v>
      </c>
      <c r="AC12" s="25" t="s">
        <v>555</v>
      </c>
      <c r="AD12" s="28" t="s">
        <v>685</v>
      </c>
      <c r="AE12" s="25" t="s">
        <v>556</v>
      </c>
      <c r="AF12" s="28"/>
      <c r="AG12" s="25"/>
      <c r="AH12" s="28"/>
      <c r="AI12" s="25"/>
      <c r="AJ12" s="28"/>
      <c r="AK12" s="25"/>
      <c r="AL12" s="28"/>
      <c r="AM12" s="25"/>
      <c r="AN12" s="28"/>
      <c r="AO12" s="25"/>
      <c r="AP12" s="28"/>
      <c r="AQ12" s="25"/>
      <c r="AR12" s="28"/>
      <c r="AS12" s="25"/>
      <c r="AT12" s="28"/>
      <c r="AU12" s="25"/>
      <c r="AV12" s="28"/>
      <c r="AW12" s="25"/>
      <c r="AX12" s="28"/>
      <c r="AY12" s="25"/>
      <c r="AZ12" s="28"/>
      <c r="BA12" s="25"/>
      <c r="BB12" s="28"/>
      <c r="BC12" s="25"/>
      <c r="BD12" s="28"/>
      <c r="BE12" s="25"/>
      <c r="BF12" s="28"/>
      <c r="BG12" s="25"/>
      <c r="BH12" s="28"/>
      <c r="BI12" s="25"/>
      <c r="BJ12" s="28"/>
      <c r="BK12" s="25"/>
      <c r="BL12" s="28"/>
      <c r="BM12" s="25"/>
      <c r="BN12" s="28"/>
      <c r="BO12" s="25"/>
      <c r="BP12" s="28"/>
      <c r="BQ12" s="25"/>
      <c r="BR12" s="28"/>
      <c r="BS12" s="25"/>
      <c r="BT12" s="28"/>
      <c r="BU12" s="25"/>
      <c r="BV12" s="28"/>
      <c r="BW12" s="25"/>
      <c r="BX12" s="28"/>
      <c r="BY12" s="25"/>
      <c r="CA12" s="1" t="str">
        <f t="shared" si="7"/>
        <v>delete from sscd_mast where sscd_idcd = 'protocol_KOR_common'  and site_idcd = 'common';</v>
      </c>
      <c r="CB12" s="5" t="str">
        <f>IF(E12&lt;&gt;"",CREATE_QUERY($B$1,A$2:AA$2,A12:AA12),"")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('protocol_KOR_common', 'KOR', 'common', 'protocol', '프로토콜의 종류', 'gb', '', '[["1","Active"],["2","Passive"]]', '1:Active 2:Passive', '', '1=Active|2=Passive', '', '0', '0', '0', '0', 'protocol 프로토콜의 종류 [["1","Active"],["2","Passive"]]', ' ', '', '', ' ', '', '', '', '', '', '');</v>
      </c>
    </row>
    <row r="13" spans="1:80" ht="17">
      <c r="A13" s="3" t="str">
        <f t="shared" ca="1" si="0"/>
        <v>ftp_provider_KOR_common</v>
      </c>
      <c r="B13" s="2" t="str">
        <f ca="1">IF(E13="","",OFFSET(B13,-1,0))</f>
        <v>KOR</v>
      </c>
      <c r="C13" s="25" t="str">
        <f t="shared" si="1"/>
        <v>common</v>
      </c>
      <c r="D13" s="25" t="s">
        <v>2464</v>
      </c>
      <c r="E13" s="25" t="s">
        <v>2465</v>
      </c>
      <c r="F13" s="25" t="str">
        <f t="shared" ca="1" si="2"/>
        <v>gb</v>
      </c>
      <c r="G13" s="25"/>
      <c r="H13" s="35" t="str">
        <f t="shared" si="3"/>
        <v>[["nftp","nftp"],["sftp","sftp"]]</v>
      </c>
      <c r="I13" s="35" t="str">
        <f t="shared" si="4"/>
        <v>nftp:nftp sftp:sftp</v>
      </c>
      <c r="J13" s="35"/>
      <c r="K13" s="35" t="str">
        <f t="shared" si="5"/>
        <v>nftp=nftp|sftp=sftp</v>
      </c>
      <c r="L13" s="2"/>
      <c r="M13" s="36" t="str">
        <f ca="1">IF(A13="","","0")</f>
        <v>0</v>
      </c>
      <c r="N13" s="36" t="str">
        <f ca="1">IF(B13="","","0")</f>
        <v>0</v>
      </c>
      <c r="O13" s="36" t="str">
        <f>IF(C13="","","0")</f>
        <v>0</v>
      </c>
      <c r="P13" s="36" t="str">
        <f>IF(D13="","","0")</f>
        <v>0</v>
      </c>
      <c r="Q13" s="35" t="str">
        <f t="shared" si="6"/>
        <v>ftp_provider ftp접속방식 [["nftp","nftp"],["sftp","sftp"]]</v>
      </c>
      <c r="R13" s="2" t="s">
        <v>921</v>
      </c>
      <c r="S13" s="2"/>
      <c r="T13" s="2"/>
      <c r="U13" s="2"/>
      <c r="V13" s="2"/>
      <c r="W13" s="2"/>
      <c r="X13" s="2"/>
      <c r="Y13" s="2"/>
      <c r="Z13" s="2"/>
      <c r="AA13" s="2"/>
      <c r="AB13" s="30" t="s">
        <v>2466</v>
      </c>
      <c r="AC13" s="25" t="s">
        <v>2466</v>
      </c>
      <c r="AD13" s="30" t="s">
        <v>2467</v>
      </c>
      <c r="AE13" s="25" t="s">
        <v>2467</v>
      </c>
      <c r="AF13" s="30"/>
      <c r="AG13" s="25"/>
      <c r="AH13" s="30"/>
      <c r="AI13" s="25"/>
      <c r="AJ13" s="30"/>
      <c r="AK13" s="25"/>
      <c r="AL13" s="30"/>
      <c r="AM13" s="25"/>
      <c r="AN13" s="30"/>
      <c r="AO13" s="25"/>
      <c r="AP13" s="30"/>
      <c r="AQ13" s="25"/>
      <c r="AR13" s="30"/>
      <c r="AS13" s="25"/>
      <c r="AT13" s="30"/>
      <c r="AU13" s="25"/>
      <c r="AV13" s="30"/>
      <c r="AW13" s="25"/>
      <c r="AX13" s="30"/>
      <c r="AY13" s="25"/>
      <c r="AZ13" s="30"/>
      <c r="BA13" s="25"/>
      <c r="BB13" s="30"/>
      <c r="BC13" s="25"/>
      <c r="BD13" s="30"/>
      <c r="BE13" s="25"/>
      <c r="BF13" s="30"/>
      <c r="BG13" s="25"/>
      <c r="BH13" s="30"/>
      <c r="BI13" s="25"/>
      <c r="BJ13" s="30"/>
      <c r="BK13" s="25"/>
      <c r="BL13" s="30"/>
      <c r="BM13" s="25"/>
      <c r="BN13" s="30"/>
      <c r="BO13" s="25"/>
      <c r="BP13" s="30"/>
      <c r="BQ13" s="25"/>
      <c r="BR13" s="30"/>
      <c r="BS13" s="25"/>
      <c r="BT13" s="30"/>
      <c r="BU13" s="25"/>
      <c r="BV13" s="30"/>
      <c r="BW13" s="25"/>
      <c r="BX13" s="30"/>
      <c r="BY13" s="25"/>
      <c r="CA13" s="1" t="str">
        <f t="shared" ca="1" si="7"/>
        <v>delete from sscd_mast where sscd_idcd = 'ftp_provider_KOR_common'  and site_idcd = 'common';</v>
      </c>
      <c r="CB13" s="5" t="str">
        <f ca="1">IF(E13&lt;&gt;"",CREATE_QUERY($B$1,A$2:AA$2,A13:AA13),"")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('ftp_provider_KOR_common', 'KOR', 'common', 'ftp_provider', 'ftp접속방식', 'gb', '', '[["nftp","nftp"],["sftp","sftp"]]', 'nftp:nftp sftp:sftp', '', 'nftp=nftp|sftp=sftp', '', '0', '0', '0', '0', 'ftp_provider ftp접속방식 [["nftp","nftp"],["sftp","sftp"]]', ' ', '', '', '', '', '', '', '', '', '');</v>
      </c>
    </row>
    <row r="14" spans="1:80" ht="17">
      <c r="A14" s="26" t="str">
        <f>IF(D14="","",D14&amp;"_"&amp;B14&amp;"_"&amp;C14)</f>
        <v>sync_dvcd_KOR_common</v>
      </c>
      <c r="B14" s="25" t="s">
        <v>27</v>
      </c>
      <c r="C14" s="25" t="str">
        <f>IF(E14="","","common")</f>
        <v>common</v>
      </c>
      <c r="D14" s="25" t="s">
        <v>142</v>
      </c>
      <c r="E14" s="25" t="s">
        <v>47</v>
      </c>
      <c r="F14" s="25" t="str">
        <f>IF(A14="","","gb")</f>
        <v>gb</v>
      </c>
      <c r="G14" s="25"/>
      <c r="H14" s="35" t="str">
        <f>"[["""&amp;
SUBSTITUTE(SUBSTITUTE(I14,":",""",""")," ","""],[""")
&amp;"""]]"</f>
        <v>[["0","연동안함"],["1","에이젼트"],["2","즉시연동"]]</v>
      </c>
      <c r="I14" s="35" t="str">
        <f>IF(AB14="","",AB14&amp;":"&amp;AC14)&amp;
IF(AD14="",""," "&amp;AD14&amp;":"&amp;AE14)&amp;
IF(AF14="",""," "&amp;AF14&amp;":"&amp;AG14)&amp;
IF(AH14="",""," "&amp;AH14&amp;":"&amp;AI14)&amp;
IF(AJ14="",""," "&amp;AJ14&amp;":"&amp;AK14)&amp;
IF(AL14="",""," "&amp;AL14&amp;":"&amp;AM14)&amp;
IF(AN14="",""," "&amp;AN14&amp;":"&amp;AO14)&amp;
IF(AP14="",""," "&amp;AP14&amp;":"&amp;AQ14)&amp;
IF(AR14="",""," "&amp;AR14&amp;":"&amp;AS14)&amp;
IF(AT14="",""," "&amp;AT14&amp;":"&amp;AU14)&amp;
IF(AV14="",""," "&amp;AV14&amp;":"&amp;AW14)&amp;
IF(AX14="",""," "&amp;AX14&amp;":"&amp;AY14)&amp;
IF(AZ14="",""," "&amp;AZ14&amp;":"&amp;BA14)&amp;
IF(BB14="",""," "&amp;BB14&amp;":"&amp;BC14)&amp;
IF(BD14="",""," "&amp;BD14&amp;":"&amp;BE14)&amp;
IF(BF14="",""," "&amp;BF14&amp;":"&amp;BG14)&amp;
IF(BH14="",""," "&amp;BH14&amp;":"&amp;BI14)&amp;
IF(BJ14="",""," "&amp;BJ14&amp;":"&amp;BK14)&amp;
IF(BL14="",""," "&amp;BL14&amp;":"&amp;BM14)&amp;
IF(BN14="",""," "&amp;BN14&amp;":"&amp;BO14)&amp;
IF(BP14="",""," "&amp;BP14&amp;":"&amp;BS14)&amp;
IF(BZ14="",""," "&amp;BZ14&amp;":"&amp;CA14)</f>
        <v>0:연동안함 1:에이젼트 2:즉시연동</v>
      </c>
      <c r="J14" s="35"/>
      <c r="K14" s="35" t="str">
        <f>IF(AB14="","",AB14&amp;"="&amp;AC14)&amp;
IF(AD14="","","|"&amp;AD14&amp;"="&amp;AE14)&amp;
IF(AF14="","","|"&amp;AF14&amp;"="&amp;AG14)&amp;
IF(AH14="","","|"&amp;AH14&amp;"="&amp;AI14)&amp;
IF(AJ14="","","|"&amp;AJ14&amp;"="&amp;AK14)&amp;
IF(AL14="","","|"&amp;AL14&amp;"="&amp;AM14)&amp;
IF(AN14="","","|"&amp;AN14&amp;"="&amp;AO14)&amp;
IF(AP14="","","|"&amp;AP14&amp;"="&amp;AQ14)&amp;
IF(AR14="","","|"&amp;AR14&amp;"="&amp;AS14)&amp;
IF(AT14="","","|"&amp;AT14&amp;"="&amp;AU14)&amp;
IF(AV14="","","|"&amp;AV14&amp;"="&amp;AW14)&amp;
IF(AX14="","","|"&amp;AX14&amp;"="&amp;AY14)&amp;
IF(AZ14="","","|"&amp;AZ14&amp;"="&amp;BA14)&amp;
IF(BB14="","","|"&amp;BB14&amp;"="&amp;BC14)&amp;
IF(BD14="","","|"&amp;BD14&amp;"="&amp;BE14)&amp;
IF(BF14="","","|"&amp;BF14&amp;"="&amp;BG14)&amp;
IF(BH14="","","|"&amp;BH14&amp;"="&amp;BI14)&amp;
IF(BJ14="","","|"&amp;BJ14&amp;"="&amp;BK14)&amp;
IF(BL14="","","|"&amp;BL14&amp;"="&amp;BM14)&amp;
IF(BN14="","","|"&amp;BN14&amp;"="&amp;BO14)&amp;
IF(BP14="","","|"&amp;BP14&amp;"="&amp;BQ14)&amp;
IF(BR14="","","|"&amp;BR14&amp;"="&amp;BS14)&amp;
IF(BT14="","","|"&amp;BT14&amp;"="&amp;BU14)&amp;
IF(BV14="","","|"&amp;BV14&amp;"="&amp;BW14)&amp;
IF(BX14="","","|"&amp;BX14&amp;"="&amp;BY14)</f>
        <v>0=연동안함|1=에이젼트|2=즉시연동</v>
      </c>
      <c r="L14" s="2"/>
      <c r="M14" s="36">
        <v>0</v>
      </c>
      <c r="N14" s="36">
        <v>0</v>
      </c>
      <c r="O14" s="36" t="s">
        <v>31</v>
      </c>
      <c r="P14" s="36" t="s">
        <v>31</v>
      </c>
      <c r="Q14" s="35" t="str">
        <f>IF(D14="","",D14&amp;" "&amp;E14&amp;" "&amp;H14)</f>
        <v>sync_dvcd 연동 방식 [["0","연동안함"],["1","에이젼트"],["2","즉시연동"]]</v>
      </c>
      <c r="R14" s="2" t="s">
        <v>921</v>
      </c>
      <c r="S14" s="2"/>
      <c r="T14" s="2"/>
      <c r="U14" s="2" t="s">
        <v>32</v>
      </c>
      <c r="V14" s="2"/>
      <c r="W14" s="2"/>
      <c r="X14" s="2"/>
      <c r="Y14" s="2"/>
      <c r="Z14" s="2"/>
      <c r="AA14" s="2"/>
      <c r="AB14" s="29" t="s">
        <v>31</v>
      </c>
      <c r="AC14" s="25" t="s">
        <v>492</v>
      </c>
      <c r="AD14" s="29">
        <v>1</v>
      </c>
      <c r="AE14" s="25" t="s">
        <v>493</v>
      </c>
      <c r="AF14" s="29">
        <v>2</v>
      </c>
      <c r="AG14" s="25" t="s">
        <v>494</v>
      </c>
      <c r="AH14" s="29"/>
      <c r="AI14" s="25"/>
      <c r="AJ14" s="29"/>
      <c r="AK14" s="25"/>
      <c r="AL14" s="29"/>
      <c r="AM14" s="25"/>
      <c r="AN14" s="29"/>
      <c r="AO14" s="25"/>
      <c r="AP14" s="29"/>
      <c r="AQ14" s="25"/>
      <c r="AR14" s="29"/>
      <c r="AS14" s="25"/>
      <c r="AT14" s="29"/>
      <c r="AU14" s="25"/>
      <c r="AV14" s="29"/>
      <c r="AW14" s="25"/>
      <c r="AX14" s="29"/>
      <c r="AY14" s="25"/>
      <c r="AZ14" s="29"/>
      <c r="BA14" s="25"/>
      <c r="BB14" s="29"/>
      <c r="BC14" s="25"/>
      <c r="BD14" s="29"/>
      <c r="BE14" s="25"/>
      <c r="BF14" s="29"/>
      <c r="BG14" s="25"/>
      <c r="BH14" s="29"/>
      <c r="BI14" s="25"/>
      <c r="BJ14" s="29"/>
      <c r="BK14" s="25"/>
      <c r="BL14" s="29"/>
      <c r="BM14" s="25"/>
      <c r="BN14" s="29"/>
      <c r="BO14" s="25"/>
      <c r="BP14" s="29"/>
      <c r="BQ14" s="25"/>
      <c r="BR14" s="29"/>
      <c r="BS14" s="25"/>
      <c r="BT14" s="29"/>
      <c r="BU14" s="25"/>
      <c r="BV14" s="29"/>
      <c r="BW14" s="25"/>
      <c r="BX14" s="29"/>
      <c r="BY14" s="25"/>
      <c r="CA14" s="1" t="str">
        <f>IF(A14="","","delete from sscd_mast where sscd_idcd = '"&amp;A14&amp;"'  and site_idcd = '"&amp;C14&amp;"';")</f>
        <v>delete from sscd_mast where sscd_idcd = 'sync_dvcd_KOR_common'  and site_idcd = 'common';</v>
      </c>
      <c r="CB14" s="5" t="str">
        <f>IF(E14&lt;&gt;"",CREATE_QUERY($B$1,A$2:AA$2,A14:AA14),"")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('sync_dvcd_KOR_common', 'KOR', 'common', 'sync_dvcd', '연동 방식', 'gb', '', '[["0","연동안함"],["1","에이젼트"],["2","즉시연동"]]', '0:연동안함 1:에이젼트 2:즉시연동', '', '0=연동안함|1=에이젼트|2=즉시연동', '', '0', '0', '0', '0', 'sync_dvcd 연동 방식 [["0","연동안함"],["1","에이젼트"],["2","즉시연동"]]', ' ', '', '', ' ', '', '', '', '', '', '');</v>
      </c>
    </row>
    <row r="15" spans="1:80" ht="17">
      <c r="A15" s="26" t="str">
        <f t="shared" si="0"/>
        <v>cert_dvcd_KOR_common</v>
      </c>
      <c r="B15" s="25" t="s">
        <v>27</v>
      </c>
      <c r="C15" s="25" t="str">
        <f t="shared" si="1"/>
        <v>common</v>
      </c>
      <c r="D15" s="25" t="s">
        <v>130</v>
      </c>
      <c r="E15" s="25" t="s">
        <v>45</v>
      </c>
      <c r="F15" s="25" t="str">
        <f t="shared" si="2"/>
        <v>gb</v>
      </c>
      <c r="G15" s="25"/>
      <c r="H15" s="35" t="str">
        <f t="shared" si="3"/>
        <v>[["1000","웹서버보안인증서"],["2000","애플릿서명인증서","green"]]</v>
      </c>
      <c r="I15" s="35" t="str">
        <f t="shared" si="4"/>
        <v>1000:웹서버보안인증서 2000:애플릿서명인증서:green</v>
      </c>
      <c r="J15" s="35"/>
      <c r="K15" s="35" t="str">
        <f t="shared" si="5"/>
        <v>1000=웹서버보안인증서|2000=애플릿서명인증서:green</v>
      </c>
      <c r="L15" s="2"/>
      <c r="M15" s="36">
        <v>0</v>
      </c>
      <c r="N15" s="36">
        <v>0</v>
      </c>
      <c r="O15" s="36" t="s">
        <v>31</v>
      </c>
      <c r="P15" s="36" t="s">
        <v>31</v>
      </c>
      <c r="Q15" s="35" t="str">
        <f t="shared" si="6"/>
        <v>cert_dvcd 인증서 구분 [["1000","웹서버보안인증서"],["2000","애플릿서명인증서","green"]]</v>
      </c>
      <c r="R15" s="2" t="s">
        <v>921</v>
      </c>
      <c r="S15" s="2"/>
      <c r="T15" s="2"/>
      <c r="U15" s="2" t="s">
        <v>32</v>
      </c>
      <c r="V15" s="2"/>
      <c r="W15" s="2"/>
      <c r="X15" s="2"/>
      <c r="Y15" s="2"/>
      <c r="Z15" s="2"/>
      <c r="AA15" s="2"/>
      <c r="AB15" s="29" t="s">
        <v>591</v>
      </c>
      <c r="AC15" s="25" t="s">
        <v>622</v>
      </c>
      <c r="AD15" s="29" t="s">
        <v>623</v>
      </c>
      <c r="AE15" s="25" t="s">
        <v>624</v>
      </c>
      <c r="AF15" s="29"/>
      <c r="AG15" s="25"/>
      <c r="AH15" s="29"/>
      <c r="AI15" s="25"/>
      <c r="AJ15" s="29"/>
      <c r="AK15" s="25"/>
      <c r="AL15" s="29"/>
      <c r="AM15" s="25"/>
      <c r="AN15" s="29"/>
      <c r="AO15" s="25"/>
      <c r="AP15" s="29"/>
      <c r="AQ15" s="25"/>
      <c r="AR15" s="29"/>
      <c r="AS15" s="25"/>
      <c r="AT15" s="29"/>
      <c r="AU15" s="25"/>
      <c r="AV15" s="29"/>
      <c r="AW15" s="25"/>
      <c r="AX15" s="29"/>
      <c r="AY15" s="25"/>
      <c r="AZ15" s="29"/>
      <c r="BA15" s="25"/>
      <c r="BB15" s="29"/>
      <c r="BC15" s="25"/>
      <c r="BD15" s="29"/>
      <c r="BE15" s="25"/>
      <c r="BF15" s="29"/>
      <c r="BG15" s="25"/>
      <c r="BH15" s="29"/>
      <c r="BI15" s="25"/>
      <c r="BJ15" s="29"/>
      <c r="BK15" s="25"/>
      <c r="BL15" s="29"/>
      <c r="BM15" s="25"/>
      <c r="BN15" s="29"/>
      <c r="BO15" s="25"/>
      <c r="BP15" s="29"/>
      <c r="BQ15" s="25"/>
      <c r="BR15" s="29"/>
      <c r="BS15" s="25"/>
      <c r="BT15" s="29"/>
      <c r="BU15" s="25"/>
      <c r="BV15" s="29"/>
      <c r="BW15" s="25"/>
      <c r="BX15" s="29"/>
      <c r="BY15" s="25"/>
      <c r="CA15" s="1" t="str">
        <f t="shared" si="7"/>
        <v>delete from sscd_mast where sscd_idcd = 'cert_dvcd_KOR_common'  and site_idcd = 'common';</v>
      </c>
      <c r="CB15" s="5" t="str">
        <f>IF(E15&lt;&gt;"",CREATE_QUERY($B$1,A$2:AA$2,A15:AA15),"")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('cert_dvcd_KOR_common', 'KOR', 'common', 'cert_dvcd', '인증서 구분', 'gb', '', '[["1000","웹서버보안인증서"],["2000","애플릿서명인증서","green"]]', '1000:웹서버보안인증서 2000:애플릿서명인증서:green', '', '1000=웹서버보안인증서|2000=애플릿서명인증서:green', '', '0', '0', '0', '0', 'cert_dvcd 인증서 구분 [["1000","웹서버보안인증서"],["2000","애플릿서명인증서","green"]]', ' ', '', '', ' ', '', '', '', '', '', '');</v>
      </c>
    </row>
    <row r="16" spans="1:80" ht="17">
      <c r="A16" s="26" t="str">
        <f>IF(D16="","",D16&amp;"_"&amp;B16&amp;"_"&amp;C16)</f>
        <v>auth_dvcd_KOR_common</v>
      </c>
      <c r="B16" s="25" t="s">
        <v>27</v>
      </c>
      <c r="C16" s="25" t="str">
        <f>IF(E16="","","common")</f>
        <v>common</v>
      </c>
      <c r="D16" s="25" t="s">
        <v>123</v>
      </c>
      <c r="E16" s="25" t="s">
        <v>112</v>
      </c>
      <c r="F16" s="25" t="str">
        <f>IF(A16="","","gb")</f>
        <v>gb</v>
      </c>
      <c r="G16" s="25"/>
      <c r="H16" s="35" t="str">
        <f>"[["""&amp;
SUBSTITUTE(SUBSTITUTE(I16,":",""",""")," ","""],[""")
&amp;"""]]"</f>
        <v>[["01","조회"],["2","갱신"]]</v>
      </c>
      <c r="I16" s="35" t="str">
        <f>IF(AB16="","",AB16&amp;":"&amp;AC16)&amp;
IF(AD16="",""," "&amp;AD16&amp;":"&amp;AE16)&amp;
IF(AF16="",""," "&amp;AF16&amp;":"&amp;AG16)&amp;
IF(AH16="",""," "&amp;AH16&amp;":"&amp;AI16)&amp;
IF(AJ16="",""," "&amp;AJ16&amp;":"&amp;AK16)&amp;
IF(AL16="",""," "&amp;AL16&amp;":"&amp;AM16)&amp;
IF(AN16="",""," "&amp;AN16&amp;":"&amp;AO16)&amp;
IF(AP16="",""," "&amp;AP16&amp;":"&amp;AQ16)&amp;
IF(AR16="",""," "&amp;AR16&amp;":"&amp;AS16)&amp;
IF(AT16="",""," "&amp;AT16&amp;":"&amp;AU16)&amp;
IF(AV16="",""," "&amp;AV16&amp;":"&amp;AW16)&amp;
IF(AX16="",""," "&amp;AX16&amp;":"&amp;AY16)&amp;
IF(AZ16="",""," "&amp;AZ16&amp;":"&amp;BA16)&amp;
IF(BB16="",""," "&amp;BB16&amp;":"&amp;BC16)&amp;
IF(BD16="",""," "&amp;BD16&amp;":"&amp;BE16)&amp;
IF(BF16="",""," "&amp;BF16&amp;":"&amp;BG16)&amp;
IF(BH16="",""," "&amp;BH16&amp;":"&amp;BI16)&amp;
IF(BJ16="",""," "&amp;BJ16&amp;":"&amp;BK16)&amp;
IF(BL16="",""," "&amp;BL16&amp;":"&amp;BM16)&amp;
IF(BN16="",""," "&amp;BN16&amp;":"&amp;BO16)&amp;
IF(BP16="",""," "&amp;BP16&amp;":"&amp;BS16)&amp;
IF(BZ16="",""," "&amp;BZ16&amp;":"&amp;CA16)</f>
        <v>01:조회 2:갱신</v>
      </c>
      <c r="J16" s="35"/>
      <c r="K16" s="35" t="str">
        <f>IF(AB16="","",AB16&amp;"="&amp;AC16)&amp;
IF(AD16="","","|"&amp;AD16&amp;"="&amp;AE16)&amp;
IF(AF16="","","|"&amp;AF16&amp;"="&amp;AG16)&amp;
IF(AH16="","","|"&amp;AH16&amp;"="&amp;AI16)&amp;
IF(AJ16="","","|"&amp;AJ16&amp;"="&amp;AK16)&amp;
IF(AL16="","","|"&amp;AL16&amp;"="&amp;AM16)&amp;
IF(AN16="","","|"&amp;AN16&amp;"="&amp;AO16)&amp;
IF(AP16="","","|"&amp;AP16&amp;"="&amp;AQ16)&amp;
IF(AR16="","","|"&amp;AR16&amp;"="&amp;AS16)&amp;
IF(AT16="","","|"&amp;AT16&amp;"="&amp;AU16)&amp;
IF(AV16="","","|"&amp;AV16&amp;"="&amp;AW16)&amp;
IF(AX16="","","|"&amp;AX16&amp;"="&amp;AY16)&amp;
IF(AZ16="","","|"&amp;AZ16&amp;"="&amp;BA16)&amp;
IF(BB16="","","|"&amp;BB16&amp;"="&amp;BC16)&amp;
IF(BD16="","","|"&amp;BD16&amp;"="&amp;BE16)&amp;
IF(BF16="","","|"&amp;BF16&amp;"="&amp;BG16)&amp;
IF(BH16="","","|"&amp;BH16&amp;"="&amp;BI16)&amp;
IF(BJ16="","","|"&amp;BJ16&amp;"="&amp;BK16)&amp;
IF(BL16="","","|"&amp;BL16&amp;"="&amp;BM16)&amp;
IF(BN16="","","|"&amp;BN16&amp;"="&amp;BO16)&amp;
IF(BP16="","","|"&amp;BP16&amp;"="&amp;BQ16)&amp;
IF(BR16="","","|"&amp;BR16&amp;"="&amp;BS16)&amp;
IF(BT16="","","|"&amp;BT16&amp;"="&amp;BU16)&amp;
IF(BV16="","","|"&amp;BV16&amp;"="&amp;BW16)&amp;
IF(BX16="","","|"&amp;BX16&amp;"="&amp;BY16)</f>
        <v>01=조회|2=갱신</v>
      </c>
      <c r="L16" s="2"/>
      <c r="M16" s="36">
        <v>0</v>
      </c>
      <c r="N16" s="36">
        <v>0</v>
      </c>
      <c r="O16" s="36" t="s">
        <v>31</v>
      </c>
      <c r="P16" s="36" t="s">
        <v>31</v>
      </c>
      <c r="Q16" s="35" t="str">
        <f>IF(D16="","",D16&amp;" "&amp;E16&amp;" "&amp;H16)</f>
        <v>auth_dvcd 권한구분 [["01","조회"],["2","갱신"]]</v>
      </c>
      <c r="R16" s="2" t="s">
        <v>921</v>
      </c>
      <c r="S16" s="2"/>
      <c r="T16" s="2"/>
      <c r="U16" s="2" t="s">
        <v>32</v>
      </c>
      <c r="V16" s="2"/>
      <c r="W16" s="2"/>
      <c r="X16" s="2"/>
      <c r="Y16" s="2"/>
      <c r="Z16" s="2"/>
      <c r="AA16" s="2"/>
      <c r="AB16" s="29" t="s">
        <v>407</v>
      </c>
      <c r="AC16" s="25" t="s">
        <v>421</v>
      </c>
      <c r="AD16" s="29">
        <v>2</v>
      </c>
      <c r="AE16" s="25" t="s">
        <v>422</v>
      </c>
      <c r="AF16" s="29"/>
      <c r="AG16" s="25"/>
      <c r="AH16" s="29"/>
      <c r="AI16" s="25"/>
      <c r="AJ16" s="29"/>
      <c r="AK16" s="25"/>
      <c r="AL16" s="29"/>
      <c r="AM16" s="25"/>
      <c r="AN16" s="29"/>
      <c r="AO16" s="25"/>
      <c r="AP16" s="29"/>
      <c r="AQ16" s="25"/>
      <c r="AR16" s="29"/>
      <c r="AS16" s="25"/>
      <c r="AT16" s="29"/>
      <c r="AU16" s="25"/>
      <c r="AV16" s="29"/>
      <c r="AW16" s="25"/>
      <c r="AX16" s="29"/>
      <c r="AY16" s="25"/>
      <c r="AZ16" s="29"/>
      <c r="BA16" s="25"/>
      <c r="BB16" s="29"/>
      <c r="BC16" s="25"/>
      <c r="BD16" s="29"/>
      <c r="BE16" s="25"/>
      <c r="BF16" s="29"/>
      <c r="BG16" s="25"/>
      <c r="BH16" s="29"/>
      <c r="BI16" s="25"/>
      <c r="BJ16" s="29"/>
      <c r="BK16" s="25"/>
      <c r="BL16" s="29"/>
      <c r="BM16" s="25"/>
      <c r="BN16" s="29"/>
      <c r="BO16" s="25"/>
      <c r="BP16" s="29"/>
      <c r="BQ16" s="25"/>
      <c r="BR16" s="29"/>
      <c r="BS16" s="25"/>
      <c r="BT16" s="29"/>
      <c r="BU16" s="25"/>
      <c r="BV16" s="29"/>
      <c r="BW16" s="25"/>
      <c r="BX16" s="29"/>
      <c r="BY16" s="25"/>
      <c r="CA16" s="1" t="str">
        <f>IF(A16="","","delete from sscd_mast where sscd_idcd = '"&amp;A16&amp;"'  and site_idcd = '"&amp;C16&amp;"';")</f>
        <v>delete from sscd_mast where sscd_idcd = 'auth_dvcd_KOR_common'  and site_idcd = 'common';</v>
      </c>
      <c r="CB16" s="5" t="str">
        <f>IF(E16&lt;&gt;"",CREATE_QUERY($B$1,A$2:AA$2,A16:AA16),"")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('auth_dvcd_KOR_common', 'KOR', 'common', 'auth_dvcd', '권한구분', 'gb', '', '[["01","조회"],["2","갱신"]]', '01:조회 2:갱신', '', '01=조회|2=갱신', '', '0', '0', '0', '0', 'auth_dvcd 권한구분 [["01","조회"],["2","갱신"]]', ' ', '', '', ' ', '', '', '', '', '', '');</v>
      </c>
    </row>
    <row r="17" spans="1:115" ht="17">
      <c r="A17" s="26" t="str">
        <f t="shared" si="0"/>
        <v>server_os_KOR_common</v>
      </c>
      <c r="B17" s="25" t="s">
        <v>27</v>
      </c>
      <c r="C17" s="25" t="str">
        <f t="shared" si="1"/>
        <v>common</v>
      </c>
      <c r="D17" s="25" t="s">
        <v>41</v>
      </c>
      <c r="E17" s="25" t="s">
        <v>42</v>
      </c>
      <c r="F17" s="25" t="str">
        <f t="shared" si="2"/>
        <v>gb</v>
      </c>
      <c r="G17" s="25"/>
      <c r="H17" s="35" t="str">
        <f t="shared" si="3"/>
        <v>[["X",""],["1","리눅스"],["Z","윈도우"]]</v>
      </c>
      <c r="I17" s="35" t="str">
        <f t="shared" si="4"/>
        <v>X: 1:리눅스 Z:윈도우</v>
      </c>
      <c r="J17" s="35"/>
      <c r="K17" s="35" t="str">
        <f t="shared" si="5"/>
        <v>X=|1=리눅스|Z=윈도우</v>
      </c>
      <c r="L17" s="2"/>
      <c r="M17" s="36">
        <v>0</v>
      </c>
      <c r="N17" s="36">
        <v>0</v>
      </c>
      <c r="O17" s="36" t="s">
        <v>31</v>
      </c>
      <c r="P17" s="36" t="s">
        <v>31</v>
      </c>
      <c r="Q17" s="35" t="str">
        <f t="shared" si="6"/>
        <v>server_os 운영체제 종류 [["X",""],["1","리눅스"],["Z","윈도우"]]</v>
      </c>
      <c r="R17" s="2" t="s">
        <v>921</v>
      </c>
      <c r="S17" s="2"/>
      <c r="T17" s="2"/>
      <c r="U17" s="2" t="s">
        <v>32</v>
      </c>
      <c r="V17" s="2"/>
      <c r="W17" s="2"/>
      <c r="X17" s="2"/>
      <c r="Y17" s="2"/>
      <c r="Z17" s="2"/>
      <c r="AA17" s="2"/>
      <c r="AB17" s="29" t="s">
        <v>397</v>
      </c>
      <c r="AC17" s="25"/>
      <c r="AD17" s="29">
        <v>1</v>
      </c>
      <c r="AE17" s="25" t="s">
        <v>507</v>
      </c>
      <c r="AF17" s="29" t="s">
        <v>508</v>
      </c>
      <c r="AG17" s="25" t="s">
        <v>509</v>
      </c>
      <c r="AH17" s="29"/>
      <c r="AI17" s="25"/>
      <c r="AJ17" s="29"/>
      <c r="AK17" s="25"/>
      <c r="AL17" s="29"/>
      <c r="AM17" s="25"/>
      <c r="AN17" s="29"/>
      <c r="AO17" s="25"/>
      <c r="AP17" s="29"/>
      <c r="AQ17" s="25"/>
      <c r="AR17" s="29"/>
      <c r="AS17" s="25"/>
      <c r="AT17" s="29"/>
      <c r="AU17" s="25"/>
      <c r="AV17" s="29"/>
      <c r="AW17" s="25"/>
      <c r="AX17" s="29"/>
      <c r="AY17" s="25"/>
      <c r="AZ17" s="29"/>
      <c r="BA17" s="25"/>
      <c r="BB17" s="29"/>
      <c r="BC17" s="25"/>
      <c r="BD17" s="29"/>
      <c r="BE17" s="25"/>
      <c r="BF17" s="29"/>
      <c r="BG17" s="25"/>
      <c r="BH17" s="29"/>
      <c r="BI17" s="25"/>
      <c r="BJ17" s="29"/>
      <c r="BK17" s="25"/>
      <c r="BL17" s="29"/>
      <c r="BM17" s="25"/>
      <c r="BN17" s="29"/>
      <c r="BO17" s="25"/>
      <c r="BP17" s="29"/>
      <c r="BQ17" s="25"/>
      <c r="BR17" s="29"/>
      <c r="BS17" s="25"/>
      <c r="BT17" s="29"/>
      <c r="BU17" s="25"/>
      <c r="BV17" s="29"/>
      <c r="BW17" s="25"/>
      <c r="BX17" s="29"/>
      <c r="BY17" s="25"/>
      <c r="CA17" s="1" t="str">
        <f t="shared" si="7"/>
        <v>delete from sscd_mast where sscd_idcd = 'server_os_KOR_common'  and site_idcd = 'common';</v>
      </c>
      <c r="CB17" s="5" t="str">
        <f>IF(E17&lt;&gt;"",CREATE_QUERY($B$1,A$2:AA$2,A17:AA17),"")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('server_os_KOR_common', 'KOR', 'common', 'server_os', '운영체제 종류', 'gb', '', '[["X",""],["1","리눅스"],["Z","윈도우"]]', 'X: 1:리눅스 Z:윈도우', '', 'X=|1=리눅스|Z=윈도우', '', '0', '0', '0', '0', 'server_os 운영체제 종류 [["X",""],["1","리눅스"],["Z","윈도우"]]', ' ', '', '', ' ', '', '', '', '', '', '');</v>
      </c>
    </row>
    <row r="18" spans="1:115" ht="17">
      <c r="A18" s="26" t="str">
        <f>IF(D18="","",D18&amp;"_"&amp;B18&amp;"_"&amp;C18)</f>
        <v>verify_dvcd_KOR_common</v>
      </c>
      <c r="B18" s="25" t="s">
        <v>27</v>
      </c>
      <c r="C18" s="25" t="str">
        <f>IF(E18="","","common")</f>
        <v>common</v>
      </c>
      <c r="D18" s="25" t="s">
        <v>126</v>
      </c>
      <c r="E18" s="25" t="s">
        <v>115</v>
      </c>
      <c r="F18" s="25" t="str">
        <f>IF(A18="","","gb")</f>
        <v>gb</v>
      </c>
      <c r="G18" s="25"/>
      <c r="H18" s="35" t="str">
        <f>"[["""&amp;
SUBSTITUTE(SUBSTITUTE(I18,":",""",""")," ","""],[""")
&amp;"""]]"</f>
        <v>[["1","Verify"],["1"],["1","Verify"],["2"]]</v>
      </c>
      <c r="I18" s="35" t="str">
        <f>IF(AB18="","",AB18&amp;":"&amp;AC18)&amp;
IF(AD18="",""," "&amp;AD18&amp;":"&amp;AE18)&amp;
IF(AF18="",""," "&amp;AF18&amp;":"&amp;AG18)&amp;
IF(AH18="",""," "&amp;AH18&amp;":"&amp;AI18)&amp;
IF(AJ18="",""," "&amp;AJ18&amp;":"&amp;AK18)&amp;
IF(AL18="",""," "&amp;AL18&amp;":"&amp;AM18)&amp;
IF(AN18="",""," "&amp;AN18&amp;":"&amp;AO18)&amp;
IF(AP18="",""," "&amp;AP18&amp;":"&amp;AQ18)&amp;
IF(AR18="",""," "&amp;AR18&amp;":"&amp;AS18)&amp;
IF(AT18="",""," "&amp;AT18&amp;":"&amp;AU18)&amp;
IF(AV18="",""," "&amp;AV18&amp;":"&amp;AW18)&amp;
IF(AX18="",""," "&amp;AX18&amp;":"&amp;AY18)&amp;
IF(AZ18="",""," "&amp;AZ18&amp;":"&amp;BA18)&amp;
IF(BB18="",""," "&amp;BB18&amp;":"&amp;BC18)&amp;
IF(BD18="",""," "&amp;BD18&amp;":"&amp;BE18)&amp;
IF(BF18="",""," "&amp;BF18&amp;":"&amp;BG18)&amp;
IF(BH18="",""," "&amp;BH18&amp;":"&amp;BI18)&amp;
IF(BJ18="",""," "&amp;BJ18&amp;":"&amp;BK18)&amp;
IF(BL18="",""," "&amp;BL18&amp;":"&amp;BM18)&amp;
IF(BN18="",""," "&amp;BN18&amp;":"&amp;BO18)&amp;
IF(BP18="",""," "&amp;BP18&amp;":"&amp;BS18)&amp;
IF(BZ18="",""," "&amp;BZ18&amp;":"&amp;CA18)</f>
        <v>1:Verify 1 1:Verify 2</v>
      </c>
      <c r="J18" s="35"/>
      <c r="K18" s="35" t="str">
        <f>IF(AB18="","",AB18&amp;"="&amp;AC18)&amp;
IF(AD18="","","|"&amp;AD18&amp;"="&amp;AE18)&amp;
IF(AF18="","","|"&amp;AF18&amp;"="&amp;AG18)&amp;
IF(AH18="","","|"&amp;AH18&amp;"="&amp;AI18)&amp;
IF(AJ18="","","|"&amp;AJ18&amp;"="&amp;AK18)&amp;
IF(AL18="","","|"&amp;AL18&amp;"="&amp;AM18)&amp;
IF(AN18="","","|"&amp;AN18&amp;"="&amp;AO18)&amp;
IF(AP18="","","|"&amp;AP18&amp;"="&amp;AQ18)&amp;
IF(AR18="","","|"&amp;AR18&amp;"="&amp;AS18)&amp;
IF(AT18="","","|"&amp;AT18&amp;"="&amp;AU18)&amp;
IF(AV18="","","|"&amp;AV18&amp;"="&amp;AW18)&amp;
IF(AX18="","","|"&amp;AX18&amp;"="&amp;AY18)&amp;
IF(AZ18="","","|"&amp;AZ18&amp;"="&amp;BA18)&amp;
IF(BB18="","","|"&amp;BB18&amp;"="&amp;BC18)&amp;
IF(BD18="","","|"&amp;BD18&amp;"="&amp;BE18)&amp;
IF(BF18="","","|"&amp;BF18&amp;"="&amp;BG18)&amp;
IF(BH18="","","|"&amp;BH18&amp;"="&amp;BI18)&amp;
IF(BJ18="","","|"&amp;BJ18&amp;"="&amp;BK18)&amp;
IF(BL18="","","|"&amp;BL18&amp;"="&amp;BM18)&amp;
IF(BN18="","","|"&amp;BN18&amp;"="&amp;BO18)&amp;
IF(BP18="","","|"&amp;BP18&amp;"="&amp;BQ18)&amp;
IF(BR18="","","|"&amp;BR18&amp;"="&amp;BS18)&amp;
IF(BT18="","","|"&amp;BT18&amp;"="&amp;BU18)&amp;
IF(BV18="","","|"&amp;BV18&amp;"="&amp;BW18)&amp;
IF(BX18="","","|"&amp;BX18&amp;"="&amp;BY18)</f>
        <v>1=Verify 1|1=Verify 2</v>
      </c>
      <c r="L18" s="2"/>
      <c r="M18" s="36">
        <v>0</v>
      </c>
      <c r="N18" s="36">
        <v>0</v>
      </c>
      <c r="O18" s="36" t="s">
        <v>31</v>
      </c>
      <c r="P18" s="36" t="s">
        <v>31</v>
      </c>
      <c r="Q18" s="35" t="str">
        <f>IF(D18="","",D18&amp;" "&amp;E18&amp;" "&amp;H18)</f>
        <v>verify_dvcd Verify 구분 [["1","Verify"],["1"],["1","Verify"],["2"]]</v>
      </c>
      <c r="R18" s="2" t="s">
        <v>921</v>
      </c>
      <c r="S18" s="2"/>
      <c r="T18" s="2"/>
      <c r="U18" s="2" t="s">
        <v>32</v>
      </c>
      <c r="V18" s="2"/>
      <c r="W18" s="2"/>
      <c r="X18" s="2"/>
      <c r="Y18" s="2"/>
      <c r="Z18" s="2"/>
      <c r="AA18" s="2"/>
      <c r="AB18" s="29" t="s">
        <v>370</v>
      </c>
      <c r="AC18" s="25" t="s">
        <v>572</v>
      </c>
      <c r="AD18" s="29">
        <v>1</v>
      </c>
      <c r="AE18" s="25" t="s">
        <v>573</v>
      </c>
      <c r="AF18" s="29"/>
      <c r="AG18" s="25"/>
      <c r="AH18" s="29"/>
      <c r="AI18" s="25"/>
      <c r="AJ18" s="29"/>
      <c r="AK18" s="25"/>
      <c r="AL18" s="29"/>
      <c r="AM18" s="25"/>
      <c r="AN18" s="29"/>
      <c r="AO18" s="25"/>
      <c r="AP18" s="29"/>
      <c r="AQ18" s="25"/>
      <c r="AR18" s="29"/>
      <c r="AS18" s="25"/>
      <c r="AT18" s="29"/>
      <c r="AU18" s="25"/>
      <c r="AV18" s="29"/>
      <c r="AW18" s="25"/>
      <c r="AX18" s="29"/>
      <c r="AY18" s="25"/>
      <c r="AZ18" s="29"/>
      <c r="BA18" s="25"/>
      <c r="BB18" s="29"/>
      <c r="BC18" s="25"/>
      <c r="BD18" s="29"/>
      <c r="BE18" s="25"/>
      <c r="BF18" s="29"/>
      <c r="BG18" s="25"/>
      <c r="BH18" s="29"/>
      <c r="BI18" s="25"/>
      <c r="BJ18" s="29"/>
      <c r="BK18" s="25"/>
      <c r="BL18" s="29"/>
      <c r="BM18" s="25"/>
      <c r="BN18" s="29"/>
      <c r="BO18" s="25"/>
      <c r="BP18" s="29"/>
      <c r="BQ18" s="25"/>
      <c r="BR18" s="29"/>
      <c r="BS18" s="25"/>
      <c r="BT18" s="29"/>
      <c r="BU18" s="25"/>
      <c r="BV18" s="29"/>
      <c r="BW18" s="25"/>
      <c r="BX18" s="29"/>
      <c r="BY18" s="25"/>
      <c r="CA18" s="1" t="str">
        <f>IF(A18="","","delete from sscd_mast where sscd_idcd = '"&amp;A18&amp;"'  and site_idcd = '"&amp;C18&amp;"';")</f>
        <v>delete from sscd_mast where sscd_idcd = 'verify_dvcd_KOR_common'  and site_idcd = 'common';</v>
      </c>
      <c r="CB18" s="5" t="str">
        <f>IF(E18&lt;&gt;"",CREATE_QUERY($B$1,A$2:AA$2,A18:AA18),"")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('verify_dvcd_KOR_common', 'KOR', 'common', 'verify_dvcd', 'Verify 구분', 'gb', '', '[["1","Verify"],["1"],["1","Verify"],["2"]]', '1:Verify 1 1:Verify 2', '', '1=Verify 1|1=Verify 2', '', '0', '0', '0', '0', 'verify_dvcd Verify 구분 [["1","Verify"],["1"],["1","Verify"],["2"]]', ' ', '', '', ' ', '', '', '', '', '', '');</v>
      </c>
    </row>
    <row r="19" spans="1:115" ht="17">
      <c r="A19" s="26" t="str">
        <f>IF(D19="","",D19&amp;"_"&amp;B19&amp;"_"&amp;C19)</f>
        <v>sms_idcd_KOR_common</v>
      </c>
      <c r="B19" s="25" t="s">
        <v>27</v>
      </c>
      <c r="C19" s="25" t="str">
        <f>IF(E19="","","common")</f>
        <v>common</v>
      </c>
      <c r="D19" s="25" t="s">
        <v>155</v>
      </c>
      <c r="E19" s="25" t="s">
        <v>52</v>
      </c>
      <c r="F19" s="25" t="str">
        <f>IF(A19="","","gb")</f>
        <v>gb</v>
      </c>
      <c r="G19" s="25"/>
      <c r="H19" s="35" t="str">
        <f>"[["""&amp;
SUBSTITUTE(SUBSTITUTE(I19,":",""",""")," ","""],[""")
&amp;"""]]"</f>
        <v>[["0","미사용"],["1","KT크로샷"],["9","kt비즈메카"]]</v>
      </c>
      <c r="I19" s="35" t="str">
        <f>IF(AB19="","",AB19&amp;":"&amp;AC19)&amp;
IF(AD19="",""," "&amp;AD19&amp;":"&amp;AE19)&amp;
IF(AF19="",""," "&amp;AF19&amp;":"&amp;AG19)&amp;
IF(AH19="",""," "&amp;AH19&amp;":"&amp;AI19)&amp;
IF(AJ19="",""," "&amp;AJ19&amp;":"&amp;AK19)&amp;
IF(AL19="",""," "&amp;AL19&amp;":"&amp;AM19)&amp;
IF(AN19="",""," "&amp;AN19&amp;":"&amp;AO19)&amp;
IF(AP19="",""," "&amp;AP19&amp;":"&amp;AQ19)&amp;
IF(AR19="",""," "&amp;AR19&amp;":"&amp;AS19)&amp;
IF(AT19="",""," "&amp;AT19&amp;":"&amp;AU19)&amp;
IF(AV19="",""," "&amp;AV19&amp;":"&amp;AW19)&amp;
IF(AX19="",""," "&amp;AX19&amp;":"&amp;AY19)&amp;
IF(AZ19="",""," "&amp;AZ19&amp;":"&amp;BA19)&amp;
IF(BB19="",""," "&amp;BB19&amp;":"&amp;BC19)&amp;
IF(BD19="",""," "&amp;BD19&amp;":"&amp;BE19)&amp;
IF(BF19="",""," "&amp;BF19&amp;":"&amp;BG19)&amp;
IF(BH19="",""," "&amp;BH19&amp;":"&amp;BI19)&amp;
IF(BJ19="",""," "&amp;BJ19&amp;":"&amp;BK19)&amp;
IF(BL19="",""," "&amp;BL19&amp;":"&amp;BM19)&amp;
IF(BN19="",""," "&amp;BN19&amp;":"&amp;BO19)&amp;
IF(BP19="",""," "&amp;BP19&amp;":"&amp;BS19)&amp;
IF(BZ19="",""," "&amp;BZ19&amp;":"&amp;CA19)</f>
        <v>0:미사용 1:KT크로샷 9:kt비즈메카</v>
      </c>
      <c r="J19" s="35"/>
      <c r="K19" s="35" t="str">
        <f>IF(AB19="","",AB19&amp;"="&amp;AC19)&amp;
IF(AD19="","","|"&amp;AD19&amp;"="&amp;AE19)&amp;
IF(AF19="","","|"&amp;AF19&amp;"="&amp;AG19)&amp;
IF(AH19="","","|"&amp;AH19&amp;"="&amp;AI19)&amp;
IF(AJ19="","","|"&amp;AJ19&amp;"="&amp;AK19)&amp;
IF(AL19="","","|"&amp;AL19&amp;"="&amp;AM19)&amp;
IF(AN19="","","|"&amp;AN19&amp;"="&amp;AO19)&amp;
IF(AP19="","","|"&amp;AP19&amp;"="&amp;AQ19)&amp;
IF(AR19="","","|"&amp;AR19&amp;"="&amp;AS19)&amp;
IF(AT19="","","|"&amp;AT19&amp;"="&amp;AU19)&amp;
IF(AV19="","","|"&amp;AV19&amp;"="&amp;AW19)&amp;
IF(AX19="","","|"&amp;AX19&amp;"="&amp;AY19)&amp;
IF(AZ19="","","|"&amp;AZ19&amp;"="&amp;BA19)&amp;
IF(BB19="","","|"&amp;BB19&amp;"="&amp;BC19)&amp;
IF(BD19="","","|"&amp;BD19&amp;"="&amp;BE19)&amp;
IF(BF19="","","|"&amp;BF19&amp;"="&amp;BG19)&amp;
IF(BH19="","","|"&amp;BH19&amp;"="&amp;BI19)&amp;
IF(BJ19="","","|"&amp;BJ19&amp;"="&amp;BK19)&amp;
IF(BL19="","","|"&amp;BL19&amp;"="&amp;BM19)&amp;
IF(BN19="","","|"&amp;BN19&amp;"="&amp;BO19)&amp;
IF(BP19="","","|"&amp;BP19&amp;"="&amp;BQ19)&amp;
IF(BR19="","","|"&amp;BR19&amp;"="&amp;BS19)&amp;
IF(BT19="","","|"&amp;BT19&amp;"="&amp;BU19)&amp;
IF(BV19="","","|"&amp;BV19&amp;"="&amp;BW19)&amp;
IF(BX19="","","|"&amp;BX19&amp;"="&amp;BY19)</f>
        <v>0=미사용|1=KT크로샷|9=kt비즈메카</v>
      </c>
      <c r="L19" s="2"/>
      <c r="M19" s="36">
        <v>0</v>
      </c>
      <c r="N19" s="36">
        <v>0</v>
      </c>
      <c r="O19" s="36" t="s">
        <v>31</v>
      </c>
      <c r="P19" s="36" t="s">
        <v>31</v>
      </c>
      <c r="Q19" s="35" t="str">
        <f>IF(D19="","",D19&amp;" "&amp;E19&amp;" "&amp;H19)</f>
        <v>sms_idcd SMS 공급사 [["0","미사용"],["1","KT크로샷"],["9","kt비즈메카"]]</v>
      </c>
      <c r="R19" s="2" t="s">
        <v>921</v>
      </c>
      <c r="S19" s="2"/>
      <c r="T19" s="2"/>
      <c r="U19" s="2" t="s">
        <v>32</v>
      </c>
      <c r="V19" s="2"/>
      <c r="W19" s="2"/>
      <c r="X19" s="2"/>
      <c r="Y19" s="2"/>
      <c r="Z19" s="2"/>
      <c r="AA19" s="2"/>
      <c r="AB19" s="29" t="s">
        <v>31</v>
      </c>
      <c r="AC19" s="25" t="s">
        <v>362</v>
      </c>
      <c r="AD19" s="29">
        <v>1</v>
      </c>
      <c r="AE19" s="25" t="s">
        <v>566</v>
      </c>
      <c r="AF19" s="29" t="s">
        <v>570</v>
      </c>
      <c r="AG19" s="25" t="s">
        <v>569</v>
      </c>
      <c r="AH19" s="29"/>
      <c r="AI19" s="25"/>
      <c r="AJ19" s="29"/>
      <c r="AK19" s="25"/>
      <c r="AL19" s="29"/>
      <c r="AM19" s="25"/>
      <c r="AN19" s="29"/>
      <c r="AO19" s="25"/>
      <c r="AP19" s="29"/>
      <c r="AQ19" s="25"/>
      <c r="AR19" s="29"/>
      <c r="AS19" s="25"/>
      <c r="AT19" s="29"/>
      <c r="AU19" s="25"/>
      <c r="AV19" s="29"/>
      <c r="AW19" s="25"/>
      <c r="AX19" s="29"/>
      <c r="AY19" s="25"/>
      <c r="AZ19" s="29"/>
      <c r="BA19" s="25"/>
      <c r="BB19" s="29"/>
      <c r="BC19" s="25"/>
      <c r="BD19" s="29"/>
      <c r="BE19" s="25"/>
      <c r="BF19" s="29"/>
      <c r="BG19" s="25"/>
      <c r="BH19" s="29"/>
      <c r="BI19" s="25"/>
      <c r="BJ19" s="29"/>
      <c r="BK19" s="25"/>
      <c r="BL19" s="29"/>
      <c r="BM19" s="25"/>
      <c r="BN19" s="29"/>
      <c r="BO19" s="25"/>
      <c r="BP19" s="29"/>
      <c r="BQ19" s="25"/>
      <c r="BR19" s="29"/>
      <c r="BS19" s="25"/>
      <c r="BT19" s="29"/>
      <c r="BU19" s="25"/>
      <c r="BV19" s="29"/>
      <c r="BW19" s="25"/>
      <c r="BX19" s="29"/>
      <c r="BY19" s="25"/>
      <c r="CA19" s="1" t="str">
        <f>IF(A19="","","delete from sscd_mast where sscd_idcd = '"&amp;A19&amp;"'  and site_idcd = '"&amp;C19&amp;"';")</f>
        <v>delete from sscd_mast where sscd_idcd = 'sms_idcd_KOR_common'  and site_idcd = 'common';</v>
      </c>
      <c r="CB19" s="5" t="str">
        <f>IF(E19&lt;&gt;"",CREATE_QUERY($B$1,A$2:AA$2,A19:AA19),"")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('sms_idcd_KOR_common', 'KOR', 'common', 'sms_idcd', 'SMS 공급사', 'gb', '', '[["0","미사용"],["1","KT크로샷"],["9","kt비즈메카"]]', '0:미사용 1:KT크로샷 9:kt비즈메카', '', '0=미사용|1=KT크로샷|9=kt비즈메카', '', '0', '0', '0', '0', 'sms_idcd SMS 공급사 [["0","미사용"],["1","KT크로샷"],["9","kt비즈메카"]]', ' ', '', '', ' ', '', '', '', '', '', '');</v>
      </c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</row>
    <row r="20" spans="1:115" ht="17">
      <c r="A20" s="26" t="str">
        <f>IF(D20="","",D20&amp;"_"&amp;B20&amp;"_"&amp;C20)</f>
        <v>tax_idcd_KOR_common</v>
      </c>
      <c r="B20" s="25" t="s">
        <v>27</v>
      </c>
      <c r="C20" s="25" t="str">
        <f>IF(E20="","","common")</f>
        <v>common</v>
      </c>
      <c r="D20" s="25" t="s">
        <v>156</v>
      </c>
      <c r="E20" s="25" t="s">
        <v>53</v>
      </c>
      <c r="F20" s="25" t="str">
        <f>IF(A20="","","gb")</f>
        <v>gb</v>
      </c>
      <c r="G20" s="25"/>
      <c r="H20" s="35" t="str">
        <f>"[["""&amp;
SUBSTITUTE(SUBSTITUTE(I20,":",""",""")," ","""],[""")
&amp;"""]]"</f>
        <v>[["0","미사용"],["1","효성"]]</v>
      </c>
      <c r="I20" s="35" t="str">
        <f>IF(AB20="","",AB20&amp;":"&amp;AC20)&amp;
IF(AD20="",""," "&amp;AD20&amp;":"&amp;AE20)&amp;
IF(AF20="",""," "&amp;AF20&amp;":"&amp;AG20)&amp;
IF(AH20="",""," "&amp;AH20&amp;":"&amp;AI20)&amp;
IF(AJ20="",""," "&amp;AJ20&amp;":"&amp;AK20)&amp;
IF(AL20="",""," "&amp;AL20&amp;":"&amp;AM20)&amp;
IF(AN20="",""," "&amp;AN20&amp;":"&amp;AO20)&amp;
IF(AP20="",""," "&amp;AP20&amp;":"&amp;AQ20)&amp;
IF(AR20="",""," "&amp;AR20&amp;":"&amp;AS20)&amp;
IF(AT20="",""," "&amp;AT20&amp;":"&amp;AU20)&amp;
IF(AV20="",""," "&amp;AV20&amp;":"&amp;AW20)&amp;
IF(AX20="",""," "&amp;AX20&amp;":"&amp;AY20)&amp;
IF(AZ20="",""," "&amp;AZ20&amp;":"&amp;BA20)&amp;
IF(BB20="",""," "&amp;BB20&amp;":"&amp;BC20)&amp;
IF(BD20="",""," "&amp;BD20&amp;":"&amp;BE20)&amp;
IF(BF20="",""," "&amp;BF20&amp;":"&amp;BG20)&amp;
IF(BH20="",""," "&amp;BH20&amp;":"&amp;BI20)&amp;
IF(BJ20="",""," "&amp;BJ20&amp;":"&amp;BK20)&amp;
IF(BL20="",""," "&amp;BL20&amp;":"&amp;BM20)&amp;
IF(BN20="",""," "&amp;BN20&amp;":"&amp;BO20)&amp;
IF(BP20="",""," "&amp;BP20&amp;":"&amp;BS20)&amp;
IF(BZ20="",""," "&amp;BZ20&amp;":"&amp;CA20)</f>
        <v>0:미사용 1:효성</v>
      </c>
      <c r="J20" s="35"/>
      <c r="K20" s="35" t="str">
        <f>IF(AB20="","",AB20&amp;"="&amp;AC20)&amp;
IF(AD20="","","|"&amp;AD20&amp;"="&amp;AE20)&amp;
IF(AF20="","","|"&amp;AF20&amp;"="&amp;AG20)&amp;
IF(AH20="","","|"&amp;AH20&amp;"="&amp;AI20)&amp;
IF(AJ20="","","|"&amp;AJ20&amp;"="&amp;AK20)&amp;
IF(AL20="","","|"&amp;AL20&amp;"="&amp;AM20)&amp;
IF(AN20="","","|"&amp;AN20&amp;"="&amp;AO20)&amp;
IF(AP20="","","|"&amp;AP20&amp;"="&amp;AQ20)&amp;
IF(AR20="","","|"&amp;AR20&amp;"="&amp;AS20)&amp;
IF(AT20="","","|"&amp;AT20&amp;"="&amp;AU20)&amp;
IF(AV20="","","|"&amp;AV20&amp;"="&amp;AW20)&amp;
IF(AX20="","","|"&amp;AX20&amp;"="&amp;AY20)&amp;
IF(AZ20="","","|"&amp;AZ20&amp;"="&amp;BA20)&amp;
IF(BB20="","","|"&amp;BB20&amp;"="&amp;BC20)&amp;
IF(BD20="","","|"&amp;BD20&amp;"="&amp;BE20)&amp;
IF(BF20="","","|"&amp;BF20&amp;"="&amp;BG20)&amp;
IF(BH20="","","|"&amp;BH20&amp;"="&amp;BI20)&amp;
IF(BJ20="","","|"&amp;BJ20&amp;"="&amp;BK20)&amp;
IF(BL20="","","|"&amp;BL20&amp;"="&amp;BM20)&amp;
IF(BN20="","","|"&amp;BN20&amp;"="&amp;BO20)&amp;
IF(BP20="","","|"&amp;BP20&amp;"="&amp;BQ20)&amp;
IF(BR20="","","|"&amp;BR20&amp;"="&amp;BS20)&amp;
IF(BT20="","","|"&amp;BT20&amp;"="&amp;BU20)&amp;
IF(BV20="","","|"&amp;BV20&amp;"="&amp;BW20)&amp;
IF(BX20="","","|"&amp;BX20&amp;"="&amp;BY20)</f>
        <v>0=미사용|1=효성</v>
      </c>
      <c r="L20" s="2"/>
      <c r="M20" s="36">
        <v>0</v>
      </c>
      <c r="N20" s="36">
        <v>0</v>
      </c>
      <c r="O20" s="36" t="s">
        <v>31</v>
      </c>
      <c r="P20" s="36" t="s">
        <v>31</v>
      </c>
      <c r="Q20" s="35" t="str">
        <f>IF(D20="","",D20&amp;" "&amp;E20&amp;" "&amp;H20)</f>
        <v>tax_idcd TAX 공급사 [["0","미사용"],["1","효성"]]</v>
      </c>
      <c r="R20" s="2" t="s">
        <v>921</v>
      </c>
      <c r="S20" s="2"/>
      <c r="T20" s="2"/>
      <c r="U20" s="2" t="s">
        <v>32</v>
      </c>
      <c r="V20" s="2"/>
      <c r="W20" s="2"/>
      <c r="X20" s="2"/>
      <c r="Y20" s="2"/>
      <c r="Z20" s="2"/>
      <c r="AA20" s="2"/>
      <c r="AB20" s="29" t="s">
        <v>31</v>
      </c>
      <c r="AC20" s="25" t="s">
        <v>362</v>
      </c>
      <c r="AD20" s="29">
        <v>1</v>
      </c>
      <c r="AE20" s="25" t="s">
        <v>368</v>
      </c>
      <c r="AF20" s="29"/>
      <c r="AG20" s="25"/>
      <c r="AH20" s="29"/>
      <c r="AI20" s="25"/>
      <c r="AJ20" s="29"/>
      <c r="AK20" s="25"/>
      <c r="AL20" s="29"/>
      <c r="AM20" s="25"/>
      <c r="AN20" s="29"/>
      <c r="AO20" s="25"/>
      <c r="AP20" s="29"/>
      <c r="AQ20" s="25"/>
      <c r="AR20" s="29"/>
      <c r="AS20" s="25"/>
      <c r="AT20" s="29"/>
      <c r="AU20" s="25"/>
      <c r="AV20" s="29"/>
      <c r="AW20" s="25"/>
      <c r="AX20" s="29"/>
      <c r="AY20" s="25"/>
      <c r="AZ20" s="29"/>
      <c r="BA20" s="25"/>
      <c r="BB20" s="29"/>
      <c r="BC20" s="25"/>
      <c r="BD20" s="29"/>
      <c r="BE20" s="25"/>
      <c r="BF20" s="29"/>
      <c r="BG20" s="25"/>
      <c r="BH20" s="29"/>
      <c r="BI20" s="25"/>
      <c r="BJ20" s="29"/>
      <c r="BK20" s="25"/>
      <c r="BL20" s="29"/>
      <c r="BM20" s="25"/>
      <c r="BN20" s="29"/>
      <c r="BO20" s="25"/>
      <c r="BP20" s="29"/>
      <c r="BQ20" s="25"/>
      <c r="BR20" s="29"/>
      <c r="BS20" s="25"/>
      <c r="BT20" s="29"/>
      <c r="BU20" s="25"/>
      <c r="BV20" s="29"/>
      <c r="BW20" s="25"/>
      <c r="BX20" s="29"/>
      <c r="BY20" s="25"/>
      <c r="CA20" s="1" t="str">
        <f>IF(A20="","","delete from sscd_mast where sscd_idcd = '"&amp;A20&amp;"'  and site_idcd = '"&amp;C20&amp;"';")</f>
        <v>delete from sscd_mast where sscd_idcd = 'tax_idcd_KOR_common'  and site_idcd = 'common';</v>
      </c>
      <c r="CB20" s="5" t="str">
        <f>IF(E20&lt;&gt;"",CREATE_QUERY($B$1,A$2:AA$2,A20:AA20),"")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('tax_idcd_KOR_common', 'KOR', 'common', 'tax_idcd', 'TAX 공급사', 'gb', '', '[["0","미사용"],["1","효성"]]', '0:미사용 1:효성', '', '0=미사용|1=효성', '', '0', '0', '0', '0', 'tax_idcd TAX 공급사 [["0","미사용"],["1","효성"]]', ' ', '', '', ' ', '', '', '', '', '', '');</v>
      </c>
    </row>
    <row r="21" spans="1:115" ht="17">
      <c r="A21" s="26" t="str">
        <f>IF(D21="","",D21&amp;"_"&amp;B21&amp;"_"&amp;C21)</f>
        <v>sa_vat_apply_mk_KOR_common</v>
      </c>
      <c r="B21" s="25" t="s">
        <v>27</v>
      </c>
      <c r="C21" s="25" t="str">
        <f>IF(E21="","","common")</f>
        <v>common</v>
      </c>
      <c r="D21" s="25" t="s">
        <v>79</v>
      </c>
      <c r="E21" s="25" t="s">
        <v>80</v>
      </c>
      <c r="F21" s="25" t="str">
        <f>IF(A21="","","gb")</f>
        <v>gb</v>
      </c>
      <c r="G21" s="25"/>
      <c r="H21" s="35" t="str">
        <f>"[["""&amp;
SUBSTITUTE(SUBSTITUTE(I21,":",""",""")," ","""],[""")
&amp;"""]]"</f>
        <v>[["C","[C]확인/절사후금액"]]</v>
      </c>
      <c r="I21" s="35" t="str">
        <f>IF(AB21="","",AB21&amp;":"&amp;AC21)&amp;
IF(AD21="",""," "&amp;AD21&amp;":"&amp;AE21)&amp;
IF(AF21="",""," "&amp;AF21&amp;":"&amp;AG21)&amp;
IF(AH21="",""," "&amp;AH21&amp;":"&amp;AI21)&amp;
IF(AJ21="",""," "&amp;AJ21&amp;":"&amp;AK21)&amp;
IF(AL21="",""," "&amp;AL21&amp;":"&amp;AM21)&amp;
IF(AN21="",""," "&amp;AN21&amp;":"&amp;AO21)&amp;
IF(AP21="",""," "&amp;AP21&amp;":"&amp;AQ21)&amp;
IF(AR21="",""," "&amp;AR21&amp;":"&amp;AS21)&amp;
IF(AT21="",""," "&amp;AT21&amp;":"&amp;AU21)&amp;
IF(AV21="",""," "&amp;AV21&amp;":"&amp;AW21)&amp;
IF(AX21="",""," "&amp;AX21&amp;":"&amp;AY21)&amp;
IF(AZ21="",""," "&amp;AZ21&amp;":"&amp;BA21)&amp;
IF(BB21="",""," "&amp;BB21&amp;":"&amp;BC21)&amp;
IF(BD21="",""," "&amp;BD21&amp;":"&amp;BE21)&amp;
IF(BF21="",""," "&amp;BF21&amp;":"&amp;BG21)&amp;
IF(BH21="",""," "&amp;BH21&amp;":"&amp;BI21)&amp;
IF(BJ21="",""," "&amp;BJ21&amp;":"&amp;BK21)&amp;
IF(BL21="",""," "&amp;BL21&amp;":"&amp;BM21)&amp;
IF(BN21="",""," "&amp;BN21&amp;":"&amp;BO21)&amp;
IF(BP21="",""," "&amp;BP21&amp;":"&amp;BS21)&amp;
IF(BZ21="",""," "&amp;BZ21&amp;":"&amp;CA21)</f>
        <v>C:[C]확인/절사후금액</v>
      </c>
      <c r="J21" s="35"/>
      <c r="K21" s="35" t="str">
        <f>IF(AB21="","",AB21&amp;"="&amp;AC21)&amp;
IF(AD21="","","|"&amp;AD21&amp;"="&amp;AE21)&amp;
IF(AF21="","","|"&amp;AF21&amp;"="&amp;AG21)&amp;
IF(AH21="","","|"&amp;AH21&amp;"="&amp;AI21)&amp;
IF(AJ21="","","|"&amp;AJ21&amp;"="&amp;AK21)&amp;
IF(AL21="","","|"&amp;AL21&amp;"="&amp;AM21)&amp;
IF(AN21="","","|"&amp;AN21&amp;"="&amp;AO21)&amp;
IF(AP21="","","|"&amp;AP21&amp;"="&amp;AQ21)&amp;
IF(AR21="","","|"&amp;AR21&amp;"="&amp;AS21)&amp;
IF(AT21="","","|"&amp;AT21&amp;"="&amp;AU21)&amp;
IF(AV21="","","|"&amp;AV21&amp;"="&amp;AW21)&amp;
IF(AX21="","","|"&amp;AX21&amp;"="&amp;AY21)&amp;
IF(AZ21="","","|"&amp;AZ21&amp;"="&amp;BA21)&amp;
IF(BB21="","","|"&amp;BB21&amp;"="&amp;BC21)&amp;
IF(BD21="","","|"&amp;BD21&amp;"="&amp;BE21)&amp;
IF(BF21="","","|"&amp;BF21&amp;"="&amp;BG21)&amp;
IF(BH21="","","|"&amp;BH21&amp;"="&amp;BI21)&amp;
IF(BJ21="","","|"&amp;BJ21&amp;"="&amp;BK21)&amp;
IF(BL21="","","|"&amp;BL21&amp;"="&amp;BM21)&amp;
IF(BN21="","","|"&amp;BN21&amp;"="&amp;BO21)&amp;
IF(BP21="","","|"&amp;BP21&amp;"="&amp;BQ21)&amp;
IF(BR21="","","|"&amp;BR21&amp;"="&amp;BS21)&amp;
IF(BT21="","","|"&amp;BT21&amp;"="&amp;BU21)&amp;
IF(BV21="","","|"&amp;BV21&amp;"="&amp;BW21)&amp;
IF(BX21="","","|"&amp;BX21&amp;"="&amp;BY21)</f>
        <v>C=[C]확인/절사후금액</v>
      </c>
      <c r="L21" s="2"/>
      <c r="M21" s="36">
        <v>0</v>
      </c>
      <c r="N21" s="36">
        <v>0</v>
      </c>
      <c r="O21" s="36" t="s">
        <v>31</v>
      </c>
      <c r="P21" s="36" t="s">
        <v>31</v>
      </c>
      <c r="Q21" s="35" t="str">
        <f>IF(D21="","",D21&amp;" "&amp;E21&amp;" "&amp;H21)</f>
        <v>sa_vat_apply_mk VAT적용방식 [["C","[C]확인/절사후금액"]]</v>
      </c>
      <c r="R21" s="2" t="s">
        <v>921</v>
      </c>
      <c r="S21" s="2"/>
      <c r="T21" s="2"/>
      <c r="U21" s="2" t="s">
        <v>32</v>
      </c>
      <c r="V21" s="2"/>
      <c r="W21" s="2"/>
      <c r="X21" s="2"/>
      <c r="Y21" s="2"/>
      <c r="Z21" s="2"/>
      <c r="AA21" s="2"/>
      <c r="AB21" s="29" t="s">
        <v>369</v>
      </c>
      <c r="AC21" s="25" t="s">
        <v>571</v>
      </c>
      <c r="AD21" s="29"/>
      <c r="AE21" s="25"/>
      <c r="AF21" s="29"/>
      <c r="AG21" s="25"/>
      <c r="AH21" s="29"/>
      <c r="AI21" s="25"/>
      <c r="AJ21" s="29"/>
      <c r="AK21" s="25"/>
      <c r="AL21" s="29"/>
      <c r="AM21" s="25"/>
      <c r="AN21" s="29"/>
      <c r="AO21" s="25"/>
      <c r="AP21" s="29"/>
      <c r="AQ21" s="25"/>
      <c r="AR21" s="29"/>
      <c r="AS21" s="25"/>
      <c r="AT21" s="29"/>
      <c r="AU21" s="25"/>
      <c r="AV21" s="29"/>
      <c r="AW21" s="25"/>
      <c r="AX21" s="29"/>
      <c r="AY21" s="25"/>
      <c r="AZ21" s="29"/>
      <c r="BA21" s="25"/>
      <c r="BB21" s="29"/>
      <c r="BC21" s="25"/>
      <c r="BD21" s="29"/>
      <c r="BE21" s="25"/>
      <c r="BF21" s="29"/>
      <c r="BG21" s="25"/>
      <c r="BH21" s="29"/>
      <c r="BI21" s="25"/>
      <c r="BJ21" s="29"/>
      <c r="BK21" s="25"/>
      <c r="BL21" s="29"/>
      <c r="BM21" s="25"/>
      <c r="BN21" s="29"/>
      <c r="BO21" s="25"/>
      <c r="BP21" s="29"/>
      <c r="BQ21" s="25"/>
      <c r="BR21" s="29"/>
      <c r="BS21" s="25"/>
      <c r="BT21" s="29"/>
      <c r="BU21" s="25"/>
      <c r="BV21" s="29"/>
      <c r="BW21" s="25"/>
      <c r="BX21" s="29"/>
      <c r="BY21" s="25"/>
      <c r="CA21" s="1" t="str">
        <f>IF(A21="","","delete from sscd_mast where sscd_idcd = '"&amp;A21&amp;"'  and site_idcd = '"&amp;C21&amp;"';")</f>
        <v>delete from sscd_mast where sscd_idcd = 'sa_vat_apply_mk_KOR_common'  and site_idcd = 'common';</v>
      </c>
      <c r="CB21" s="5" t="str">
        <f>IF(E21&lt;&gt;"",CREATE_QUERY($B$1,A$2:AA$2,A21:AA21),"")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('sa_vat_apply_mk_KOR_common', 'KOR', 'common', 'sa_vat_apply_mk', 'VAT적용방식', 'gb', '', '[["C","[C]확인/절사후금액"]]', 'C:[C]확인/절사후금액', '', 'C=[C]확인/절사후금액', '', '0', '0', '0', '0', 'sa_vat_apply_mk VAT적용방식 [["C","[C]확인/절사후금액"]]', ' ', '', '', ' ', '', '', '', '', '', '');</v>
      </c>
    </row>
    <row r="22" spans="1:115" ht="17">
      <c r="A22" s="26" t="str">
        <f t="shared" si="0"/>
        <v>line_stat_KOR_common</v>
      </c>
      <c r="B22" s="25" t="s">
        <v>27</v>
      </c>
      <c r="C22" s="25" t="str">
        <f t="shared" si="1"/>
        <v>common</v>
      </c>
      <c r="D22" s="25" t="s">
        <v>14</v>
      </c>
      <c r="E22" s="25" t="s">
        <v>234</v>
      </c>
      <c r="F22" s="25" t="str">
        <f t="shared" si="2"/>
        <v>gb</v>
      </c>
      <c r="G22" s="25"/>
      <c r="H22" s="35" t="str">
        <f t="shared" si="3"/>
        <v>[["0","사용","blue"],["1","숨김","green"],["2","삭제","red"]]</v>
      </c>
      <c r="I22" s="35" t="str">
        <f t="shared" si="4"/>
        <v>0:사용:blue 1:숨김:green 2:삭제:red</v>
      </c>
      <c r="J22" s="35"/>
      <c r="K22" s="35" t="str">
        <f t="shared" si="5"/>
        <v>0=사용:blue|1=숨김:green|2=삭제:red</v>
      </c>
      <c r="L22" s="2"/>
      <c r="M22" s="36">
        <v>0</v>
      </c>
      <c r="N22" s="36">
        <v>0</v>
      </c>
      <c r="O22" s="36" t="s">
        <v>31</v>
      </c>
      <c r="P22" s="36" t="s">
        <v>31</v>
      </c>
      <c r="Q22" s="35" t="str">
        <f t="shared" si="6"/>
        <v>line_stat Row 상태(정상 또는 숨김) [["0","사용","blue"],["1","숨김","green"],["2","삭제","red"]]</v>
      </c>
      <c r="R22" s="2" t="s">
        <v>921</v>
      </c>
      <c r="S22" s="2"/>
      <c r="T22" s="2"/>
      <c r="U22" s="2" t="s">
        <v>32</v>
      </c>
      <c r="V22" s="2"/>
      <c r="W22" s="2"/>
      <c r="X22" s="2"/>
      <c r="Y22" s="2"/>
      <c r="Z22" s="2"/>
      <c r="AA22" s="2"/>
      <c r="AB22" s="29" t="s">
        <v>31</v>
      </c>
      <c r="AC22" s="25" t="s">
        <v>3183</v>
      </c>
      <c r="AD22" s="29">
        <v>1</v>
      </c>
      <c r="AE22" s="25" t="s">
        <v>3184</v>
      </c>
      <c r="AF22" s="29" t="s">
        <v>685</v>
      </c>
      <c r="AG22" s="25" t="s">
        <v>3182</v>
      </c>
      <c r="AH22" s="29"/>
      <c r="AI22" s="25"/>
      <c r="AJ22" s="29"/>
      <c r="AK22" s="25"/>
      <c r="AL22" s="29"/>
      <c r="AM22" s="25"/>
      <c r="AN22" s="29"/>
      <c r="AO22" s="25"/>
      <c r="AP22" s="29"/>
      <c r="AQ22" s="25"/>
      <c r="AR22" s="29"/>
      <c r="AS22" s="25"/>
      <c r="AT22" s="29"/>
      <c r="AU22" s="25"/>
      <c r="AV22" s="29"/>
      <c r="AW22" s="25"/>
      <c r="AX22" s="29"/>
      <c r="AY22" s="25"/>
      <c r="AZ22" s="29"/>
      <c r="BA22" s="25"/>
      <c r="BB22" s="29"/>
      <c r="BC22" s="25"/>
      <c r="BD22" s="29"/>
      <c r="BE22" s="25"/>
      <c r="BF22" s="29"/>
      <c r="BG22" s="25"/>
      <c r="BH22" s="29"/>
      <c r="BI22" s="25"/>
      <c r="BJ22" s="29"/>
      <c r="BK22" s="25"/>
      <c r="BL22" s="29"/>
      <c r="BM22" s="25"/>
      <c r="BN22" s="29"/>
      <c r="BO22" s="25"/>
      <c r="BP22" s="29"/>
      <c r="BQ22" s="25"/>
      <c r="BR22" s="29"/>
      <c r="BS22" s="25"/>
      <c r="BT22" s="29"/>
      <c r="BU22" s="25"/>
      <c r="BV22" s="29"/>
      <c r="BW22" s="25"/>
      <c r="BX22" s="29"/>
      <c r="BY22" s="25"/>
      <c r="CA22" s="1" t="str">
        <f t="shared" si="7"/>
        <v>delete from sscd_mast where sscd_idcd = 'line_stat_KOR_common'  and site_idcd = 'common';</v>
      </c>
      <c r="CB22" s="5" t="str">
        <f>IF(E22&lt;&gt;"",CREATE_QUERY($B$1,A$2:AA$2,A22:AA22),"")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('line_stat_KOR_common', 'KOR', 'common', 'line_stat', 'Row 상태(정상 또는 숨김)', 'gb', '', '[["0","사용","blue"],["1","숨김","green"],["2","삭제","red"]]', '0:사용:blue 1:숨김:green 2:삭제:red', '', '0=사용:blue|1=숨김:green|2=삭제:red', '', '0', '0', '0', '0', 'line_stat Row 상태(정상 또는 숨김) [["0","사용","blue"],["1","숨김","green"],["2","삭제","red"]]', ' ', '', '', ' ', '', '', '', '', '', '');</v>
      </c>
    </row>
    <row r="23" spans="1:115" ht="17">
      <c r="A23" s="26" t="str">
        <f t="shared" si="0"/>
        <v>used_dvcd_KOR_common</v>
      </c>
      <c r="B23" s="25" t="s">
        <v>27</v>
      </c>
      <c r="C23" s="25" t="str">
        <f t="shared" si="1"/>
        <v>common</v>
      </c>
      <c r="D23" s="25" t="s">
        <v>255</v>
      </c>
      <c r="E23" s="25" t="s">
        <v>120</v>
      </c>
      <c r="F23" s="25" t="str">
        <f t="shared" si="2"/>
        <v>gb</v>
      </c>
      <c r="G23" s="25"/>
      <c r="H23" s="35" t="str">
        <f t="shared" si="3"/>
        <v>[["0","미사용","green"],["1","사용","blue"]]</v>
      </c>
      <c r="I23" s="35" t="str">
        <f t="shared" si="4"/>
        <v>0:미사용:green 1:사용:blue</v>
      </c>
      <c r="J23" s="35"/>
      <c r="K23" s="35" t="str">
        <f t="shared" si="5"/>
        <v>0=미사용:green|1=사용:blue</v>
      </c>
      <c r="L23" s="2"/>
      <c r="M23" s="36">
        <v>0</v>
      </c>
      <c r="N23" s="36">
        <v>0</v>
      </c>
      <c r="O23" s="36" t="s">
        <v>31</v>
      </c>
      <c r="P23" s="36" t="s">
        <v>31</v>
      </c>
      <c r="Q23" s="35" t="str">
        <f t="shared" si="6"/>
        <v>used_dvcd 사용여부 [["0","미사용","green"],["1","사용","blue"]]</v>
      </c>
      <c r="R23" s="2" t="s">
        <v>921</v>
      </c>
      <c r="S23" s="2"/>
      <c r="T23" s="2"/>
      <c r="U23" s="2" t="s">
        <v>32</v>
      </c>
      <c r="V23" s="2"/>
      <c r="W23" s="2"/>
      <c r="X23" s="2"/>
      <c r="Y23" s="2"/>
      <c r="Z23" s="2"/>
      <c r="AA23" s="2"/>
      <c r="AB23" s="29" t="s">
        <v>31</v>
      </c>
      <c r="AC23" s="25" t="s">
        <v>3185</v>
      </c>
      <c r="AD23" s="29">
        <v>1</v>
      </c>
      <c r="AE23" s="25" t="s">
        <v>3183</v>
      </c>
      <c r="AF23" s="29"/>
      <c r="AG23" s="25"/>
      <c r="AH23" s="29"/>
      <c r="AI23" s="25"/>
      <c r="AJ23" s="29"/>
      <c r="AK23" s="25"/>
      <c r="AL23" s="29"/>
      <c r="AM23" s="25"/>
      <c r="AN23" s="29"/>
      <c r="AO23" s="25"/>
      <c r="AP23" s="29"/>
      <c r="AQ23" s="25"/>
      <c r="AR23" s="29"/>
      <c r="AS23" s="25"/>
      <c r="AT23" s="29"/>
      <c r="AU23" s="25"/>
      <c r="AV23" s="29"/>
      <c r="AW23" s="25"/>
      <c r="AX23" s="29"/>
      <c r="AY23" s="25"/>
      <c r="AZ23" s="29"/>
      <c r="BA23" s="25"/>
      <c r="BB23" s="29"/>
      <c r="BC23" s="25"/>
      <c r="BD23" s="29"/>
      <c r="BE23" s="25"/>
      <c r="BF23" s="29"/>
      <c r="BG23" s="25"/>
      <c r="BH23" s="29"/>
      <c r="BI23" s="25"/>
      <c r="BJ23" s="29"/>
      <c r="BK23" s="25"/>
      <c r="BL23" s="29"/>
      <c r="BM23" s="25"/>
      <c r="BN23" s="29"/>
      <c r="BO23" s="25"/>
      <c r="BP23" s="29"/>
      <c r="BQ23" s="25"/>
      <c r="BR23" s="29"/>
      <c r="BS23" s="25"/>
      <c r="BT23" s="29"/>
      <c r="BU23" s="25"/>
      <c r="BV23" s="29"/>
      <c r="BW23" s="25"/>
      <c r="BX23" s="29"/>
      <c r="BY23" s="25"/>
      <c r="CA23" s="1" t="str">
        <f t="shared" si="7"/>
        <v>delete from sscd_mast where sscd_idcd = 'used_dvcd_KOR_common'  and site_idcd = 'common';</v>
      </c>
      <c r="CB23" s="5" t="str">
        <f>IF(E23&lt;&gt;"",CREATE_QUERY($B$1,A$2:AA$2,A23:AA23),"")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('used_dvcd_KOR_common', 'KOR', 'common', 'used_dvcd', '사용여부', 'gb', '', '[["0","미사용","green"],["1","사용","blue"]]', '0:미사용:green 1:사용:blue', '', '0=미사용:green|1=사용:blue', '', '0', '0', '0', '0', 'used_dvcd 사용여부 [["0","미사용","green"],["1","사용","blue"]]', ' ', '', '', ' ', '', '', '', '', '', '');</v>
      </c>
    </row>
    <row r="24" spans="1:115" ht="17">
      <c r="A24" s="26" t="str">
        <f t="shared" si="0"/>
        <v>dele_yorn_KOR_common</v>
      </c>
      <c r="B24" s="25" t="s">
        <v>27</v>
      </c>
      <c r="C24" s="25" t="str">
        <f t="shared" si="1"/>
        <v>common</v>
      </c>
      <c r="D24" s="25" t="s">
        <v>256</v>
      </c>
      <c r="E24" s="25" t="s">
        <v>110</v>
      </c>
      <c r="F24" s="25" t="str">
        <f t="shared" si="2"/>
        <v>gb</v>
      </c>
      <c r="G24" s="25"/>
      <c r="H24" s="35" t="str">
        <f t="shared" si="3"/>
        <v>[["0","정상","blue"],["1","숨김"],["2","삭제","red"]]</v>
      </c>
      <c r="I24" s="35" t="str">
        <f t="shared" si="4"/>
        <v>0:정상:blue 1:숨김 2:삭제:red</v>
      </c>
      <c r="J24" s="35"/>
      <c r="K24" s="35" t="str">
        <f t="shared" si="5"/>
        <v>0=정상:blue|1=숨김|2=삭제:red</v>
      </c>
      <c r="L24" s="2"/>
      <c r="M24" s="36">
        <v>0</v>
      </c>
      <c r="N24" s="36">
        <v>0</v>
      </c>
      <c r="O24" s="36" t="s">
        <v>31</v>
      </c>
      <c r="P24" s="36" t="s">
        <v>31</v>
      </c>
      <c r="Q24" s="35" t="str">
        <f t="shared" si="6"/>
        <v>dele_yorn 삭제여부 [["0","정상","blue"],["1","숨김"],["2","삭제","red"]]</v>
      </c>
      <c r="R24" s="2" t="s">
        <v>921</v>
      </c>
      <c r="S24" s="2"/>
      <c r="T24" s="2"/>
      <c r="U24" s="2" t="s">
        <v>32</v>
      </c>
      <c r="V24" s="2"/>
      <c r="W24" s="2"/>
      <c r="X24" s="2"/>
      <c r="Y24" s="2"/>
      <c r="Z24" s="2"/>
      <c r="AA24" s="2"/>
      <c r="AB24" s="29" t="s">
        <v>31</v>
      </c>
      <c r="AC24" s="25" t="s">
        <v>2460</v>
      </c>
      <c r="AD24" s="29">
        <v>1</v>
      </c>
      <c r="AE24" s="25" t="s">
        <v>363</v>
      </c>
      <c r="AF24" s="29">
        <v>2</v>
      </c>
      <c r="AG24" s="25" t="s">
        <v>3182</v>
      </c>
      <c r="AH24" s="29"/>
      <c r="AI24" s="25"/>
      <c r="AJ24" s="29"/>
      <c r="AK24" s="25"/>
      <c r="AL24" s="29"/>
      <c r="AM24" s="25"/>
      <c r="AN24" s="29"/>
      <c r="AO24" s="25"/>
      <c r="AP24" s="29"/>
      <c r="AQ24" s="25"/>
      <c r="AR24" s="29"/>
      <c r="AS24" s="25"/>
      <c r="AT24" s="29"/>
      <c r="AU24" s="25"/>
      <c r="AV24" s="29"/>
      <c r="AW24" s="25"/>
      <c r="AX24" s="29"/>
      <c r="AY24" s="25"/>
      <c r="AZ24" s="29"/>
      <c r="BA24" s="25"/>
      <c r="BB24" s="29"/>
      <c r="BC24" s="25"/>
      <c r="BD24" s="29"/>
      <c r="BE24" s="25"/>
      <c r="BF24" s="29"/>
      <c r="BG24" s="25"/>
      <c r="BH24" s="29"/>
      <c r="BI24" s="25"/>
      <c r="BJ24" s="29"/>
      <c r="BK24" s="25"/>
      <c r="BL24" s="29"/>
      <c r="BM24" s="25"/>
      <c r="BN24" s="29"/>
      <c r="BO24" s="25"/>
      <c r="BP24" s="29"/>
      <c r="BQ24" s="25"/>
      <c r="BR24" s="29"/>
      <c r="BS24" s="25"/>
      <c r="BT24" s="29"/>
      <c r="BU24" s="25"/>
      <c r="BV24" s="29"/>
      <c r="BW24" s="25"/>
      <c r="BX24" s="29"/>
      <c r="BY24" s="25"/>
      <c r="CA24" s="1" t="str">
        <f t="shared" si="7"/>
        <v>delete from sscd_mast where sscd_idcd = 'dele_yorn_KOR_common'  and site_idcd = 'common';</v>
      </c>
      <c r="CB24" s="5" t="str">
        <f>IF(E24&lt;&gt;"",CREATE_QUERY($B$1,A$2:AA$2,A24:AA24),"")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('dele_yorn_KOR_common', 'KOR', 'common', 'dele_yorn', '삭제여부', 'gb', '', '[["0","정상","blue"],["1","숨김"],["2","삭제","red"]]', '0:정상:blue 1:숨김 2:삭제:red', '', '0=정상:blue|1=숨김|2=삭제:red', '', '0', '0', '0', '0', 'dele_yorn 삭제여부 [["0","정상","blue"],["1","숨김"],["2","삭제","red"]]', ' ', '', '', ' ', '', '', '', '', '', '');</v>
      </c>
    </row>
    <row r="25" spans="1:115" ht="17">
      <c r="A25" s="26" t="str">
        <f t="shared" ref="A25:A35" ca="1" si="8">IF(D25="","",D25&amp;"_"&amp;B25&amp;"_"&amp;C25)</f>
        <v>line_clos_KOR_common</v>
      </c>
      <c r="B25" s="25" t="str">
        <f ca="1">IF(E25="","",OFFSET(B25,-1,0))</f>
        <v>KOR</v>
      </c>
      <c r="C25" s="25" t="str">
        <f t="shared" ref="C25:C35" si="9">IF(E25="","","common")</f>
        <v>common</v>
      </c>
      <c r="D25" s="25" t="s">
        <v>2345</v>
      </c>
      <c r="E25" s="25" t="s">
        <v>2346</v>
      </c>
      <c r="F25" s="25" t="str">
        <f t="shared" ref="F25:F35" ca="1" si="10">IF(A25="","","gb")</f>
        <v>gb</v>
      </c>
      <c r="G25" s="25"/>
      <c r="H25" s="35" t="str">
        <f t="shared" ref="H25:H35" si="11">"[["""&amp;
SUBSTITUTE(SUBSTITUTE(I25,":",""",""")," ","""],[""")
&amp;"""]]"</f>
        <v>[["0","정상","blue"],["1","마감","red"],["2","보류","green"]]</v>
      </c>
      <c r="I25" s="35" t="str">
        <f t="shared" ref="I25:I35" si="12">IF(AB25="","",AB25&amp;":"&amp;AC25)&amp;
IF(AD25="",""," "&amp;AD25&amp;":"&amp;AE25)&amp;
IF(AF25="",""," "&amp;AF25&amp;":"&amp;AG25)&amp;
IF(AH25="",""," "&amp;AH25&amp;":"&amp;AI25)&amp;
IF(AJ25="",""," "&amp;AJ25&amp;":"&amp;AK25)&amp;
IF(AL25="",""," "&amp;AL25&amp;":"&amp;AM25)&amp;
IF(AN25="",""," "&amp;AN25&amp;":"&amp;AO25)&amp;
IF(AP25="",""," "&amp;AP25&amp;":"&amp;AQ25)&amp;
IF(AR25="",""," "&amp;AR25&amp;":"&amp;AS25)&amp;
IF(AT25="",""," "&amp;AT25&amp;":"&amp;AU25)&amp;
IF(AV25="",""," "&amp;AV25&amp;":"&amp;AW25)&amp;
IF(AX25="",""," "&amp;AX25&amp;":"&amp;AY25)&amp;
IF(AZ25="",""," "&amp;AZ25&amp;":"&amp;BA25)&amp;
IF(BB25="",""," "&amp;BB25&amp;":"&amp;BC25)&amp;
IF(BD25="",""," "&amp;BD25&amp;":"&amp;BE25)&amp;
IF(BF25="",""," "&amp;BF25&amp;":"&amp;BG25)&amp;
IF(BH25="",""," "&amp;BH25&amp;":"&amp;BI25)&amp;
IF(BJ25="",""," "&amp;BJ25&amp;":"&amp;BK25)&amp;
IF(BL25="",""," "&amp;BL25&amp;":"&amp;BM25)&amp;
IF(BN25="",""," "&amp;BN25&amp;":"&amp;BO25)&amp;
IF(BP25="",""," "&amp;BP25&amp;":"&amp;BS25)&amp;
IF(BZ25="",""," "&amp;BZ25&amp;":"&amp;CA25)</f>
        <v>0:정상:blue 1:마감:red 2:보류:green</v>
      </c>
      <c r="J25" s="35"/>
      <c r="K25" s="35" t="str">
        <f t="shared" ref="K25:K31" si="13">IF(AB25="","",AB25&amp;"="&amp;AC25)&amp;
IF(AD25="","","|"&amp;AD25&amp;"="&amp;AE25)&amp;
IF(AF25="","","|"&amp;AF25&amp;"="&amp;AG25)&amp;
IF(AH25="","","|"&amp;AH25&amp;"="&amp;AI25)&amp;
IF(AJ25="","","|"&amp;AJ25&amp;"="&amp;AK25)&amp;
IF(AL25="","","|"&amp;AL25&amp;"="&amp;AM25)&amp;
IF(AN25="","","|"&amp;AN25&amp;"="&amp;AO25)&amp;
IF(AP25="","","|"&amp;AP25&amp;"="&amp;AQ25)&amp;
IF(AR25="","","|"&amp;AR25&amp;"="&amp;AS25)&amp;
IF(AT25="","","|"&amp;AT25&amp;"="&amp;AU25)&amp;
IF(AV25="","","|"&amp;AV25&amp;"="&amp;AW25)&amp;
IF(AX25="","","|"&amp;AX25&amp;"="&amp;AY25)&amp;
IF(AZ25="","","|"&amp;AZ25&amp;"="&amp;BA25)&amp;
IF(BB25="","","|"&amp;BB25&amp;"="&amp;BC25)&amp;
IF(BD25="","","|"&amp;BD25&amp;"="&amp;BE25)&amp;
IF(BF25="","","|"&amp;BF25&amp;"="&amp;BG25)&amp;
IF(BH25="","","|"&amp;BH25&amp;"="&amp;BI25)&amp;
IF(BJ25="","","|"&amp;BJ25&amp;"="&amp;BK25)&amp;
IF(BL25="","","|"&amp;BL25&amp;"="&amp;BM25)&amp;
IF(BN25="","","|"&amp;BN25&amp;"="&amp;BO25)&amp;
IF(BP25="","","|"&amp;BP25&amp;"="&amp;BQ25)&amp;
IF(BR25="","","|"&amp;BR25&amp;"="&amp;BS25)&amp;
IF(BT25="","","|"&amp;BT25&amp;"="&amp;BU25)&amp;
IF(BV25="","","|"&amp;BV25&amp;"="&amp;BW25)&amp;
IF(BX25="","","|"&amp;BX25&amp;"="&amp;BY25)</f>
        <v>0=정상:blue|1=마감:red|2=보류:green</v>
      </c>
      <c r="L25" s="2"/>
      <c r="M25" s="36" t="str">
        <f t="shared" ref="M25:P25" ca="1" si="14">IF(A25="","","0")</f>
        <v>0</v>
      </c>
      <c r="N25" s="36" t="str">
        <f t="shared" ca="1" si="14"/>
        <v>0</v>
      </c>
      <c r="O25" s="36" t="str">
        <f t="shared" si="14"/>
        <v>0</v>
      </c>
      <c r="P25" s="36" t="str">
        <f t="shared" si="14"/>
        <v>0</v>
      </c>
      <c r="Q25" s="35" t="str">
        <f t="shared" ref="Q25:Q35" si="15">IF(D25="","",D25&amp;" "&amp;E25&amp;" "&amp;H25)</f>
        <v>line_clos 마감여부 [["0","정상","blue"],["1","마감","red"],["2","보류","green"]]</v>
      </c>
      <c r="R25" s="2" t="s">
        <v>921</v>
      </c>
      <c r="S25" s="2"/>
      <c r="T25" s="2"/>
      <c r="U25" s="2"/>
      <c r="V25" s="2"/>
      <c r="W25" s="2"/>
      <c r="X25" s="2"/>
      <c r="Y25" s="2"/>
      <c r="Z25" s="2"/>
      <c r="AA25" s="2"/>
      <c r="AB25" s="31" t="s">
        <v>686</v>
      </c>
      <c r="AC25" s="25" t="s">
        <v>2460</v>
      </c>
      <c r="AD25" s="31" t="s">
        <v>684</v>
      </c>
      <c r="AE25" s="25" t="s">
        <v>2459</v>
      </c>
      <c r="AF25" s="31" t="s">
        <v>685</v>
      </c>
      <c r="AG25" s="25" t="s">
        <v>2522</v>
      </c>
      <c r="AH25" s="31"/>
      <c r="AI25" s="25"/>
      <c r="AJ25" s="31"/>
      <c r="AK25" s="25"/>
      <c r="AL25" s="31"/>
      <c r="AM25" s="25"/>
      <c r="AN25" s="31"/>
      <c r="AO25" s="25"/>
      <c r="AP25" s="31"/>
      <c r="AQ25" s="25"/>
      <c r="AR25" s="31"/>
      <c r="AS25" s="25"/>
      <c r="AT25" s="31"/>
      <c r="AU25" s="25"/>
      <c r="AV25" s="31"/>
      <c r="AW25" s="25"/>
      <c r="AX25" s="31"/>
      <c r="AY25" s="25"/>
      <c r="AZ25" s="31"/>
      <c r="BA25" s="25"/>
      <c r="BB25" s="31"/>
      <c r="BC25" s="25"/>
      <c r="BD25" s="31"/>
      <c r="BE25" s="25"/>
      <c r="BF25" s="31"/>
      <c r="BG25" s="25"/>
      <c r="BH25" s="31"/>
      <c r="BI25" s="25"/>
      <c r="BJ25" s="31"/>
      <c r="BK25" s="25"/>
      <c r="BL25" s="31"/>
      <c r="BM25" s="25"/>
      <c r="BN25" s="31"/>
      <c r="BO25" s="25"/>
      <c r="BP25" s="31"/>
      <c r="BQ25" s="25"/>
      <c r="BR25" s="31"/>
      <c r="BS25" s="25"/>
      <c r="BT25" s="31"/>
      <c r="BU25" s="25"/>
      <c r="BV25" s="31"/>
      <c r="BW25" s="25"/>
      <c r="BX25" s="31"/>
      <c r="BY25" s="25"/>
      <c r="CA25" s="1" t="str">
        <f t="shared" ref="CA25:CA35" ca="1" si="16">IF(A25="","","delete from sscd_mast where sscd_idcd = '"&amp;A25&amp;"'  and site_idcd = '"&amp;C25&amp;"';")</f>
        <v>delete from sscd_mast where sscd_idcd = 'line_clos_KOR_common'  and site_idcd = 'common';</v>
      </c>
      <c r="CB25" s="5" t="str">
        <f ca="1">IF(E25&lt;&gt;"",CREATE_QUERY($B$1,A$2:AA$2,A25:AA25),"")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('line_clos_KOR_common', 'KOR', 'common', 'line_clos', '마감여부', 'gb', '', '[["0","정상","blue"],["1","마감","red"],["2","보류","green"]]', '0:정상:blue 1:마감:red 2:보류:green', '', '0=정상:blue|1=마감:red|2=보류:green', '', '0', '0', '0', '0', 'line_clos 마감여부 [["0","정상","blue"],["1","마감","red"],["2","보류","green"]]', ' ', '', '', '', '', '', '', '', '', '');</v>
      </c>
    </row>
    <row r="26" spans="1:115" ht="17">
      <c r="A26" s="26" t="str">
        <f t="shared" si="8"/>
        <v>sscd_dvcd_KOR_common</v>
      </c>
      <c r="B26" s="25" t="s">
        <v>27</v>
      </c>
      <c r="C26" s="25" t="str">
        <f t="shared" si="9"/>
        <v>common</v>
      </c>
      <c r="D26" s="25" t="s">
        <v>5</v>
      </c>
      <c r="E26" s="25" t="s">
        <v>161</v>
      </c>
      <c r="F26" s="25" t="str">
        <f t="shared" si="10"/>
        <v>gb</v>
      </c>
      <c r="G26" s="25"/>
      <c r="H26" s="35" t="str">
        <f t="shared" si="11"/>
        <v>[["1000","MES"],["2000","ERP"],["3000","Smart"],["Factory"]]</v>
      </c>
      <c r="I26" s="35" t="str">
        <f t="shared" si="12"/>
        <v>1000:MES 2000:ERP 3000:Smart Factory</v>
      </c>
      <c r="J26" s="35"/>
      <c r="K26" s="35" t="str">
        <f t="shared" si="13"/>
        <v>1000=MES|2000=ERP|3000=Smart Factory</v>
      </c>
      <c r="L26" s="2"/>
      <c r="M26" s="36">
        <v>0</v>
      </c>
      <c r="N26" s="36">
        <v>0</v>
      </c>
      <c r="O26" s="36" t="s">
        <v>31</v>
      </c>
      <c r="P26" s="36" t="s">
        <v>31</v>
      </c>
      <c r="Q26" s="35" t="str">
        <f t="shared" si="15"/>
        <v>sscd_dvcd 시스템코드구분코드 [["1000","MES"],["2000","ERP"],["3000","Smart"],["Factory"]]</v>
      </c>
      <c r="R26" s="2" t="s">
        <v>921</v>
      </c>
      <c r="S26" s="2"/>
      <c r="T26" s="2"/>
      <c r="U26" s="2"/>
      <c r="V26" s="2"/>
      <c r="W26" s="2"/>
      <c r="X26" s="2"/>
      <c r="Y26" s="2"/>
      <c r="Z26" s="2"/>
      <c r="AA26" s="2"/>
      <c r="AB26" s="28" t="s">
        <v>591</v>
      </c>
      <c r="AC26" s="25" t="s">
        <v>791</v>
      </c>
      <c r="AD26" s="28" t="s">
        <v>592</v>
      </c>
      <c r="AE26" s="25" t="s">
        <v>792</v>
      </c>
      <c r="AF26" s="28" t="s">
        <v>600</v>
      </c>
      <c r="AG26" s="25" t="s">
        <v>793</v>
      </c>
      <c r="AH26" s="28"/>
      <c r="AI26" s="25"/>
      <c r="AJ26" s="28"/>
      <c r="AK26" s="25"/>
      <c r="AL26" s="28"/>
      <c r="AM26" s="25"/>
      <c r="AN26" s="28"/>
      <c r="AO26" s="25"/>
      <c r="AP26" s="28"/>
      <c r="AQ26" s="25"/>
      <c r="AR26" s="28"/>
      <c r="AS26" s="25"/>
      <c r="AT26" s="28"/>
      <c r="AU26" s="25"/>
      <c r="AV26" s="28"/>
      <c r="AW26" s="25"/>
      <c r="AX26" s="28"/>
      <c r="AY26" s="25"/>
      <c r="AZ26" s="28"/>
      <c r="BA26" s="25"/>
      <c r="BB26" s="28"/>
      <c r="BC26" s="25"/>
      <c r="BD26" s="28"/>
      <c r="BE26" s="25"/>
      <c r="BF26" s="28"/>
      <c r="BG26" s="25"/>
      <c r="BH26" s="28"/>
      <c r="BI26" s="25"/>
      <c r="BJ26" s="28"/>
      <c r="BK26" s="25"/>
      <c r="BL26" s="28"/>
      <c r="BM26" s="25"/>
      <c r="BN26" s="28"/>
      <c r="BO26" s="25"/>
      <c r="BP26" s="28"/>
      <c r="BQ26" s="25"/>
      <c r="BR26" s="28"/>
      <c r="BS26" s="25"/>
      <c r="BT26" s="28"/>
      <c r="BU26" s="25"/>
      <c r="BV26" s="28"/>
      <c r="BW26" s="25"/>
      <c r="BX26" s="28"/>
      <c r="BY26" s="25"/>
      <c r="CA26" s="1" t="str">
        <f t="shared" si="16"/>
        <v>delete from sscd_mast where sscd_idcd = 'sscd_dvcd_KOR_common'  and site_idcd = 'common';</v>
      </c>
      <c r="CB26" s="5" t="str">
        <f>IF(E26&lt;&gt;"",CREATE_QUERY($B$1,A$2:AA$2,A26:AA26),"")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('sscd_dvcd_KOR_common', 'KOR', 'common', 'sscd_dvcd', '시스템코드구분코드', 'gb', '', '[["1000","MES"],["2000","ERP"],["3000","Smart"],["Factory"]]', '1000:MES 2000:ERP 3000:Smart Factory', '', '1000=MES|2000=ERP|3000=Smart Factory', '', '0', '0', '0', '0', 'sscd_dvcd 시스템코드구분코드 [["1000","MES"],["2000","ERP"],["3000","Smart"],["Factory"]]', ' ', '', '', '', '', '', '', '', '', '');</v>
      </c>
    </row>
    <row r="27" spans="1:115" ht="17">
      <c r="A27" s="26" t="str">
        <f t="shared" si="8"/>
        <v>birh_dvcd_KOR_common</v>
      </c>
      <c r="B27" s="25" t="s">
        <v>27</v>
      </c>
      <c r="C27" s="25" t="str">
        <f t="shared" si="9"/>
        <v>common</v>
      </c>
      <c r="D27" s="25" t="s">
        <v>259</v>
      </c>
      <c r="E27" s="25" t="s">
        <v>122</v>
      </c>
      <c r="F27" s="25" t="str">
        <f t="shared" si="10"/>
        <v>gb</v>
      </c>
      <c r="G27" s="25"/>
      <c r="H27" s="35" t="str">
        <f t="shared" si="11"/>
        <v>[["1","양력"],["2","음력"]]</v>
      </c>
      <c r="I27" s="35" t="str">
        <f t="shared" si="12"/>
        <v>1:양력 2:음력</v>
      </c>
      <c r="J27" s="35"/>
      <c r="K27" s="35" t="str">
        <f t="shared" si="13"/>
        <v>1=양력|2=음력</v>
      </c>
      <c r="L27" s="2"/>
      <c r="M27" s="36">
        <v>0</v>
      </c>
      <c r="N27" s="36">
        <v>0</v>
      </c>
      <c r="O27" s="36" t="s">
        <v>31</v>
      </c>
      <c r="P27" s="36" t="s">
        <v>31</v>
      </c>
      <c r="Q27" s="35" t="str">
        <f t="shared" si="15"/>
        <v>birh_dvcd 생일구분 [["1","양력"],["2","음력"]]</v>
      </c>
      <c r="R27" s="2" t="s">
        <v>921</v>
      </c>
      <c r="S27" s="2"/>
      <c r="T27" s="2"/>
      <c r="U27" s="2" t="s">
        <v>32</v>
      </c>
      <c r="V27" s="2"/>
      <c r="W27" s="2"/>
      <c r="X27" s="2"/>
      <c r="Y27" s="2"/>
      <c r="Z27" s="2"/>
      <c r="AA27" s="2"/>
      <c r="AB27" s="29" t="s">
        <v>370</v>
      </c>
      <c r="AC27" s="25" t="s">
        <v>453</v>
      </c>
      <c r="AD27" s="29">
        <v>2</v>
      </c>
      <c r="AE27" s="25" t="s">
        <v>454</v>
      </c>
      <c r="AF27" s="29"/>
      <c r="AG27" s="25"/>
      <c r="AH27" s="29"/>
      <c r="AI27" s="25"/>
      <c r="AJ27" s="29"/>
      <c r="AK27" s="25"/>
      <c r="AL27" s="29"/>
      <c r="AM27" s="25"/>
      <c r="AN27" s="29"/>
      <c r="AO27" s="25"/>
      <c r="AP27" s="29"/>
      <c r="AQ27" s="25"/>
      <c r="AR27" s="29"/>
      <c r="AS27" s="25"/>
      <c r="AT27" s="29"/>
      <c r="AU27" s="25"/>
      <c r="AV27" s="29"/>
      <c r="AW27" s="25"/>
      <c r="AX27" s="29"/>
      <c r="AY27" s="25"/>
      <c r="AZ27" s="29"/>
      <c r="BA27" s="25"/>
      <c r="BB27" s="29"/>
      <c r="BC27" s="25"/>
      <c r="BD27" s="29"/>
      <c r="BE27" s="25"/>
      <c r="BF27" s="29"/>
      <c r="BG27" s="25"/>
      <c r="BH27" s="29"/>
      <c r="BI27" s="25"/>
      <c r="BJ27" s="29"/>
      <c r="BK27" s="25"/>
      <c r="BL27" s="29"/>
      <c r="BM27" s="25"/>
      <c r="BN27" s="29"/>
      <c r="BO27" s="25"/>
      <c r="BP27" s="29"/>
      <c r="BQ27" s="25"/>
      <c r="BR27" s="29"/>
      <c r="BS27" s="25"/>
      <c r="BT27" s="29"/>
      <c r="BU27" s="25"/>
      <c r="BV27" s="29"/>
      <c r="BW27" s="25"/>
      <c r="BX27" s="29"/>
      <c r="BY27" s="25"/>
      <c r="CA27" s="1" t="str">
        <f t="shared" si="16"/>
        <v>delete from sscd_mast where sscd_idcd = 'birh_dvcd_KOR_common'  and site_idcd = 'common';</v>
      </c>
      <c r="CB27" s="5" t="str">
        <f>IF(E27&lt;&gt;"",CREATE_QUERY($B$1,A$2:AA$2,A27:AA27),"")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('birh_dvcd_KOR_common', 'KOR', 'common', 'birh_dvcd', '생일구분', 'gb', '', '[["1","양력"],["2","음력"]]', '1:양력 2:음력', '', '1=양력|2=음력', '', '0', '0', '0', '0', 'birh_dvcd 생일구분 [["1","양력"],["2","음력"]]', ' ', '', '', ' ', '', '', '', '', '', '');</v>
      </c>
    </row>
    <row r="28" spans="1:115" ht="17">
      <c r="A28" s="26" t="str">
        <f t="shared" si="8"/>
        <v>gndr_dvcd_KOR_common</v>
      </c>
      <c r="B28" s="25" t="s">
        <v>27</v>
      </c>
      <c r="C28" s="25" t="str">
        <f t="shared" si="9"/>
        <v>common</v>
      </c>
      <c r="D28" s="25" t="s">
        <v>261</v>
      </c>
      <c r="E28" s="25" t="s">
        <v>114</v>
      </c>
      <c r="F28" s="25" t="str">
        <f t="shared" si="10"/>
        <v>gb</v>
      </c>
      <c r="G28" s="25"/>
      <c r="H28" s="35" t="str">
        <f t="shared" si="11"/>
        <v>[["M","남"],["F","여"]]</v>
      </c>
      <c r="I28" s="35" t="str">
        <f t="shared" si="12"/>
        <v>M:남 F:여</v>
      </c>
      <c r="J28" s="35"/>
      <c r="K28" s="35" t="str">
        <f t="shared" si="13"/>
        <v>M=남|F=여</v>
      </c>
      <c r="L28" s="2"/>
      <c r="M28" s="36">
        <v>0</v>
      </c>
      <c r="N28" s="36">
        <v>0</v>
      </c>
      <c r="O28" s="36" t="s">
        <v>31</v>
      </c>
      <c r="P28" s="36" t="s">
        <v>31</v>
      </c>
      <c r="Q28" s="35" t="str">
        <f t="shared" si="15"/>
        <v>gndr_dvcd 성별코드 [["M","남"],["F","여"]]</v>
      </c>
      <c r="R28" s="2" t="s">
        <v>921</v>
      </c>
      <c r="S28" s="2"/>
      <c r="T28" s="2"/>
      <c r="U28" s="2" t="s">
        <v>32</v>
      </c>
      <c r="V28" s="2"/>
      <c r="W28" s="2"/>
      <c r="X28" s="2"/>
      <c r="Y28" s="2"/>
      <c r="Z28" s="2"/>
      <c r="AA28" s="2"/>
      <c r="AB28" s="29" t="s">
        <v>461</v>
      </c>
      <c r="AC28" s="25" t="s">
        <v>462</v>
      </c>
      <c r="AD28" s="29" t="s">
        <v>463</v>
      </c>
      <c r="AE28" s="25" t="s">
        <v>464</v>
      </c>
      <c r="AF28" s="29"/>
      <c r="AG28" s="25"/>
      <c r="AH28" s="29"/>
      <c r="AI28" s="25"/>
      <c r="AJ28" s="29"/>
      <c r="AK28" s="25"/>
      <c r="AL28" s="29"/>
      <c r="AM28" s="25"/>
      <c r="AN28" s="29"/>
      <c r="AO28" s="25"/>
      <c r="AP28" s="29"/>
      <c r="AQ28" s="25"/>
      <c r="AR28" s="29"/>
      <c r="AS28" s="25"/>
      <c r="AT28" s="29"/>
      <c r="AU28" s="25"/>
      <c r="AV28" s="29"/>
      <c r="AW28" s="25"/>
      <c r="AX28" s="29"/>
      <c r="AY28" s="25"/>
      <c r="AZ28" s="29"/>
      <c r="BA28" s="25"/>
      <c r="BB28" s="29"/>
      <c r="BC28" s="25"/>
      <c r="BD28" s="29"/>
      <c r="BE28" s="25"/>
      <c r="BF28" s="29"/>
      <c r="BG28" s="25"/>
      <c r="BH28" s="29"/>
      <c r="BI28" s="25"/>
      <c r="BJ28" s="29"/>
      <c r="BK28" s="25"/>
      <c r="BL28" s="29"/>
      <c r="BM28" s="25"/>
      <c r="BN28" s="29"/>
      <c r="BO28" s="25"/>
      <c r="BP28" s="29"/>
      <c r="BQ28" s="25"/>
      <c r="BR28" s="29"/>
      <c r="BS28" s="25"/>
      <c r="BT28" s="29"/>
      <c r="BU28" s="25"/>
      <c r="BV28" s="29"/>
      <c r="BW28" s="25"/>
      <c r="BX28" s="29"/>
      <c r="BY28" s="25"/>
      <c r="CA28" s="1" t="str">
        <f t="shared" si="16"/>
        <v>delete from sscd_mast where sscd_idcd = 'gndr_dvcd_KOR_common'  and site_idcd = 'common';</v>
      </c>
      <c r="CB28" s="5" t="str">
        <f>IF(E28&lt;&gt;"",CREATE_QUERY($B$1,A$2:AA$2,A28:AA28),"")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('gndr_dvcd_KOR_common', 'KOR', 'common', 'gndr_dvcd', '성별코드', 'gb', '', '[["M","남"],["F","여"]]', 'M:남 F:여', '', 'M=남|F=여', '', '0', '0', '0', '0', 'gndr_dvcd 성별코드 [["M","남"],["F","여"]]', ' ', '', '', ' ', '', '', '', '', '', '');</v>
      </c>
    </row>
    <row r="29" spans="1:115" ht="17">
      <c r="A29" s="26" t="str">
        <f t="shared" ca="1" si="8"/>
        <v>dcml_calc_mthd_KOR_common</v>
      </c>
      <c r="B29" s="25" t="str">
        <f ca="1">IF(E29="","",OFFSET(B29,-1,0))</f>
        <v>KOR</v>
      </c>
      <c r="C29" s="25" t="str">
        <f t="shared" si="9"/>
        <v>common</v>
      </c>
      <c r="D29" s="25" t="s">
        <v>916</v>
      </c>
      <c r="E29" s="25" t="s">
        <v>917</v>
      </c>
      <c r="F29" s="25" t="str">
        <f t="shared" ca="1" si="10"/>
        <v>gb</v>
      </c>
      <c r="G29" s="25"/>
      <c r="H29" s="35" t="str">
        <f t="shared" si="11"/>
        <v>[["1000","절상"],["2000","절삭"],["3000","반올림"]]</v>
      </c>
      <c r="I29" s="35" t="str">
        <f t="shared" si="12"/>
        <v>1000:절상 2000:절삭 3000:반올림</v>
      </c>
      <c r="J29" s="35"/>
      <c r="K29" s="35" t="str">
        <f t="shared" si="13"/>
        <v>1000=절상|2000=절삭|3000=반올림</v>
      </c>
      <c r="L29" s="2"/>
      <c r="M29" s="36" t="str">
        <f ca="1">IF(A29="","","0")</f>
        <v>0</v>
      </c>
      <c r="N29" s="36" t="str">
        <f ca="1">IF(B29="","","0")</f>
        <v>0</v>
      </c>
      <c r="O29" s="36" t="str">
        <f>IF(C29="","","0")</f>
        <v>0</v>
      </c>
      <c r="P29" s="36" t="str">
        <f>IF(D29="","","0")</f>
        <v>0</v>
      </c>
      <c r="Q29" s="35" t="str">
        <f t="shared" si="15"/>
        <v>dcml_calc_mthd 소수점계산방식 [["1000","절상"],["2000","절삭"],["3000","반올림"]]</v>
      </c>
      <c r="R29" s="2" t="s">
        <v>921</v>
      </c>
      <c r="S29" s="2"/>
      <c r="T29" s="2"/>
      <c r="U29" s="2"/>
      <c r="V29" s="2"/>
      <c r="W29" s="2"/>
      <c r="X29" s="2"/>
      <c r="Y29" s="2"/>
      <c r="Z29" s="2"/>
      <c r="AA29" s="2"/>
      <c r="AB29" s="31" t="s">
        <v>591</v>
      </c>
      <c r="AC29" s="25" t="s">
        <v>918</v>
      </c>
      <c r="AD29" s="31" t="s">
        <v>592</v>
      </c>
      <c r="AE29" s="25" t="s">
        <v>919</v>
      </c>
      <c r="AF29" s="31" t="s">
        <v>600</v>
      </c>
      <c r="AG29" s="25" t="s">
        <v>920</v>
      </c>
      <c r="AH29" s="31"/>
      <c r="AI29" s="25"/>
      <c r="AJ29" s="31"/>
      <c r="AK29" s="25"/>
      <c r="AL29" s="31"/>
      <c r="AM29" s="25"/>
      <c r="AN29" s="31"/>
      <c r="AO29" s="25"/>
      <c r="AP29" s="31"/>
      <c r="AQ29" s="25"/>
      <c r="AR29" s="31"/>
      <c r="AS29" s="25"/>
      <c r="AT29" s="31"/>
      <c r="AU29" s="25"/>
      <c r="AV29" s="31"/>
      <c r="AW29" s="25"/>
      <c r="AX29" s="31"/>
      <c r="AY29" s="25"/>
      <c r="AZ29" s="31"/>
      <c r="BA29" s="25"/>
      <c r="BB29" s="31"/>
      <c r="BC29" s="25"/>
      <c r="BD29" s="31"/>
      <c r="BE29" s="25"/>
      <c r="BF29" s="31"/>
      <c r="BG29" s="25"/>
      <c r="BH29" s="31"/>
      <c r="BI29" s="25"/>
      <c r="BJ29" s="31"/>
      <c r="BK29" s="25"/>
      <c r="BL29" s="31"/>
      <c r="BM29" s="25"/>
      <c r="BN29" s="31"/>
      <c r="BO29" s="25"/>
      <c r="BP29" s="31"/>
      <c r="BQ29" s="25"/>
      <c r="BR29" s="31"/>
      <c r="BS29" s="25"/>
      <c r="BT29" s="31"/>
      <c r="BU29" s="25"/>
      <c r="BV29" s="31"/>
      <c r="BW29" s="25"/>
      <c r="BX29" s="31"/>
      <c r="BY29" s="25"/>
      <c r="CA29" s="1" t="str">
        <f t="shared" ca="1" si="16"/>
        <v>delete from sscd_mast where sscd_idcd = 'dcml_calc_mthd_KOR_common'  and site_idcd = 'common';</v>
      </c>
      <c r="CB29" s="5" t="str">
        <f ca="1">IF(E29&lt;&gt;"",CREATE_QUERY($B$1,A$2:AA$2,A29:AA29),"")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('dcml_calc_mthd_KOR_common', 'KOR', 'common', 'dcml_calc_mthd', '소수점계산방식', 'gb', '', '[["1000","절상"],["2000","절삭"],["3000","반올림"]]', '1000:절상 2000:절삭 3000:반올림', '', '1000=절상|2000=절삭|3000=반올림', '', '0', '0', '0', '0', 'dcml_calc_mthd 소수점계산방식 [["1000","절상"],["2000","절삭"],["3000","반올림"]]', ' ', '', '', '', '', '', '', '', '', '');</v>
      </c>
    </row>
    <row r="30" spans="1:115" ht="17">
      <c r="A30" s="26" t="str">
        <f t="shared" si="8"/>
        <v>ndqt_calc_mthd_dvcd_KOR_common</v>
      </c>
      <c r="B30" s="25" t="s">
        <v>27</v>
      </c>
      <c r="C30" s="25" t="str">
        <f t="shared" si="9"/>
        <v>common</v>
      </c>
      <c r="D30" s="25" t="s">
        <v>289</v>
      </c>
      <c r="E30" s="25" t="s">
        <v>175</v>
      </c>
      <c r="F30" s="25" t="str">
        <f t="shared" si="10"/>
        <v>gb</v>
      </c>
      <c r="G30" s="25"/>
      <c r="H30" s="35" t="str">
        <f t="shared" si="11"/>
        <v>[["1","정밀"],["2","수불단위"],["3","계산제외"]]</v>
      </c>
      <c r="I30" s="35" t="str">
        <f t="shared" si="12"/>
        <v>1:정밀 2:수불단위 3:계산제외</v>
      </c>
      <c r="J30" s="35"/>
      <c r="K30" s="35" t="str">
        <f t="shared" si="13"/>
        <v>1=정밀|2=수불단위|3=계산제외</v>
      </c>
      <c r="L30" s="2"/>
      <c r="M30" s="36">
        <v>0</v>
      </c>
      <c r="N30" s="36">
        <v>0</v>
      </c>
      <c r="O30" s="36" t="s">
        <v>31</v>
      </c>
      <c r="P30" s="36" t="s">
        <v>31</v>
      </c>
      <c r="Q30" s="35" t="str">
        <f t="shared" si="15"/>
        <v>ndqt_calc_mthd_dvcd 소요량계산방식구분코드 [["1","정밀"],["2","수불단위"],["3","계산제외"]]</v>
      </c>
      <c r="R30" s="2" t="s">
        <v>921</v>
      </c>
      <c r="S30" s="2"/>
      <c r="T30" s="2"/>
      <c r="U30" s="2"/>
      <c r="V30" s="2"/>
      <c r="W30" s="2"/>
      <c r="X30" s="2"/>
      <c r="Y30" s="2"/>
      <c r="Z30" s="2"/>
      <c r="AA30" s="2"/>
      <c r="AB30" s="28" t="s">
        <v>684</v>
      </c>
      <c r="AC30" s="25" t="s">
        <v>881</v>
      </c>
      <c r="AD30" s="28" t="s">
        <v>685</v>
      </c>
      <c r="AE30" s="25" t="s">
        <v>882</v>
      </c>
      <c r="AF30" s="28">
        <v>3</v>
      </c>
      <c r="AG30" s="25" t="s">
        <v>883</v>
      </c>
      <c r="AH30" s="28"/>
      <c r="AI30" s="25"/>
      <c r="AJ30" s="28"/>
      <c r="AK30" s="25"/>
      <c r="AL30" s="28"/>
      <c r="AM30" s="25"/>
      <c r="AN30" s="28"/>
      <c r="AO30" s="25"/>
      <c r="AP30" s="28"/>
      <c r="AQ30" s="25"/>
      <c r="AR30" s="28"/>
      <c r="AS30" s="25"/>
      <c r="AT30" s="28"/>
      <c r="AU30" s="25"/>
      <c r="AV30" s="28"/>
      <c r="AW30" s="25"/>
      <c r="AX30" s="28"/>
      <c r="AY30" s="25"/>
      <c r="AZ30" s="28"/>
      <c r="BA30" s="25"/>
      <c r="BB30" s="28"/>
      <c r="BC30" s="25"/>
      <c r="BD30" s="28"/>
      <c r="BE30" s="25"/>
      <c r="BF30" s="28"/>
      <c r="BG30" s="25"/>
      <c r="BH30" s="28"/>
      <c r="BI30" s="25"/>
      <c r="BJ30" s="28"/>
      <c r="BK30" s="25"/>
      <c r="BL30" s="28"/>
      <c r="BM30" s="25"/>
      <c r="BN30" s="28"/>
      <c r="BO30" s="25"/>
      <c r="BP30" s="28"/>
      <c r="BQ30" s="25"/>
      <c r="BR30" s="28"/>
      <c r="BS30" s="25"/>
      <c r="BT30" s="28"/>
      <c r="BU30" s="25"/>
      <c r="BV30" s="28"/>
      <c r="BW30" s="25"/>
      <c r="BX30" s="28"/>
      <c r="BY30" s="25"/>
      <c r="CA30" s="1" t="str">
        <f t="shared" si="16"/>
        <v>delete from sscd_mast where sscd_idcd = 'ndqt_calc_mthd_dvcd_KOR_common'  and site_idcd = 'common';</v>
      </c>
      <c r="CB30" s="5" t="str">
        <f>IF(E30&lt;&gt;"",CREATE_QUERY($B$1,A$2:AA$2,A30:AA30),"")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('ndqt_calc_mthd_dvcd_KOR_common', 'KOR', 'common', 'ndqt_calc_mthd_dvcd', '소요량계산방식구분코드', 'gb', '', '[["1","정밀"],["2","수불단위"],["3","계산제외"]]', '1:정밀 2:수불단위 3:계산제외', '', '1=정밀|2=수불단위|3=계산제외', '', '0', '0', '0', '0', 'ndqt_calc_mthd_dvcd 소요량계산방식구분코드 [["1","정밀"],["2","수불단위"],["3","계산제외"]]', ' ', '', '', '', '', '', '', '', '', '');</v>
      </c>
    </row>
    <row r="31" spans="1:115" ht="17">
      <c r="A31" s="26" t="str">
        <f t="shared" si="8"/>
        <v>apvl_dvcd_KOR_common</v>
      </c>
      <c r="B31" s="25" t="s">
        <v>27</v>
      </c>
      <c r="C31" s="25" t="str">
        <f t="shared" si="9"/>
        <v>common</v>
      </c>
      <c r="D31" s="25" t="s">
        <v>237</v>
      </c>
      <c r="E31" s="25" t="s">
        <v>157</v>
      </c>
      <c r="F31" s="25" t="str">
        <f t="shared" si="10"/>
        <v>gb</v>
      </c>
      <c r="G31" s="25"/>
      <c r="H31" s="35" t="str">
        <f t="shared" si="11"/>
        <v>[["0200","승인요청","blue"],["0300","보류"],["0400","반려"],["0500","승인","red"]]</v>
      </c>
      <c r="I31" s="35" t="str">
        <f t="shared" si="12"/>
        <v>0200:승인요청:blue 0300:보류 0400:반려 0500:승인:red</v>
      </c>
      <c r="J31" s="35"/>
      <c r="K31" s="35" t="str">
        <f t="shared" si="13"/>
        <v>0200=승인요청:blue|0300=보류|0400=반려|0500=승인:red</v>
      </c>
      <c r="L31" s="2"/>
      <c r="M31" s="36">
        <v>0</v>
      </c>
      <c r="N31" s="36">
        <v>0</v>
      </c>
      <c r="O31" s="36" t="s">
        <v>31</v>
      </c>
      <c r="P31" s="36" t="s">
        <v>31</v>
      </c>
      <c r="Q31" s="35" t="str">
        <f t="shared" si="15"/>
        <v>apvl_dvcd 승인구분 [["0200","승인요청","blue"],["0300","보류"],["0400","반려"],["0500","승인","red"]]</v>
      </c>
      <c r="R31" s="2" t="s">
        <v>921</v>
      </c>
      <c r="S31" s="2"/>
      <c r="T31" s="2"/>
      <c r="U31" s="2" t="s">
        <v>32</v>
      </c>
      <c r="V31" s="2"/>
      <c r="W31" s="2"/>
      <c r="X31" s="2"/>
      <c r="Y31" s="2"/>
      <c r="Z31" s="2"/>
      <c r="AA31" s="2"/>
      <c r="AB31" s="29" t="s">
        <v>584</v>
      </c>
      <c r="AC31" s="25" t="s">
        <v>614</v>
      </c>
      <c r="AD31" s="29" t="s">
        <v>585</v>
      </c>
      <c r="AE31" s="25" t="s">
        <v>830</v>
      </c>
      <c r="AF31" s="29" t="s">
        <v>567</v>
      </c>
      <c r="AG31" s="25" t="s">
        <v>2695</v>
      </c>
      <c r="AH31" s="29" t="s">
        <v>568</v>
      </c>
      <c r="AI31" s="25" t="s">
        <v>2696</v>
      </c>
      <c r="AJ31" s="29"/>
      <c r="AK31" s="25"/>
      <c r="AL31" s="29"/>
      <c r="AM31" s="25"/>
      <c r="AN31" s="29"/>
      <c r="AO31" s="25"/>
      <c r="AP31" s="29"/>
      <c r="AQ31" s="25"/>
      <c r="AR31" s="29"/>
      <c r="AS31" s="25"/>
      <c r="AT31" s="29"/>
      <c r="AU31" s="25"/>
      <c r="AV31" s="29"/>
      <c r="AW31" s="25"/>
      <c r="AX31" s="29"/>
      <c r="AY31" s="25"/>
      <c r="AZ31" s="29"/>
      <c r="BA31" s="25"/>
      <c r="BB31" s="29"/>
      <c r="BC31" s="25"/>
      <c r="BD31" s="29"/>
      <c r="BE31" s="25"/>
      <c r="BF31" s="29"/>
      <c r="BG31" s="25"/>
      <c r="BH31" s="29"/>
      <c r="BI31" s="25"/>
      <c r="BJ31" s="29"/>
      <c r="BK31" s="25"/>
      <c r="BL31" s="29"/>
      <c r="BM31" s="25"/>
      <c r="BN31" s="29"/>
      <c r="BO31" s="25"/>
      <c r="BP31" s="29"/>
      <c r="BQ31" s="25"/>
      <c r="BR31" s="29"/>
      <c r="BS31" s="25"/>
      <c r="BT31" s="29"/>
      <c r="BU31" s="25"/>
      <c r="BV31" s="29"/>
      <c r="BW31" s="25"/>
      <c r="BX31" s="29"/>
      <c r="BY31" s="25"/>
      <c r="CA31" s="1" t="str">
        <f t="shared" si="16"/>
        <v>delete from sscd_mast where sscd_idcd = 'apvl_dvcd_KOR_common'  and site_idcd = 'common';</v>
      </c>
      <c r="CB31" s="5" t="str">
        <f>IF(E31&lt;&gt;"",CREATE_QUERY($B$1,A$2:AA$2,A31:AA31),"")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('apvl_dvcd_KOR_common', 'KOR', 'common', 'apvl_dvcd', '승인구분', 'gb', '', '[["0200","승인요청","blue"],["0300","보류"],["0400","반려"],["0500","승인","red"]]', '0200:승인요청:blue 0300:보류 0400:반려 0500:승인:red', '', '0200=승인요청:blue|0300=보류|0400=반려|0500=승인:red', '', '0', '0', '0', '0', 'apvl_dvcd 승인구분 [["0200","승인요청","blue"],["0300","보류"],["0400","반려"],["0500","승인","red"]]', ' ', '', '', ' ', '', '', '', '', '', '');</v>
      </c>
    </row>
    <row r="32" spans="1:115" ht="17">
      <c r="A32" s="3" t="str">
        <f t="shared" ca="1" si="8"/>
        <v>monh_dvcd_KOR_common</v>
      </c>
      <c r="B32" s="2" t="str">
        <f t="shared" ref="B32" ca="1" si="17">IF(E32="","",OFFSET(B32,-1,0))</f>
        <v>KOR</v>
      </c>
      <c r="C32" s="25" t="str">
        <f t="shared" si="9"/>
        <v>common</v>
      </c>
      <c r="D32" s="25" t="s">
        <v>2962</v>
      </c>
      <c r="E32" s="25" t="s">
        <v>2963</v>
      </c>
      <c r="F32" s="25" t="str">
        <f t="shared" ca="1" si="10"/>
        <v>gb</v>
      </c>
      <c r="G32" s="25"/>
      <c r="H32" s="2" t="str">
        <f t="shared" si="11"/>
        <v>[["01","1월"],["02","2월"],["03","3월"],["04","4월"],["05","5월"],["06","6월"],["07","7월"],["08","8월"],["09","9월"],["10","10월"],["11","11월"],["12","12월"]]</v>
      </c>
      <c r="I32" s="2" t="str">
        <f t="shared" si="12"/>
        <v>01:1월 02:2월 03:3월 04:4월 05:5월 06:6월 07:7월 08:8월 09:9월 10:10월 11:11월 12:12월</v>
      </c>
      <c r="J32" s="2"/>
      <c r="K32" s="2" t="str">
        <f>IF(AB32="","",AB32&amp;"="&amp;AC32)&amp;
IF(AD32="","","|"&amp;AD32&amp;"="&amp;AE32)&amp;
IF(AF32="","","|"&amp;AF32&amp;"="&amp;AG32)&amp;
IF(AH32="","","|"&amp;AH32&amp;"="&amp;AI32)&amp;
IF(AJ32="","","|"&amp;AJ32&amp;"="&amp;AK32)&amp;
IF(AL32="","","|"&amp;AL32&amp;"="&amp;AM32)&amp;
IF(AN32="","","|"&amp;AN32&amp;"="&amp;AO32)&amp;
IF(AP32="","","|"&amp;AP32&amp;"="&amp;AQ32)&amp;
IF(AR32="","","|"&amp;AR32&amp;"="&amp;AS32)&amp;
IF(AT32="","","|"&amp;AT32&amp;"="&amp;AU32)&amp;
IF(AV32="","","|"&amp;AV32&amp;"="&amp;AW32)&amp;
IF(AX32="","","|"&amp;AX32&amp;"="&amp;AY32)&amp;
IF(AZ32="","","|"&amp;AZ32&amp;"="&amp;BA32)&amp;
IF(BB32="","","|"&amp;BB32&amp;"="&amp;BC32)&amp;
IF(BD32="","","|"&amp;BD32&amp;"="&amp;BE32)&amp;
IF(BF32="","","|"&amp;BF32&amp;"="&amp;BG32)&amp;
IF(BH32="","","|"&amp;BH32&amp;"="&amp;BI32)&amp;
IF(BJ32="","","|"&amp;BJ32&amp;"="&amp;BK32)&amp;
IF(BL32="","","|"&amp;BL32&amp;"="&amp;BM32)&amp;
IF(BN32="","","|"&amp;BN32&amp;"="&amp;BO32)&amp;
IF(BP32="","","|"&amp;BP32&amp;"="&amp;BS32)&amp;
IF(BZ32="","","|"&amp;BZ32&amp;"="&amp;CA32)</f>
        <v>01=1월|02=2월|03=3월|04=4월|05=5월|06=6월|07=7월|08=8월|09=9월|10=10월|11=11월|12=12월</v>
      </c>
      <c r="L32" s="2"/>
      <c r="M32" s="36" t="str">
        <f t="shared" ref="M32:P33" ca="1" si="18">IF(A32="","","0")</f>
        <v>0</v>
      </c>
      <c r="N32" s="36" t="str">
        <f t="shared" ca="1" si="18"/>
        <v>0</v>
      </c>
      <c r="O32" s="36" t="str">
        <f t="shared" si="18"/>
        <v>0</v>
      </c>
      <c r="P32" s="36" t="str">
        <f t="shared" si="18"/>
        <v>0</v>
      </c>
      <c r="Q32" s="35" t="str">
        <f t="shared" si="15"/>
        <v>monh_dvcd 월 [["01","1월"],["02","2월"],["03","3월"],["04","4월"],["05","5월"],["06","6월"],["07","7월"],["08","8월"],["09","9월"],["10","10월"],["11","11월"],["12","12월"]]</v>
      </c>
      <c r="R32" s="2" t="s">
        <v>921</v>
      </c>
      <c r="S32" s="2"/>
      <c r="T32" s="2"/>
      <c r="U32" s="2"/>
      <c r="V32" s="2"/>
      <c r="W32" s="2"/>
      <c r="X32" s="2"/>
      <c r="Y32" s="2"/>
      <c r="Z32" s="2"/>
      <c r="AA32" s="2"/>
      <c r="AB32" s="31" t="s">
        <v>2950</v>
      </c>
      <c r="AC32" s="25" t="s">
        <v>2938</v>
      </c>
      <c r="AD32" s="31" t="s">
        <v>2951</v>
      </c>
      <c r="AE32" s="25" t="s">
        <v>2939</v>
      </c>
      <c r="AF32" s="31" t="s">
        <v>2952</v>
      </c>
      <c r="AG32" s="25" t="s">
        <v>2940</v>
      </c>
      <c r="AH32" s="31" t="s">
        <v>2953</v>
      </c>
      <c r="AI32" s="25" t="s">
        <v>2941</v>
      </c>
      <c r="AJ32" s="31" t="s">
        <v>2954</v>
      </c>
      <c r="AK32" s="25" t="s">
        <v>2942</v>
      </c>
      <c r="AL32" s="31" t="s">
        <v>2955</v>
      </c>
      <c r="AM32" s="25" t="s">
        <v>2943</v>
      </c>
      <c r="AN32" s="31" t="s">
        <v>2956</v>
      </c>
      <c r="AO32" s="25" t="s">
        <v>2944</v>
      </c>
      <c r="AP32" s="31" t="s">
        <v>2957</v>
      </c>
      <c r="AQ32" s="25" t="s">
        <v>2945</v>
      </c>
      <c r="AR32" s="31" t="s">
        <v>2958</v>
      </c>
      <c r="AS32" s="25" t="s">
        <v>2946</v>
      </c>
      <c r="AT32" s="31" t="s">
        <v>2959</v>
      </c>
      <c r="AU32" s="25" t="s">
        <v>2947</v>
      </c>
      <c r="AV32" s="31" t="s">
        <v>2960</v>
      </c>
      <c r="AW32" s="25" t="s">
        <v>2948</v>
      </c>
      <c r="AX32" s="31" t="s">
        <v>2961</v>
      </c>
      <c r="AY32" s="25" t="s">
        <v>2949</v>
      </c>
      <c r="AZ32" s="30"/>
      <c r="BA32" s="25"/>
      <c r="BB32" s="30"/>
      <c r="BC32" s="25"/>
      <c r="BD32" s="30"/>
      <c r="BE32" s="25"/>
      <c r="BF32" s="30"/>
      <c r="BG32" s="25"/>
      <c r="BH32" s="30"/>
      <c r="BI32" s="25"/>
      <c r="BJ32" s="30"/>
      <c r="BK32" s="25"/>
      <c r="BL32" s="30"/>
      <c r="BM32" s="25"/>
      <c r="BN32" s="30"/>
      <c r="BO32" s="25"/>
      <c r="BP32" s="30"/>
      <c r="BQ32" s="25"/>
      <c r="BR32" s="30"/>
      <c r="BS32" s="25"/>
      <c r="BT32" s="30"/>
      <c r="BU32" s="25"/>
      <c r="BV32" s="30"/>
      <c r="BW32" s="25"/>
      <c r="BX32" s="30"/>
      <c r="BY32" s="25"/>
      <c r="CA32" s="1" t="str">
        <f t="shared" ca="1" si="16"/>
        <v>delete from sscd_mast where sscd_idcd = 'monh_dvcd_KOR_common'  and site_idcd = 'common';</v>
      </c>
      <c r="CB32" s="5" t="str">
        <f ca="1">IF(E32&lt;&gt;"",CREATE_QUERY($B$1,A$2:AA$2,A32:AA32),"")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('monh_dvcd_KOR_common', 'KOR', 'common', 'monh_dvcd', '월', 'gb', '', '[["01","1월"],["02","2월"],["03","3월"],["04","4월"],["05","5월"],["06","6월"],["07","7월"],["08","8월"],["09","9월"],["10","10월"],["11","11월"],["12","12월"]]', '01:1월 02:2월 03:3월 04:4월 05:5월 06:6월 07:7월 08:8월 09:9월 10:10월 11:11월 12:12월', '', '01=1월|02=2월|03=3월|04=4월|05=5월|06=6월|07=7월|08=8월|09=9월|10=10월|11=11월|12=12월', '', '0', '0', '0', '0', 'monh_dvcd 월 [["01","1월"],["02","2월"],["03","3월"],["04","4월"],["05","5월"],["06","6월"],["07","7월"],["08","8월"],["09","9월"],["10","10월"],["11","11월"],["12","12월"]]', ' ', '', '', '', '', '', '', '', '', '');</v>
      </c>
    </row>
    <row r="33" spans="1:80" ht="17">
      <c r="A33" s="3" t="str">
        <f t="shared" ca="1" si="8"/>
        <v>ampm_dvcd_KOR_common</v>
      </c>
      <c r="B33" s="2" t="str">
        <f ca="1">IF(E33="","",OFFSET(B33,-1,0))</f>
        <v>KOR</v>
      </c>
      <c r="C33" s="25" t="str">
        <f t="shared" si="9"/>
        <v>common</v>
      </c>
      <c r="D33" s="25" t="s">
        <v>2984</v>
      </c>
      <c r="E33" s="25" t="s">
        <v>2985</v>
      </c>
      <c r="F33" s="25" t="str">
        <f t="shared" ca="1" si="10"/>
        <v>gb</v>
      </c>
      <c r="G33" s="25"/>
      <c r="H33" s="2" t="str">
        <f t="shared" si="11"/>
        <v>[["AM","오전"],["PM","오후"]]</v>
      </c>
      <c r="I33" s="2" t="str">
        <f t="shared" si="12"/>
        <v>AM:오전 PM:오후</v>
      </c>
      <c r="J33" s="2"/>
      <c r="K33" s="2" t="str">
        <f>IF(AB33="","",AB33&amp;"="&amp;AC33)&amp;
IF(AD33="","","|"&amp;AD33&amp;"="&amp;AE33)&amp;
IF(AF33="","","|"&amp;AF33&amp;"="&amp;AG33)&amp;
IF(AH33="","","|"&amp;AH33&amp;"="&amp;AI33)&amp;
IF(AJ33="","","|"&amp;AJ33&amp;"="&amp;AK33)&amp;
IF(AL33="","","|"&amp;AL33&amp;"="&amp;AM33)&amp;
IF(AN33="","","|"&amp;AN33&amp;"="&amp;AO33)&amp;
IF(AP33="","","|"&amp;AP33&amp;"="&amp;AQ33)&amp;
IF(AR33="","","|"&amp;AR33&amp;"="&amp;AS33)&amp;
IF(AT33="","","|"&amp;AT33&amp;"="&amp;AU33)&amp;
IF(AV33="","","|"&amp;AV33&amp;"="&amp;AW33)&amp;
IF(AX33="","","|"&amp;AX33&amp;"="&amp;AY33)&amp;
IF(AZ33="","","|"&amp;AZ33&amp;"="&amp;BA33)&amp;
IF(BB33="","","|"&amp;BB33&amp;"="&amp;BC33)&amp;
IF(BD33="","","|"&amp;BD33&amp;"="&amp;BE33)&amp;
IF(BF33="","","|"&amp;BF33&amp;"="&amp;BG33)&amp;
IF(BH33="","","|"&amp;BH33&amp;"="&amp;BI33)&amp;
IF(BJ33="","","|"&amp;BJ33&amp;"="&amp;BK33)&amp;
IF(BL33="","","|"&amp;BL33&amp;"="&amp;BM33)&amp;
IF(BN33="","","|"&amp;BN33&amp;"="&amp;BO33)&amp;
IF(BP33="","","|"&amp;BP33&amp;"="&amp;BS33)&amp;
IF(BZ33="","","|"&amp;BZ33&amp;"="&amp;CA33)</f>
        <v>AM=오전|PM=오후</v>
      </c>
      <c r="L33" s="2"/>
      <c r="M33" s="36" t="str">
        <f t="shared" ca="1" si="18"/>
        <v>0</v>
      </c>
      <c r="N33" s="36" t="str">
        <f t="shared" ca="1" si="18"/>
        <v>0</v>
      </c>
      <c r="O33" s="36" t="str">
        <f t="shared" si="18"/>
        <v>0</v>
      </c>
      <c r="P33" s="36" t="str">
        <f t="shared" si="18"/>
        <v>0</v>
      </c>
      <c r="Q33" s="35" t="str">
        <f t="shared" si="15"/>
        <v>ampm_dvcd 오전오후구분코드 [["AM","오전"],["PM","오후"]]</v>
      </c>
      <c r="R33" s="2" t="s">
        <v>921</v>
      </c>
      <c r="S33" s="2"/>
      <c r="T33" s="2"/>
      <c r="U33" s="2"/>
      <c r="V33" s="2"/>
      <c r="W33" s="2"/>
      <c r="X33" s="2"/>
      <c r="Y33" s="2"/>
      <c r="Z33" s="2"/>
      <c r="AA33" s="2"/>
      <c r="AB33" s="31" t="s">
        <v>2988</v>
      </c>
      <c r="AC33" s="25" t="s">
        <v>2987</v>
      </c>
      <c r="AD33" s="30" t="s">
        <v>2989</v>
      </c>
      <c r="AE33" s="25" t="s">
        <v>2990</v>
      </c>
      <c r="AF33" s="30"/>
      <c r="AG33" s="25"/>
      <c r="AH33" s="30"/>
      <c r="AI33" s="25"/>
      <c r="AJ33" s="30"/>
      <c r="AK33" s="25"/>
      <c r="AL33" s="30"/>
      <c r="AM33" s="25"/>
      <c r="AN33" s="30"/>
      <c r="AO33" s="25"/>
      <c r="AP33" s="30"/>
      <c r="AQ33" s="25"/>
      <c r="AR33" s="30"/>
      <c r="AS33" s="25"/>
      <c r="AT33" s="30"/>
      <c r="AU33" s="25"/>
      <c r="AV33" s="30"/>
      <c r="AW33" s="25"/>
      <c r="AX33" s="30"/>
      <c r="AY33" s="25"/>
      <c r="AZ33" s="30"/>
      <c r="BA33" s="25"/>
      <c r="BB33" s="30"/>
      <c r="BC33" s="25"/>
      <c r="BD33" s="30"/>
      <c r="BE33" s="25"/>
      <c r="BF33" s="30"/>
      <c r="BG33" s="25"/>
      <c r="BH33" s="30"/>
      <c r="BI33" s="25"/>
      <c r="BJ33" s="30"/>
      <c r="BK33" s="25"/>
      <c r="BL33" s="30"/>
      <c r="BM33" s="25"/>
      <c r="BN33" s="30"/>
      <c r="BO33" s="25"/>
      <c r="BP33" s="30"/>
      <c r="BQ33" s="25"/>
      <c r="BR33" s="30"/>
      <c r="BS33" s="25"/>
      <c r="BT33" s="30"/>
      <c r="BU33" s="25"/>
      <c r="BV33" s="30"/>
      <c r="BW33" s="25"/>
      <c r="BX33" s="30"/>
      <c r="BY33" s="25"/>
      <c r="CA33" s="1" t="str">
        <f t="shared" ca="1" si="16"/>
        <v>delete from sscd_mast where sscd_idcd = 'ampm_dvcd_KOR_common'  and site_idcd = 'common';</v>
      </c>
      <c r="CB33" s="5" t="str">
        <f ca="1">IF(E33&lt;&gt;"",CREATE_QUERY($B$1,A$2:AA$2,A33:AA33),"")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('ampm_dvcd_KOR_common', 'KOR', 'common', 'ampm_dvcd', '오전오후구분코드', 'gb', '', '[["AM","오전"],["PM","오후"]]', 'AM:오전 PM:오후', '', 'AM=오전|PM=오후', '', '0', '0', '0', '0', 'ampm_dvcd 오전오후구분코드 [["AM","오전"],["PM","오후"]]', ' ', '', '', '', '', '', '', '', '', '');</v>
      </c>
    </row>
    <row r="34" spans="1:80" ht="17">
      <c r="A34" s="26" t="str">
        <f t="shared" si="8"/>
        <v>word_dvcd_KOR_common</v>
      </c>
      <c r="B34" s="25" t="s">
        <v>27</v>
      </c>
      <c r="C34" s="25" t="str">
        <f t="shared" si="9"/>
        <v>common</v>
      </c>
      <c r="D34" s="25" t="s">
        <v>276</v>
      </c>
      <c r="E34" s="25" t="s">
        <v>162</v>
      </c>
      <c r="F34" s="25" t="str">
        <f t="shared" si="10"/>
        <v>gb</v>
      </c>
      <c r="G34" s="25"/>
      <c r="H34" s="35" t="str">
        <f t="shared" si="11"/>
        <v>[["1","전문용어"],["2","일반"],["9","기타"]]</v>
      </c>
      <c r="I34" s="35" t="str">
        <f t="shared" si="12"/>
        <v>1:전문용어 2:일반 9:기타</v>
      </c>
      <c r="J34" s="35"/>
      <c r="K34" s="35" t="str">
        <f>IF(AB34="","",AB34&amp;"="&amp;AC34)&amp;
IF(AD34="","","|"&amp;AD34&amp;"="&amp;AE34)&amp;
IF(AF34="","","|"&amp;AF34&amp;"="&amp;AG34)&amp;
IF(AH34="","","|"&amp;AH34&amp;"="&amp;AI34)&amp;
IF(AJ34="","","|"&amp;AJ34&amp;"="&amp;AK34)&amp;
IF(AL34="","","|"&amp;AL34&amp;"="&amp;AM34)&amp;
IF(AN34="","","|"&amp;AN34&amp;"="&amp;AO34)&amp;
IF(AP34="","","|"&amp;AP34&amp;"="&amp;AQ34)&amp;
IF(AR34="","","|"&amp;AR34&amp;"="&amp;AS34)&amp;
IF(AT34="","","|"&amp;AT34&amp;"="&amp;AU34)&amp;
IF(AV34="","","|"&amp;AV34&amp;"="&amp;AW34)&amp;
IF(AX34="","","|"&amp;AX34&amp;"="&amp;AY34)&amp;
IF(AZ34="","","|"&amp;AZ34&amp;"="&amp;BA34)&amp;
IF(BB34="","","|"&amp;BB34&amp;"="&amp;BC34)&amp;
IF(BD34="","","|"&amp;BD34&amp;"="&amp;BE34)&amp;
IF(BF34="","","|"&amp;BF34&amp;"="&amp;BG34)&amp;
IF(BH34="","","|"&amp;BH34&amp;"="&amp;BI34)&amp;
IF(BJ34="","","|"&amp;BJ34&amp;"="&amp;BK34)&amp;
IF(BL34="","","|"&amp;BL34&amp;"="&amp;BM34)&amp;
IF(BN34="","","|"&amp;BN34&amp;"="&amp;BO34)&amp;
IF(BP34="","","|"&amp;BP34&amp;"="&amp;BQ34)&amp;
IF(BR34="","","|"&amp;BR34&amp;"="&amp;BS34)&amp;
IF(BT34="","","|"&amp;BT34&amp;"="&amp;BU34)&amp;
IF(BV34="","","|"&amp;BV34&amp;"="&amp;BW34)&amp;
IF(BX34="","","|"&amp;BX34&amp;"="&amp;BY34)</f>
        <v>1=전문용어|2=일반|9=기타</v>
      </c>
      <c r="L34" s="2"/>
      <c r="M34" s="36">
        <v>0</v>
      </c>
      <c r="N34" s="36">
        <v>0</v>
      </c>
      <c r="O34" s="36" t="s">
        <v>31</v>
      </c>
      <c r="P34" s="36" t="s">
        <v>31</v>
      </c>
      <c r="Q34" s="35" t="str">
        <f t="shared" si="15"/>
        <v>word_dvcd 단어구분코드 [["1","전문용어"],["2","일반"],["9","기타"]]</v>
      </c>
      <c r="R34" s="2" t="s">
        <v>921</v>
      </c>
      <c r="S34" s="2"/>
      <c r="T34" s="2"/>
      <c r="U34" s="2"/>
      <c r="V34" s="2"/>
      <c r="W34" s="2"/>
      <c r="X34" s="2"/>
      <c r="Y34" s="2"/>
      <c r="Z34" s="2"/>
      <c r="AA34" s="2"/>
      <c r="AB34" s="28" t="s">
        <v>684</v>
      </c>
      <c r="AC34" s="25" t="s">
        <v>741</v>
      </c>
      <c r="AD34" s="28" t="s">
        <v>685</v>
      </c>
      <c r="AE34" s="25" t="s">
        <v>738</v>
      </c>
      <c r="AF34" s="28" t="s">
        <v>570</v>
      </c>
      <c r="AG34" s="25" t="s">
        <v>667</v>
      </c>
      <c r="AH34" s="28"/>
      <c r="AI34" s="25"/>
      <c r="AJ34" s="28"/>
      <c r="AK34" s="25"/>
      <c r="AL34" s="28"/>
      <c r="AM34" s="25"/>
      <c r="AN34" s="28"/>
      <c r="AO34" s="25"/>
      <c r="AP34" s="28"/>
      <c r="AQ34" s="25"/>
      <c r="AR34" s="28"/>
      <c r="AS34" s="25"/>
      <c r="AT34" s="28"/>
      <c r="AU34" s="25"/>
      <c r="AV34" s="28"/>
      <c r="AW34" s="25"/>
      <c r="AX34" s="28"/>
      <c r="AY34" s="25"/>
      <c r="AZ34" s="28"/>
      <c r="BA34" s="25"/>
      <c r="BB34" s="28"/>
      <c r="BC34" s="25"/>
      <c r="BD34" s="28"/>
      <c r="BE34" s="25"/>
      <c r="BF34" s="28"/>
      <c r="BG34" s="25"/>
      <c r="BH34" s="28"/>
      <c r="BI34" s="25"/>
      <c r="BJ34" s="28"/>
      <c r="BK34" s="25"/>
      <c r="BL34" s="28"/>
      <c r="BM34" s="25"/>
      <c r="BN34" s="28"/>
      <c r="BO34" s="25"/>
      <c r="BP34" s="28"/>
      <c r="BQ34" s="25"/>
      <c r="BR34" s="28"/>
      <c r="BS34" s="25"/>
      <c r="BT34" s="28"/>
      <c r="BU34" s="25"/>
      <c r="BV34" s="28"/>
      <c r="BW34" s="25"/>
      <c r="BX34" s="28"/>
      <c r="BY34" s="25"/>
      <c r="CA34" s="1" t="str">
        <f t="shared" si="16"/>
        <v>delete from sscd_mast where sscd_idcd = 'word_dvcd_KOR_common'  and site_idcd = 'common';</v>
      </c>
      <c r="CB34" s="5" t="str">
        <f>IF(E34&lt;&gt;"",CREATE_QUERY($B$1,A$2:AA$2,A34:AA34),"")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('word_dvcd_KOR_common', 'KOR', 'common', 'word_dvcd', '단어구분코드', 'gb', '', '[["1","전문용어"],["2","일반"],["9","기타"]]', '1:전문용어 2:일반 9:기타', '', '1=전문용어|2=일반|9=기타', '', '0', '0', '0', '0', 'word_dvcd 단어구분코드 [["1","전문용어"],["2","일반"],["9","기타"]]', ' ', '', '', '', '', '', '', '', '', '');</v>
      </c>
    </row>
    <row r="35" spans="1:80" ht="17">
      <c r="A35" s="26" t="str">
        <f t="shared" ca="1" si="8"/>
        <v>yorn_KOR_common</v>
      </c>
      <c r="B35" s="25" t="str">
        <f ca="1">IF(D35="","",OFFSET(B35,-1,0))</f>
        <v>KOR</v>
      </c>
      <c r="C35" s="25" t="str">
        <f t="shared" si="9"/>
        <v>common</v>
      </c>
      <c r="D35" s="25" t="s">
        <v>914</v>
      </c>
      <c r="E35" s="25" t="s">
        <v>915</v>
      </c>
      <c r="F35" s="25" t="str">
        <f t="shared" ca="1" si="10"/>
        <v>gb</v>
      </c>
      <c r="G35" s="25"/>
      <c r="H35" s="35" t="str">
        <f t="shared" si="11"/>
        <v>[["0","아니오","red"],["1","예","blue"]]</v>
      </c>
      <c r="I35" s="35" t="str">
        <f t="shared" si="12"/>
        <v>0:아니오:red 1:예:blue</v>
      </c>
      <c r="J35" s="35"/>
      <c r="K35" s="35" t="str">
        <f>IF(AB35="","",AB35&amp;"="&amp;AC35)&amp;
IF(AD35="","","|"&amp;AD35&amp;"="&amp;AE35)&amp;
IF(AF35="","","|"&amp;AF35&amp;"="&amp;AG35)&amp;
IF(AH35="","","|"&amp;AH35&amp;"="&amp;AI35)&amp;
IF(AJ35="","","|"&amp;AJ35&amp;"="&amp;AK35)&amp;
IF(AL35="","","|"&amp;AL35&amp;"="&amp;AM35)&amp;
IF(AN35="","","|"&amp;AN35&amp;"="&amp;AO35)&amp;
IF(AP35="","","|"&amp;AP35&amp;"="&amp;AQ35)&amp;
IF(AR35="","","|"&amp;AR35&amp;"="&amp;AS35)&amp;
IF(AT35="","","|"&amp;AT35&amp;"="&amp;AU35)&amp;
IF(AV35="","","|"&amp;AV35&amp;"="&amp;AW35)&amp;
IF(AX35="","","|"&amp;AX35&amp;"="&amp;AY35)&amp;
IF(AZ35="","","|"&amp;AZ35&amp;"="&amp;BA35)&amp;
IF(BB35="","","|"&amp;BB35&amp;"="&amp;BC35)&amp;
IF(BD35="","","|"&amp;BD35&amp;"="&amp;BE35)&amp;
IF(BF35="","","|"&amp;BF35&amp;"="&amp;BG35)&amp;
IF(BH35="","","|"&amp;BH35&amp;"="&amp;BI35)&amp;
IF(BJ35="","","|"&amp;BJ35&amp;"="&amp;BK35)&amp;
IF(BL35="","","|"&amp;BL35&amp;"="&amp;BM35)&amp;
IF(BN35="","","|"&amp;BN35&amp;"="&amp;BO35)&amp;
IF(BP35="","","|"&amp;BP35&amp;"="&amp;BQ35)&amp;
IF(BR35="","","|"&amp;BR35&amp;"="&amp;BS35)&amp;
IF(BT35="","","|"&amp;BT35&amp;"="&amp;BU35)&amp;
IF(BV35="","","|"&amp;BV35&amp;"="&amp;BW35)&amp;
IF(BX35="","","|"&amp;BX35&amp;"="&amp;BY35)</f>
        <v>0=아니오:red|1=예:blue</v>
      </c>
      <c r="L35" s="2"/>
      <c r="M35" s="36" t="str">
        <f ca="1">IF(A35="","","0")</f>
        <v>0</v>
      </c>
      <c r="N35" s="36" t="str">
        <f ca="1">IF(B35="","","0")</f>
        <v>0</v>
      </c>
      <c r="O35" s="36" t="str">
        <f>IF(C35="","","0")</f>
        <v>0</v>
      </c>
      <c r="P35" s="36" t="str">
        <f>IF(D35="","","0")</f>
        <v>0</v>
      </c>
      <c r="Q35" s="35" t="str">
        <f t="shared" si="15"/>
        <v>yorn 여부 [["0","아니오","red"],["1","예","blue"]]</v>
      </c>
      <c r="R35" s="2" t="s">
        <v>921</v>
      </c>
      <c r="S35" s="2"/>
      <c r="T35" s="2"/>
      <c r="U35" s="2"/>
      <c r="V35" s="2"/>
      <c r="W35" s="2"/>
      <c r="X35" s="2"/>
      <c r="Y35" s="2"/>
      <c r="Z35" s="2"/>
      <c r="AA35" s="2"/>
      <c r="AB35" s="31" t="s">
        <v>686</v>
      </c>
      <c r="AC35" s="25" t="s">
        <v>3186</v>
      </c>
      <c r="AD35" s="31" t="s">
        <v>684</v>
      </c>
      <c r="AE35" s="25" t="s">
        <v>3187</v>
      </c>
      <c r="AF35" s="31"/>
      <c r="AG35" s="25"/>
      <c r="AH35" s="31"/>
      <c r="AI35" s="25"/>
      <c r="AJ35" s="31"/>
      <c r="AK35" s="25"/>
      <c r="AL35" s="31"/>
      <c r="AM35" s="25"/>
      <c r="AN35" s="31"/>
      <c r="AO35" s="25"/>
      <c r="AP35" s="31"/>
      <c r="AQ35" s="25"/>
      <c r="AR35" s="31"/>
      <c r="AS35" s="25"/>
      <c r="AT35" s="31"/>
      <c r="AU35" s="25"/>
      <c r="AV35" s="31"/>
      <c r="AW35" s="25"/>
      <c r="AX35" s="31"/>
      <c r="AY35" s="25"/>
      <c r="AZ35" s="31"/>
      <c r="BA35" s="25"/>
      <c r="BB35" s="31"/>
      <c r="BC35" s="25"/>
      <c r="BD35" s="31"/>
      <c r="BE35" s="25"/>
      <c r="BF35" s="31"/>
      <c r="BG35" s="25"/>
      <c r="BH35" s="31"/>
      <c r="BI35" s="25"/>
      <c r="BJ35" s="31"/>
      <c r="BK35" s="25"/>
      <c r="BL35" s="31"/>
      <c r="BM35" s="25"/>
      <c r="BN35" s="31"/>
      <c r="BO35" s="25"/>
      <c r="BP35" s="31"/>
      <c r="BQ35" s="25"/>
      <c r="BR35" s="31"/>
      <c r="BS35" s="25"/>
      <c r="BT35" s="31"/>
      <c r="BU35" s="25"/>
      <c r="BV35" s="31"/>
      <c r="BW35" s="25"/>
      <c r="BX35" s="31"/>
      <c r="BY35" s="25"/>
      <c r="CA35" s="1" t="str">
        <f t="shared" ca="1" si="16"/>
        <v>delete from sscd_mast where sscd_idcd = 'yorn_KOR_common'  and site_idcd = 'common';</v>
      </c>
      <c r="CB35" s="5" t="str">
        <f ca="1">IF(E35&lt;&gt;"",CREATE_QUERY($B$1,A$2:AA$2,A35:AA35),"")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('yorn_KOR_common', 'KOR', 'common', 'yorn', '여부', 'gb', '', '[["0","아니오","red"],["1","예","blue"]]', '0:아니오:red 1:예:blue', '', '0=아니오:red|1=예:blue', '', '0', '0', '0', '0', 'yorn 여부 [["0","아니오","red"],["1","예","blue"]]', ' ', '', '', '', '', '', '', '', '', '');</v>
      </c>
    </row>
    <row r="36" spans="1:80" ht="17">
      <c r="A36" s="26" t="str">
        <f t="shared" si="0"/>
        <v>base_dvcd_KOR_common</v>
      </c>
      <c r="B36" s="25" t="s">
        <v>27</v>
      </c>
      <c r="C36" s="25" t="str">
        <f t="shared" si="1"/>
        <v>common</v>
      </c>
      <c r="D36" s="25" t="s">
        <v>129</v>
      </c>
      <c r="E36" s="25" t="s">
        <v>73</v>
      </c>
      <c r="F36" s="25" t="str">
        <f t="shared" si="2"/>
        <v>gb</v>
      </c>
      <c r="G36" s="25"/>
      <c r="H36" s="35" t="str">
        <f t="shared" si="3"/>
        <v>[["1102","계정구분"],["1202","국가"],["3102","입출고유형"],["3103","출고용도"],["5000","업무권한"],["6000","불량유형"],["6001","불량원인"],["6100","유실공수"],["7000","등급"],["8000","화폐단위"]]</v>
      </c>
      <c r="I36" s="35" t="str">
        <f t="shared" si="4"/>
        <v>1102:계정구분 1202:국가 3102:입출고유형 3103:출고용도 5000:업무권한 6000:불량유형 6001:불량원인 6100:유실공수 7000:등급 8000:화폐단위</v>
      </c>
      <c r="J36" s="35"/>
      <c r="K36" s="35" t="str">
        <f t="shared" si="5"/>
        <v>1102=계정구분|1202=국가|3102=입출고유형|3103=출고용도|5000=업무권한|6000=불량유형|6001=불량원인|6100=유실공수|7000=등급|8000=화폐단위</v>
      </c>
      <c r="L36" s="2"/>
      <c r="M36" s="36">
        <v>0</v>
      </c>
      <c r="N36" s="36">
        <v>0</v>
      </c>
      <c r="O36" s="36" t="s">
        <v>31</v>
      </c>
      <c r="P36" s="36" t="s">
        <v>31</v>
      </c>
      <c r="Q36" s="35" t="str">
        <f t="shared" si="6"/>
        <v>base_dvcd 기초코드 종류 [["1102","계정구분"],["1202","국가"],["3102","입출고유형"],["3103","출고용도"],["5000","업무권한"],["6000","불량유형"],["6001","불량원인"],["6100","유실공수"],["7000","등급"],["8000","화폐단위"]]</v>
      </c>
      <c r="R36" s="2" t="s">
        <v>921</v>
      </c>
      <c r="S36" s="2"/>
      <c r="T36" s="2"/>
      <c r="U36" s="2" t="s">
        <v>32</v>
      </c>
      <c r="V36" s="2"/>
      <c r="W36" s="2"/>
      <c r="X36" s="2"/>
      <c r="Y36" s="2"/>
      <c r="Z36" s="2"/>
      <c r="AA36" s="2"/>
      <c r="AB36" s="37" t="s">
        <v>930</v>
      </c>
      <c r="AC36" s="38" t="s">
        <v>931</v>
      </c>
      <c r="AD36" s="37" t="s">
        <v>932</v>
      </c>
      <c r="AE36" s="38" t="s">
        <v>2447</v>
      </c>
      <c r="AF36" s="37" t="s">
        <v>674</v>
      </c>
      <c r="AG36" s="38" t="s">
        <v>2659</v>
      </c>
      <c r="AH36" s="37" t="s">
        <v>933</v>
      </c>
      <c r="AI36" s="38" t="s">
        <v>2593</v>
      </c>
      <c r="AJ36" s="44" t="s">
        <v>626</v>
      </c>
      <c r="AK36" s="43" t="s">
        <v>2694</v>
      </c>
      <c r="AL36" s="37" t="s">
        <v>628</v>
      </c>
      <c r="AM36" s="38" t="s">
        <v>2517</v>
      </c>
      <c r="AN36" s="42" t="s">
        <v>2493</v>
      </c>
      <c r="AO36" s="38" t="s">
        <v>2639</v>
      </c>
      <c r="AP36" s="38" t="s">
        <v>2655</v>
      </c>
      <c r="AQ36" s="38" t="s">
        <v>2656</v>
      </c>
      <c r="AR36" s="38" t="s">
        <v>629</v>
      </c>
      <c r="AS36" s="38" t="s">
        <v>2527</v>
      </c>
      <c r="AT36" s="28" t="s">
        <v>3132</v>
      </c>
      <c r="AU36" s="25" t="s">
        <v>3133</v>
      </c>
      <c r="AV36" s="28"/>
      <c r="AW36" s="25"/>
      <c r="AX36" s="28"/>
      <c r="AY36" s="25"/>
      <c r="AZ36" s="28"/>
      <c r="BA36" s="25"/>
      <c r="BB36" s="28"/>
      <c r="BC36" s="25"/>
      <c r="BD36" s="28"/>
      <c r="BE36" s="25"/>
      <c r="BF36" s="28"/>
      <c r="BG36" s="25"/>
      <c r="BH36" s="28"/>
      <c r="BI36" s="25"/>
      <c r="BJ36" s="28"/>
      <c r="BK36" s="25"/>
      <c r="BL36" s="28"/>
      <c r="BM36" s="25"/>
      <c r="BN36" s="28"/>
      <c r="BO36" s="25"/>
      <c r="BP36" s="28"/>
      <c r="BQ36" s="25"/>
      <c r="BR36" s="28"/>
      <c r="BS36" s="25"/>
      <c r="BT36" s="28"/>
      <c r="BU36" s="25"/>
      <c r="BV36" s="28"/>
      <c r="BW36" s="25"/>
      <c r="BX36" s="28"/>
      <c r="BY36" s="25"/>
      <c r="CA36" s="1" t="str">
        <f t="shared" si="7"/>
        <v>delete from sscd_mast where sscd_idcd = 'base_dvcd_KOR_common'  and site_idcd = 'common';</v>
      </c>
      <c r="CB36" s="5" t="str">
        <f>IF(E36&lt;&gt;"",CREATE_QUERY($B$1,A$2:AA$2,A36:AA36),"")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('base_dvcd_KOR_common', 'KOR', 'common', 'base_dvcd', '기초코드 종류', 'gb', '', '[["1102","계정구분"],["1202","국가"],["3102","입출고유형"],["3103","출고용도"],["5000","업무권한"],["6000","불량유형"],["6001","불량원인"],["6100","유실공수"],["7000","등급"],["8000","화폐단위"]]', '1102:계정구분 1202:국가 3102:입출고유형 3103:출고용도 5000:업무권한 6000:불량유형 6001:불량원인 6100:유실공수 7000:등급 8000:화폐단위', '', '1102=계정구분|1202=국가|3102=입출고유형|3103=출고용도|5000=업무권한|6000=불량유형|6001=불량원인|6100=유실공수|7000=등급|8000=화폐단위', '', '0', '0', '0', '0', 'base_dvcd 기초코드 종류 [["1102","계정구분"],["1202","국가"],["3102","입출고유형"],["3103","출고용도"],["5000","업무권한"],["6000","불량유형"],["6001","불량원인"],["6100","유실공수"],["7000","등급"],["8000","화폐단위"]]', ' ', '', '', ' ', '', '', '', '', '', '');</v>
      </c>
    </row>
    <row r="37" spans="1:80" ht="17">
      <c r="A37" s="26" t="str">
        <f t="shared" ref="A37" si="19">IF(D37="","",D37&amp;"_"&amp;B37&amp;"_"&amp;C37)</f>
        <v>base_dvcd_KOR_N1000ELIMC</v>
      </c>
      <c r="B37" s="25" t="s">
        <v>27</v>
      </c>
      <c r="C37" s="38" t="s">
        <v>3145</v>
      </c>
      <c r="D37" s="25" t="s">
        <v>129</v>
      </c>
      <c r="E37" s="25" t="s">
        <v>73</v>
      </c>
      <c r="F37" s="25" t="str">
        <f t="shared" ref="F37" si="20">IF(A37="","","gb")</f>
        <v>gb</v>
      </c>
      <c r="G37" s="25"/>
      <c r="H37" s="35" t="str">
        <f t="shared" ref="H37" si="21">"[["""&amp;
SUBSTITUTE(SUBSTITUTE(I37,":",""",""")," ","""],[""")
&amp;"""]]"</f>
        <v>[["1102","계정구분"],["1202","국가"],["3102","입출고유형"],["3103","출고용도"],["5000","업무권한"],["6000","불량유형"],["6001","불량원인"],["6100","유실공수"],["7000","등급"],["3101","재질"],["3102","차종"],["3104","컬러"]]</v>
      </c>
      <c r="I37" s="35" t="str">
        <f t="shared" ref="I37" si="22">IF(AB37="","",AB37&amp;":"&amp;AC37)&amp;
IF(AD37="",""," "&amp;AD37&amp;":"&amp;AE37)&amp;
IF(AF37="",""," "&amp;AF37&amp;":"&amp;AG37)&amp;
IF(AH37="",""," "&amp;AH37&amp;":"&amp;AI37)&amp;
IF(AJ37="",""," "&amp;AJ37&amp;":"&amp;AK37)&amp;
IF(AL37="",""," "&amp;AL37&amp;":"&amp;AM37)&amp;
IF(AN37="",""," "&amp;AN37&amp;":"&amp;AO37)&amp;
IF(AP37="",""," "&amp;AP37&amp;":"&amp;AQ37)&amp;
IF(AR37="",""," "&amp;AR37&amp;":"&amp;AS37)&amp;
IF(AT37="",""," "&amp;AT37&amp;":"&amp;AU37)&amp;
IF(AV37="",""," "&amp;AV37&amp;":"&amp;AW37)&amp;
IF(AX37="",""," "&amp;AX37&amp;":"&amp;AY37)&amp;
IF(AZ37="",""," "&amp;AZ37&amp;":"&amp;BA37)&amp;
IF(BB37="",""," "&amp;BB37&amp;":"&amp;BC37)&amp;
IF(BD37="",""," "&amp;BD37&amp;":"&amp;BE37)&amp;
IF(BF37="",""," "&amp;BF37&amp;":"&amp;BG37)&amp;
IF(BH37="",""," "&amp;BH37&amp;":"&amp;BI37)&amp;
IF(BJ37="",""," "&amp;BJ37&amp;":"&amp;BK37)&amp;
IF(BL37="",""," "&amp;BL37&amp;":"&amp;BM37)&amp;
IF(BN37="",""," "&amp;BN37&amp;":"&amp;BO37)&amp;
IF(BP37="",""," "&amp;BP37&amp;":"&amp;BS37)&amp;
IF(BZ37="",""," "&amp;BZ37&amp;":"&amp;CA37)</f>
        <v>1102:계정구분 1202:국가 3102:입출고유형 3103:출고용도 5000:업무권한 6000:불량유형 6001:불량원인 6100:유실공수 7000:등급 3101:재질 3102:차종 3104:컬러</v>
      </c>
      <c r="J37" s="35" t="s">
        <v>2709</v>
      </c>
      <c r="K37" s="35" t="str">
        <f t="shared" ref="K37" si="23">IF(AB37="","",AB37&amp;"="&amp;AC37)&amp;
IF(AD37="","","|"&amp;AD37&amp;"="&amp;AE37)&amp;
IF(AF37="","","|"&amp;AF37&amp;"="&amp;AG37)&amp;
IF(AH37="","","|"&amp;AH37&amp;"="&amp;AI37)&amp;
IF(AJ37="","","|"&amp;AJ37&amp;"="&amp;AK37)&amp;
IF(AL37="","","|"&amp;AL37&amp;"="&amp;AM37)&amp;
IF(AN37="","","|"&amp;AN37&amp;"="&amp;AO37)&amp;
IF(AP37="","","|"&amp;AP37&amp;"="&amp;AQ37)&amp;
IF(AR37="","","|"&amp;AR37&amp;"="&amp;AS37)&amp;
IF(AT37="","","|"&amp;AT37&amp;"="&amp;AU37)&amp;
IF(AV37="","","|"&amp;AV37&amp;"="&amp;AW37)&amp;
IF(AX37="","","|"&amp;AX37&amp;"="&amp;AY37)&amp;
IF(AZ37="","","|"&amp;AZ37&amp;"="&amp;BA37)&amp;
IF(BB37="","","|"&amp;BB37&amp;"="&amp;BC37)&amp;
IF(BD37="","","|"&amp;BD37&amp;"="&amp;BE37)&amp;
IF(BF37="","","|"&amp;BF37&amp;"="&amp;BG37)&amp;
IF(BH37="","","|"&amp;BH37&amp;"="&amp;BI37)&amp;
IF(BJ37="","","|"&amp;BJ37&amp;"="&amp;BK37)&amp;
IF(BL37="","","|"&amp;BL37&amp;"="&amp;BM37)&amp;
IF(BN37="","","|"&amp;BN37&amp;"="&amp;BO37)&amp;
IF(BP37="","","|"&amp;BP37&amp;"="&amp;BQ37)&amp;
IF(BR37="","","|"&amp;BR37&amp;"="&amp;BS37)&amp;
IF(BT37="","","|"&amp;BT37&amp;"="&amp;BU37)&amp;
IF(BV37="","","|"&amp;BV37&amp;"="&amp;BW37)&amp;
IF(BX37="","","|"&amp;BX37&amp;"="&amp;BY37)</f>
        <v>1102=계정구분|1202=국가|3102=입출고유형|3103=출고용도|5000=업무권한|6000=불량유형|6001=불량원인|6100=유실공수|7000=등급|3101=재질|3102=차종|3104=컬러</v>
      </c>
      <c r="L37" s="2"/>
      <c r="M37" s="36">
        <v>0</v>
      </c>
      <c r="N37" s="36">
        <v>0</v>
      </c>
      <c r="O37" s="36" t="s">
        <v>31</v>
      </c>
      <c r="P37" s="36" t="s">
        <v>31</v>
      </c>
      <c r="Q37" s="35" t="str">
        <f t="shared" ref="Q37" si="24">IF(D37="","",D37&amp;" "&amp;E37&amp;" "&amp;H37)</f>
        <v>base_dvcd 기초코드 종류 [["1102","계정구분"],["1202","국가"],["3102","입출고유형"],["3103","출고용도"],["5000","업무권한"],["6000","불량유형"],["6001","불량원인"],["6100","유실공수"],["7000","등급"],["3101","재질"],["3102","차종"],["3104","컬러"]]</v>
      </c>
      <c r="R37" s="2" t="s">
        <v>921</v>
      </c>
      <c r="S37" s="2"/>
      <c r="T37" s="2"/>
      <c r="U37" s="2" t="s">
        <v>32</v>
      </c>
      <c r="V37" s="2"/>
      <c r="W37" s="2"/>
      <c r="X37" s="2"/>
      <c r="Y37" s="2"/>
      <c r="Z37" s="2"/>
      <c r="AA37" s="2"/>
      <c r="AB37" s="37" t="s">
        <v>930</v>
      </c>
      <c r="AC37" s="38" t="s">
        <v>931</v>
      </c>
      <c r="AD37" s="37" t="s">
        <v>932</v>
      </c>
      <c r="AE37" s="38" t="s">
        <v>2447</v>
      </c>
      <c r="AF37" s="37" t="s">
        <v>674</v>
      </c>
      <c r="AG37" s="38" t="s">
        <v>2659</v>
      </c>
      <c r="AH37" s="37" t="s">
        <v>933</v>
      </c>
      <c r="AI37" s="38" t="s">
        <v>2593</v>
      </c>
      <c r="AJ37" s="44" t="s">
        <v>626</v>
      </c>
      <c r="AK37" s="43" t="s">
        <v>2694</v>
      </c>
      <c r="AL37" s="37" t="s">
        <v>628</v>
      </c>
      <c r="AM37" s="38" t="s">
        <v>2517</v>
      </c>
      <c r="AN37" s="42" t="s">
        <v>2493</v>
      </c>
      <c r="AO37" s="38" t="s">
        <v>2639</v>
      </c>
      <c r="AP37" s="38" t="s">
        <v>2655</v>
      </c>
      <c r="AQ37" s="38" t="s">
        <v>2656</v>
      </c>
      <c r="AR37" s="38" t="s">
        <v>629</v>
      </c>
      <c r="AS37" s="38" t="s">
        <v>2527</v>
      </c>
      <c r="AT37" s="28" t="s">
        <v>673</v>
      </c>
      <c r="AU37" s="25" t="s">
        <v>2622</v>
      </c>
      <c r="AV37" s="28" t="s">
        <v>3124</v>
      </c>
      <c r="AW37" s="25" t="s">
        <v>3125</v>
      </c>
      <c r="AX37" s="28" t="s">
        <v>3126</v>
      </c>
      <c r="AY37" s="25" t="s">
        <v>3127</v>
      </c>
      <c r="AZ37" s="28"/>
      <c r="BA37" s="25"/>
      <c r="BB37" s="28"/>
      <c r="BC37" s="25"/>
      <c r="BD37" s="28"/>
      <c r="BE37" s="25"/>
      <c r="BF37" s="28"/>
      <c r="BG37" s="25"/>
      <c r="BH37" s="28"/>
      <c r="BI37" s="25"/>
      <c r="BJ37" s="28"/>
      <c r="BK37" s="25"/>
      <c r="BL37" s="28"/>
      <c r="BM37" s="25"/>
      <c r="BN37" s="28"/>
      <c r="BO37" s="25"/>
      <c r="BP37" s="28"/>
      <c r="BQ37" s="25"/>
      <c r="BR37" s="28"/>
      <c r="BS37" s="25"/>
      <c r="BT37" s="28"/>
      <c r="BU37" s="25"/>
      <c r="BV37" s="28"/>
      <c r="BW37" s="25"/>
      <c r="BX37" s="28"/>
      <c r="BY37" s="25"/>
      <c r="CA37" s="1" t="str">
        <f t="shared" ref="CA37" si="25">IF(A37="","","delete from sscd_mast where sscd_idcd = '"&amp;A37&amp;"'  and site_idcd = '"&amp;C37&amp;"';")</f>
        <v>delete from sscd_mast where sscd_idcd = 'base_dvcd_KOR_N1000ELIMC'  and site_idcd = 'N1000ELIMC';</v>
      </c>
      <c r="CB37" s="5" t="str">
        <f>IF(E37&lt;&gt;"",CREATE_QUERY($B$1,A$2:AA$2,A37:AA37),"")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('base_dvcd_KOR_N1000ELIMC', 'KOR', 'N1000ELIMC', 'base_dvcd', '기초코드 종류', 'gb', '', '[["1102","계정구분"],["1202","국가"],["3102","입출고유형"],["3103","출고용도"],["5000","업무권한"],["6000","불량유형"],["6001","불량원인"],["6100","유실공수"],["7000","등급"],["3101","재질"],["3102","차종"],["3104","컬러"]]', '1102:계정구분 1202:국가 3102:입출고유형 3103:출고용도 5000:업무권한 6000:불량유형 6001:불량원인 6100:유실공수 7000:등급 3101:재질 3102:차종 3104:컬러', '광일테크 재정의', '1102=계정구분|1202=국가|3102=입출고유형|3103=출고용도|5000=업무권한|6000=불량유형|6001=불량원인|6100=유실공수|7000=등급|3101=재질|3102=차종|3104=컬러', '', '0', '0', '0', '0', 'base_dvcd 기초코드 종류 [["1102","계정구분"],["1202","국가"],["3102","입출고유형"],["3103","출고용도"],["5000","업무권한"],["6000","불량유형"],["6001","불량원인"],["6100","유실공수"],["7000","등급"],["3101","재질"],["3102","차종"],["3104","컬러"]]', ' ', '', '', ' ', '', '', '', '', '', '');</v>
      </c>
    </row>
    <row r="38" spans="1:80" ht="17">
      <c r="A38" s="26" t="str">
        <f>IF(D38="","",D38&amp;"_"&amp;B38&amp;"_"&amp;C38)</f>
        <v>loss_resn_dvcd_KOR_common</v>
      </c>
      <c r="B38" s="25" t="s">
        <v>27</v>
      </c>
      <c r="C38" s="25" t="str">
        <f t="shared" ref="C38:C49" si="26">IF(E38="","","common")</f>
        <v>common</v>
      </c>
      <c r="D38" s="25" t="s">
        <v>341</v>
      </c>
      <c r="E38" s="25" t="s">
        <v>229</v>
      </c>
      <c r="F38" s="25" t="str">
        <f>IF(A38="","","gb")</f>
        <v>gb</v>
      </c>
      <c r="G38" s="25"/>
      <c r="H38" s="35" t="str">
        <f>"[["""&amp;
SUBSTITUTE(SUBSTITUTE(I38,":",""",""")," ","""],[""")
&amp;"""]]"</f>
        <v>[["1001","설비고장"],["1002","설비점검"],["1003","설비수리"],["2001","조회"],["2002","교육"],["2003","청소"],["3001","계획정지"],["1005","금형교체"],["1004","금형수리"],["4001","공정품질"],["5001","부품선별"],["5002","부품결품"],["6001","돌발상황"],["6002","정전"],["6003","천재지변"],["6004","재해사고"]]</v>
      </c>
      <c r="I38" s="35" t="str">
        <f t="shared" ref="I38:I40" si="27">IF(AB38="","",AB38&amp;":"&amp;AC38)&amp;
IF(AD38="",""," "&amp;AD38&amp;":"&amp;AE38)&amp;
IF(AF38="",""," "&amp;AF38&amp;":"&amp;AG38)&amp;
IF(AH38="",""," "&amp;AH38&amp;":"&amp;AI38)&amp;
IF(AJ38="",""," "&amp;AJ38&amp;":"&amp;AK38)&amp;
IF(AL38="",""," "&amp;AL38&amp;":"&amp;AM38)&amp;
IF(AN38="",""," "&amp;AN38&amp;":"&amp;AO38)&amp;
IF(AP38="",""," "&amp;AP38&amp;":"&amp;AQ38)&amp;
IF(AR38="",""," "&amp;AR38&amp;":"&amp;AS38)&amp;
IF(AT38="",""," "&amp;AT38&amp;":"&amp;AU38)&amp;
IF(AV38="",""," "&amp;AV38&amp;":"&amp;AW38)&amp;
IF(AX38="",""," "&amp;AX38&amp;":"&amp;AY38)&amp;
IF(AZ38="",""," "&amp;AZ38&amp;":"&amp;BA38)&amp;
IF(BB38="",""," "&amp;BB38&amp;":"&amp;BC38)&amp;
IF(BD38="",""," "&amp;BD38&amp;":"&amp;BE38)&amp;
IF(BF38="",""," "&amp;BF38&amp;":"&amp;BG38)&amp;
IF(BH38="",""," "&amp;BH38&amp;":"&amp;BI38)&amp;
IF(BJ38="",""," "&amp;BJ38&amp;":"&amp;BK38)&amp;
IF(BL38="",""," "&amp;BL38&amp;":"&amp;BM38)&amp;
IF(BN38="",""," "&amp;BN38&amp;":"&amp;BO38)&amp;
IF(BP38="",""," "&amp;BP38&amp;":"&amp;BS38)&amp;
IF(BZ38="",""," "&amp;BZ38&amp;":"&amp;CA38)</f>
        <v>1001:설비고장 1002:설비점검 1003:설비수리 2001:조회 2002:교육 2003:청소 3001:계획정지 1005:금형교체 1004:금형수리 4001:공정품질 5001:부품선별 5002:부품결품 6001:돌발상황 6002:정전 6003:천재지변 6004:재해사고</v>
      </c>
      <c r="J38" s="35"/>
      <c r="K38" s="35" t="str">
        <f t="shared" ref="K38:K40" si="28">IF(AB38="","",AB38&amp;"="&amp;AC38)&amp;
IF(AD38="","","|"&amp;AD38&amp;"="&amp;AE38)&amp;
IF(AF38="","","|"&amp;AF38&amp;"="&amp;AG38)&amp;
IF(AH38="","","|"&amp;AH38&amp;"="&amp;AI38)&amp;
IF(AJ38="","","|"&amp;AJ38&amp;"="&amp;AK38)&amp;
IF(AL38="","","|"&amp;AL38&amp;"="&amp;AM38)&amp;
IF(AN38="","","|"&amp;AN38&amp;"="&amp;AO38)&amp;
IF(AP38="","","|"&amp;AP38&amp;"="&amp;AQ38)&amp;
IF(AR38="","","|"&amp;AR38&amp;"="&amp;AS38)&amp;
IF(AT38="","","|"&amp;AT38&amp;"="&amp;AU38)&amp;
IF(AV38="","","|"&amp;AV38&amp;"="&amp;AW38)&amp;
IF(AX38="","","|"&amp;AX38&amp;"="&amp;AY38)&amp;
IF(AZ38="","","|"&amp;AZ38&amp;"="&amp;BA38)&amp;
IF(BB38="","","|"&amp;BB38&amp;"="&amp;BC38)&amp;
IF(BD38="","","|"&amp;BD38&amp;"="&amp;BE38)&amp;
IF(BF38="","","|"&amp;BF38&amp;"="&amp;BG38)&amp;
IF(BH38="","","|"&amp;BH38&amp;"="&amp;BI38)&amp;
IF(BJ38="","","|"&amp;BJ38&amp;"="&amp;BK38)&amp;
IF(BL38="","","|"&amp;BL38&amp;"="&amp;BM38)&amp;
IF(BN38="","","|"&amp;BN38&amp;"="&amp;BO38)&amp;
IF(BP38="","","|"&amp;BP38&amp;"="&amp;BQ38)&amp;
IF(BR38="","","|"&amp;BR38&amp;"="&amp;BS38)&amp;
IF(BT38="","","|"&amp;BT38&amp;"="&amp;BU38)&amp;
IF(BV38="","","|"&amp;BV38&amp;"="&amp;BW38)&amp;
IF(BX38="","","|"&amp;BX38&amp;"="&amp;BY38)</f>
        <v>1001=설비고장|1002=설비점검|1003=설비수리|2001=조회|2002=교육|2003=청소|3001=계획정지|1005=금형교체|1004=금형수리|4001=공정품질|5001=부품선별|5002=부품결품|6001=돌발상황|6002=정전|6003=천재지변|6004=재해사고</v>
      </c>
      <c r="L38" s="2"/>
      <c r="M38" s="36">
        <v>0</v>
      </c>
      <c r="N38" s="36">
        <v>0</v>
      </c>
      <c r="O38" s="36" t="s">
        <v>31</v>
      </c>
      <c r="P38" s="36" t="s">
        <v>31</v>
      </c>
      <c r="Q38" s="35" t="str">
        <f>IF(D38="","",D38&amp;" "&amp;E38&amp;" "&amp;H38)</f>
        <v>loss_resn_dvcd 유실사유구분코드 [["1001","설비고장"],["1002","설비점검"],["1003","설비수리"],["2001","조회"],["2002","교육"],["2003","청소"],["3001","계획정지"],["1005","금형교체"],["1004","금형수리"],["4001","공정품질"],["5001","부품선별"],["5002","부품결품"],["6001","돌발상황"],["6002","정전"],["6003","천재지변"],["6004","재해사고"]]</v>
      </c>
      <c r="R38" s="2" t="s">
        <v>921</v>
      </c>
      <c r="S38" s="2"/>
      <c r="T38" s="2"/>
      <c r="U38" s="2"/>
      <c r="V38" s="2"/>
      <c r="W38" s="2"/>
      <c r="X38" s="2"/>
      <c r="Y38" s="2"/>
      <c r="Z38" s="2"/>
      <c r="AA38" s="2"/>
      <c r="AB38" s="28" t="s">
        <v>654</v>
      </c>
      <c r="AC38" s="25" t="s">
        <v>907</v>
      </c>
      <c r="AD38" s="28" t="s">
        <v>655</v>
      </c>
      <c r="AE38" s="25" t="s">
        <v>908</v>
      </c>
      <c r="AF38" s="28" t="s">
        <v>656</v>
      </c>
      <c r="AG38" s="25" t="s">
        <v>909</v>
      </c>
      <c r="AH38" s="28" t="s">
        <v>692</v>
      </c>
      <c r="AI38" s="25" t="s">
        <v>910</v>
      </c>
      <c r="AJ38" s="28" t="s">
        <v>693</v>
      </c>
      <c r="AK38" s="25" t="s">
        <v>911</v>
      </c>
      <c r="AL38" s="28" t="s">
        <v>731</v>
      </c>
      <c r="AM38" s="25" t="s">
        <v>912</v>
      </c>
      <c r="AN38" s="28" t="s">
        <v>745</v>
      </c>
      <c r="AO38" s="25" t="s">
        <v>2483</v>
      </c>
      <c r="AP38" s="28" t="s">
        <v>658</v>
      </c>
      <c r="AQ38" s="25" t="s">
        <v>2484</v>
      </c>
      <c r="AR38" s="28" t="s">
        <v>657</v>
      </c>
      <c r="AS38" s="25" t="s">
        <v>2485</v>
      </c>
      <c r="AT38" s="28" t="s">
        <v>1449</v>
      </c>
      <c r="AU38" s="25" t="s">
        <v>2486</v>
      </c>
      <c r="AV38" s="28" t="s">
        <v>1450</v>
      </c>
      <c r="AW38" s="25" t="s">
        <v>2487</v>
      </c>
      <c r="AX38" s="28" t="s">
        <v>2423</v>
      </c>
      <c r="AY38" s="25" t="s">
        <v>2488</v>
      </c>
      <c r="AZ38" s="28" t="s">
        <v>2493</v>
      </c>
      <c r="BA38" s="25" t="s">
        <v>2489</v>
      </c>
      <c r="BB38" s="28" t="s">
        <v>2494</v>
      </c>
      <c r="BC38" s="25" t="s">
        <v>2490</v>
      </c>
      <c r="BD38" s="28" t="s">
        <v>2495</v>
      </c>
      <c r="BE38" s="25" t="s">
        <v>2491</v>
      </c>
      <c r="BF38" s="28" t="s">
        <v>2496</v>
      </c>
      <c r="BG38" s="25" t="s">
        <v>2492</v>
      </c>
      <c r="BH38" s="28"/>
      <c r="BI38" s="25"/>
      <c r="BJ38" s="28"/>
      <c r="BK38" s="25"/>
      <c r="BL38" s="28"/>
      <c r="BM38" s="25"/>
      <c r="BN38" s="28"/>
      <c r="BO38" s="25"/>
      <c r="BP38" s="28"/>
      <c r="BQ38" s="25"/>
      <c r="BR38" s="28"/>
      <c r="BS38" s="25"/>
      <c r="BT38" s="28"/>
      <c r="BU38" s="25"/>
      <c r="BV38" s="28"/>
      <c r="BW38" s="25"/>
      <c r="BX38" s="28"/>
      <c r="BY38" s="25"/>
      <c r="CA38" s="1" t="str">
        <f>IF(A38="","","delete from sscd_mast where sscd_idcd = '"&amp;A38&amp;"'  and site_idcd = '"&amp;C38&amp;"';")</f>
        <v>delete from sscd_mast where sscd_idcd = 'loss_resn_dvcd_KOR_common'  and site_idcd = 'common';</v>
      </c>
      <c r="CB38" s="5" t="str">
        <f>IF(E38&lt;&gt;"",CREATE_QUERY($B$1,A$2:AA$2,A38:AA38),"")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('loss_resn_dvcd_KOR_common', 'KOR', 'common', 'loss_resn_dvcd', '유실사유구분코드', 'gb', '', '[["1001","설비고장"],["1002","설비점검"],["1003","설비수리"],["2001","조회"],["2002","교육"],["2003","청소"],["3001","계획정지"],["1005","금형교체"],["1004","금형수리"],["4001","공정품질"],["5001","부품선별"],["5002","부품결품"],["6001","돌발상황"],["6002","정전"],["6003","천재지변"],["6004","재해사고"]]', '1001:설비고장 1002:설비점검 1003:설비수리 2001:조회 2002:교육 2003:청소 3001:계획정지 1005:금형교체 1004:금형수리 4001:공정품질 5001:부품선별 5002:부품결품 6001:돌발상황 6002:정전 6003:천재지변 6004:재해사고', '', '1001=설비고장|1002=설비점검|1003=설비수리|2001=조회|2002=교육|2003=청소|3001=계획정지|1005=금형교체|1004=금형수리|4001=공정품질|5001=부품선별|5002=부품결품|6001=돌발상황|6002=정전|6003=천재지변|6004=재해사고', '', '0', '0', '0', '0', 'loss_resn_dvcd 유실사유구분코드 [["1001","설비고장"],["1002","설비점검"],["1003","설비수리"],["2001","조회"],["2002","교육"],["2003","청소"],["3001","계획정지"],["1005","금형교체"],["1004","금형수리"],["4001","공정품질"],["5001","부품선별"],["5002","부품결품"],["6001","돌발상황"],["6002","정전"],["6003","천재지변"],["6004","재해사고"]]', ' ', '', '', '', '', '', '', '', '', '');</v>
      </c>
    </row>
    <row r="39" spans="1:80" ht="17">
      <c r="A39" s="26" t="str">
        <f>IF(D39="","",D39&amp;"_"&amp;B39&amp;"_"&amp;C39)</f>
        <v>pric_dvcd_KOR_common</v>
      </c>
      <c r="B39" s="25" t="s">
        <v>27</v>
      </c>
      <c r="C39" s="25" t="str">
        <f t="shared" si="26"/>
        <v>common</v>
      </c>
      <c r="D39" s="25" t="s">
        <v>236</v>
      </c>
      <c r="E39" s="25" t="s">
        <v>2654</v>
      </c>
      <c r="F39" s="25" t="str">
        <f>IF(A39="","","gb")</f>
        <v>gb</v>
      </c>
      <c r="G39" s="25"/>
      <c r="H39" s="35" t="str">
        <f>"[["""&amp;
SUBSTITUTE(SUBSTITUTE(I39,":",""",""")," ","""],[""")
&amp;"""]]"</f>
        <v>[["1001","출하가1"],["1002","출하가2"],["1003","출하가3"],["1004","출하가4"],["1005","출하가5"],["2000","소비자가"],["3000","구매가"]]</v>
      </c>
      <c r="I39" s="35" t="str">
        <f t="shared" si="27"/>
        <v>1001:출하가1 1002:출하가2 1003:출하가3 1004:출하가4 1005:출하가5 2000:소비자가 3000:구매가</v>
      </c>
      <c r="J39" s="35"/>
      <c r="K39" s="35" t="str">
        <f t="shared" si="28"/>
        <v>1001=출하가1|1002=출하가2|1003=출하가3|1004=출하가4|1005=출하가5|2000=소비자가|3000=구매가</v>
      </c>
      <c r="L39" s="2"/>
      <c r="M39" s="36">
        <v>0</v>
      </c>
      <c r="N39" s="36">
        <v>0</v>
      </c>
      <c r="O39" s="36" t="s">
        <v>31</v>
      </c>
      <c r="P39" s="36" t="s">
        <v>31</v>
      </c>
      <c r="Q39" s="35" t="str">
        <f>IF(D39="","",D39&amp;" "&amp;E39&amp;" "&amp;H39)</f>
        <v>pric_dvcd 단가구분코드 [["1001","출하가1"],["1002","출하가2"],["1003","출하가3"],["1004","출하가4"],["1005","출하가5"],["2000","소비자가"],["3000","구매가"]]</v>
      </c>
      <c r="R39" s="2" t="s">
        <v>921</v>
      </c>
      <c r="S39" s="2"/>
      <c r="T39" s="2"/>
      <c r="U39" s="2" t="s">
        <v>32</v>
      </c>
      <c r="V39" s="2"/>
      <c r="W39" s="2"/>
      <c r="X39" s="2"/>
      <c r="Y39" s="2"/>
      <c r="Z39" s="2"/>
      <c r="AA39" s="2"/>
      <c r="AB39" s="28" t="s">
        <v>654</v>
      </c>
      <c r="AC39" s="25" t="s">
        <v>371</v>
      </c>
      <c r="AD39" s="28" t="s">
        <v>655</v>
      </c>
      <c r="AE39" s="25" t="s">
        <v>372</v>
      </c>
      <c r="AF39" s="28" t="s">
        <v>656</v>
      </c>
      <c r="AG39" s="25" t="s">
        <v>373</v>
      </c>
      <c r="AH39" s="28" t="s">
        <v>657</v>
      </c>
      <c r="AI39" s="25" t="s">
        <v>374</v>
      </c>
      <c r="AJ39" s="28" t="s">
        <v>658</v>
      </c>
      <c r="AK39" s="25" t="s">
        <v>375</v>
      </c>
      <c r="AL39" s="28" t="s">
        <v>592</v>
      </c>
      <c r="AM39" s="25" t="s">
        <v>376</v>
      </c>
      <c r="AN39" s="28" t="s">
        <v>600</v>
      </c>
      <c r="AO39" s="25" t="s">
        <v>659</v>
      </c>
      <c r="AP39" s="28"/>
      <c r="AQ39" s="25"/>
      <c r="AR39" s="28"/>
      <c r="AS39" s="25"/>
      <c r="AT39" s="28"/>
      <c r="AU39" s="25"/>
      <c r="AV39" s="28"/>
      <c r="AW39" s="25"/>
      <c r="AX39" s="28"/>
      <c r="AY39" s="25"/>
      <c r="AZ39" s="28"/>
      <c r="BA39" s="25"/>
      <c r="BB39" s="28"/>
      <c r="BC39" s="25"/>
      <c r="BD39" s="28"/>
      <c r="BE39" s="25"/>
      <c r="BF39" s="28"/>
      <c r="BG39" s="25"/>
      <c r="BH39" s="28"/>
      <c r="BI39" s="25"/>
      <c r="BJ39" s="28"/>
      <c r="BK39" s="25"/>
      <c r="BL39" s="28"/>
      <c r="BM39" s="25"/>
      <c r="BN39" s="28"/>
      <c r="BO39" s="25"/>
      <c r="BP39" s="28"/>
      <c r="BQ39" s="25"/>
      <c r="BR39" s="28"/>
      <c r="BS39" s="25"/>
      <c r="BT39" s="28"/>
      <c r="BU39" s="25"/>
      <c r="BV39" s="28"/>
      <c r="BW39" s="25"/>
      <c r="BX39" s="28"/>
      <c r="BY39" s="25"/>
      <c r="CA39" s="1" t="str">
        <f>IF(A39="","","delete from sscd_mast where sscd_idcd = '"&amp;A39&amp;"'  and site_idcd = '"&amp;C39&amp;"';")</f>
        <v>delete from sscd_mast where sscd_idcd = 'pric_dvcd_KOR_common'  and site_idcd = 'common';</v>
      </c>
      <c r="CB39" s="5" t="str">
        <f>IF(E39&lt;&gt;"",CREATE_QUERY($B$1,A$2:AA$2,A39:AA39),"")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('pric_dvcd_KOR_common', 'KOR', 'common', 'pric_dvcd', '단가구분코드', 'gb', '', '[["1001","출하가1"],["1002","출하가2"],["1003","출하가3"],["1004","출하가4"],["1005","출하가5"],["2000","소비자가"],["3000","구매가"]]', '1001:출하가1 1002:출하가2 1003:출하가3 1004:출하가4 1005:출하가5 2000:소비자가 3000:구매가', '', '1001=출하가1|1002=출하가2|1003=출하가3|1004=출하가4|1005=출하가5|2000=소비자가|3000=구매가', '', '0', '0', '0', '0', 'pric_dvcd 단가구분코드 [["1001","출하가1"],["1002","출하가2"],["1003","출하가3"],["1004","출하가4"],["1005","출하가5"],["2000","소비자가"],["3000","구매가"]]', ' ', '', '', ' ', '', '', '', '', '', '');</v>
      </c>
    </row>
    <row r="40" spans="1:80" ht="17">
      <c r="A40" s="26" t="str">
        <f>IF(D40="","",D40&amp;"_"&amp;B40&amp;"_"&amp;C40)</f>
        <v>esti_dvcd_KOR_common</v>
      </c>
      <c r="B40" s="25" t="s">
        <v>27</v>
      </c>
      <c r="C40" s="25" t="str">
        <f t="shared" si="26"/>
        <v>common</v>
      </c>
      <c r="D40" s="25" t="s">
        <v>319</v>
      </c>
      <c r="E40" s="25" t="s">
        <v>205</v>
      </c>
      <c r="F40" s="25" t="str">
        <f>IF(A40="","","gb")</f>
        <v>gb</v>
      </c>
      <c r="G40" s="25"/>
      <c r="H40" s="35" t="str">
        <f>"[["""&amp;
SUBSTITUTE(SUBSTITUTE(I40,":",""",""")," ","""],[""")
&amp;"""]]"</f>
        <v>[["1","판매견적"],["2","임대견적"],["3","바이백견적"]]</v>
      </c>
      <c r="I40" s="35" t="str">
        <f t="shared" si="27"/>
        <v>1:판매견적 2:임대견적 3:바이백견적</v>
      </c>
      <c r="J40" s="35"/>
      <c r="K40" s="35" t="str">
        <f t="shared" si="28"/>
        <v>1=판매견적|2=임대견적|3=바이백견적</v>
      </c>
      <c r="L40" s="2"/>
      <c r="M40" s="36">
        <v>0</v>
      </c>
      <c r="N40" s="36">
        <v>0</v>
      </c>
      <c r="O40" s="36" t="s">
        <v>31</v>
      </c>
      <c r="P40" s="36" t="s">
        <v>31</v>
      </c>
      <c r="Q40" s="35" t="str">
        <f>IF(D40="","",D40&amp;" "&amp;E40&amp;" "&amp;H40)</f>
        <v>esti_dvcd 견적구분코드 [["1","판매견적"],["2","임대견적"],["3","바이백견적"]]</v>
      </c>
      <c r="R40" s="2" t="s">
        <v>921</v>
      </c>
      <c r="S40" s="2"/>
      <c r="T40" s="2"/>
      <c r="U40" s="2"/>
      <c r="V40" s="2"/>
      <c r="W40" s="2"/>
      <c r="X40" s="2"/>
      <c r="Y40" s="2"/>
      <c r="Z40" s="2"/>
      <c r="AA40" s="2"/>
      <c r="AB40" s="28" t="s">
        <v>684</v>
      </c>
      <c r="AC40" s="25" t="s">
        <v>3150</v>
      </c>
      <c r="AD40" s="28" t="s">
        <v>685</v>
      </c>
      <c r="AE40" s="25" t="s">
        <v>3151</v>
      </c>
      <c r="AF40" s="28" t="s">
        <v>687</v>
      </c>
      <c r="AG40" s="25" t="s">
        <v>3152</v>
      </c>
      <c r="AH40" s="28"/>
      <c r="AI40" s="25"/>
      <c r="AJ40" s="28"/>
      <c r="AK40" s="25"/>
      <c r="AL40" s="28"/>
      <c r="AM40" s="25"/>
      <c r="AN40" s="28"/>
      <c r="AO40" s="25"/>
      <c r="AP40" s="28"/>
      <c r="AQ40" s="25"/>
      <c r="AR40" s="28"/>
      <c r="AS40" s="25"/>
      <c r="AT40" s="28"/>
      <c r="AU40" s="25"/>
      <c r="AV40" s="28"/>
      <c r="AW40" s="25"/>
      <c r="AX40" s="28"/>
      <c r="AY40" s="25"/>
      <c r="AZ40" s="28"/>
      <c r="BA40" s="25"/>
      <c r="BB40" s="28"/>
      <c r="BC40" s="25"/>
      <c r="BD40" s="28"/>
      <c r="BE40" s="25"/>
      <c r="BF40" s="28"/>
      <c r="BG40" s="25"/>
      <c r="BH40" s="28"/>
      <c r="BI40" s="25"/>
      <c r="BJ40" s="28"/>
      <c r="BK40" s="25"/>
      <c r="BL40" s="28"/>
      <c r="BM40" s="25"/>
      <c r="BN40" s="28"/>
      <c r="BO40" s="25"/>
      <c r="BP40" s="28"/>
      <c r="BQ40" s="25"/>
      <c r="BR40" s="28"/>
      <c r="BS40" s="25"/>
      <c r="BT40" s="28"/>
      <c r="BU40" s="25"/>
      <c r="BV40" s="28"/>
      <c r="BW40" s="25"/>
      <c r="BX40" s="28"/>
      <c r="BY40" s="25"/>
      <c r="CA40" s="1" t="str">
        <f>IF(A40="","","delete from sscd_mast where sscd_idcd = '"&amp;A40&amp;"'  and site_idcd = '"&amp;C40&amp;"';")</f>
        <v>delete from sscd_mast where sscd_idcd = 'esti_dvcd_KOR_common'  and site_idcd = 'common';</v>
      </c>
      <c r="CB40" s="5" t="str">
        <f>IF(E40&lt;&gt;"",CREATE_QUERY($B$1,A$2:AA$2,A40:AA40),"")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('esti_dvcd_KOR_common', 'KOR', 'common', 'esti_dvcd', '견적구분코드', 'gb', '', '[["1","판매견적"],["2","임대견적"],["3","바이백견적"]]', '1:판매견적 2:임대견적 3:바이백견적', '', '1=판매견적|2=임대견적|3=바이백견적', '', '0', '0', '0', '0', 'esti_dvcd 견적구분코드 [["1","판매견적"],["2","임대견적"],["3","바이백견적"]]', ' ', '', '', '', '', '', '', '', '', '');</v>
      </c>
    </row>
    <row r="41" spans="1:80" ht="17">
      <c r="A41" s="26" t="str">
        <f>IF(D41="","",D41&amp;"_"&amp;B41&amp;"_"&amp;C41)</f>
        <v>stot_dvcd_KOR_common</v>
      </c>
      <c r="B41" s="25" t="s">
        <v>27</v>
      </c>
      <c r="C41" s="25" t="str">
        <f t="shared" si="26"/>
        <v>common</v>
      </c>
      <c r="D41" s="25" t="s">
        <v>240</v>
      </c>
      <c r="E41" s="25" t="s">
        <v>89</v>
      </c>
      <c r="F41" s="25" t="str">
        <f>IF(A41="","","gb")</f>
        <v>gb</v>
      </c>
      <c r="G41" s="25"/>
      <c r="H41" s="35" t="str">
        <f>"[["""&amp;
SUBSTITUTE(SUBSTITUTE(I41,":",""",""")," ","""],[""")
&amp;"""]]"</f>
        <v>[["1","현금"],["2","카드"],["3","무통장입금"],["4","어음"],["5","구매카드"],["7","외상"],["9","기타"]]</v>
      </c>
      <c r="I41" s="35" t="str">
        <f>IF(AB41="","",AB41&amp;":"&amp;AC41)&amp;
IF(AD41="",""," "&amp;AD41&amp;":"&amp;AE41)&amp;
IF(AF41="",""," "&amp;AF41&amp;":"&amp;AG41)&amp;
IF(AH41="",""," "&amp;AH41&amp;":"&amp;AI41)&amp;
IF(AJ41="",""," "&amp;AJ41&amp;":"&amp;AK41)&amp;
IF(AL41="",""," "&amp;AL41&amp;":"&amp;AM41)&amp;
IF(AN41="",""," "&amp;AN41&amp;":"&amp;AO41)&amp;
IF(AP41="",""," "&amp;AP41&amp;":"&amp;AQ41)&amp;
IF(AR41="",""," "&amp;AR41&amp;":"&amp;AS41)&amp;
IF(AT41="",""," "&amp;AT41&amp;":"&amp;AU41)&amp;
IF(AV41="",""," "&amp;AV41&amp;":"&amp;AW41)&amp;
IF(AX41="",""," "&amp;AX41&amp;":"&amp;AY41)&amp;
IF(AZ41="",""," "&amp;AZ41&amp;":"&amp;BA41)&amp;
IF(BB41="",""," "&amp;BB41&amp;":"&amp;BC41)&amp;
IF(BD41="",""," "&amp;BD41&amp;":"&amp;BE41)&amp;
IF(BF41="",""," "&amp;BF41&amp;":"&amp;BG41)&amp;
IF(BH41="",""," "&amp;BH41&amp;":"&amp;BI41)&amp;
IF(BJ41="",""," "&amp;BJ41&amp;":"&amp;BK41)&amp;
IF(BL41="",""," "&amp;BL41&amp;":"&amp;BM41)&amp;
IF(BN41="",""," "&amp;BN41&amp;":"&amp;BO41)&amp;
IF(BP41="",""," "&amp;BP41&amp;":"&amp;BS41)&amp;
IF(BZ41="",""," "&amp;BZ41&amp;":"&amp;CA41)</f>
        <v>1:현금 2:카드 3:무통장입금 4:어음 5:구매카드 7:외상 9:기타</v>
      </c>
      <c r="J41" s="35"/>
      <c r="K41" s="35" t="str">
        <f>IF(AB41="","",AB41&amp;"="&amp;AC41)&amp;
IF(AD41="","","|"&amp;AD41&amp;"="&amp;AE41)&amp;
IF(AF41="","","|"&amp;AF41&amp;"="&amp;AG41)&amp;
IF(AH41="","","|"&amp;AH41&amp;"="&amp;AI41)&amp;
IF(AJ41="","","|"&amp;AJ41&amp;"="&amp;AK41)&amp;
IF(AL41="","","|"&amp;AL41&amp;"="&amp;AM41)&amp;
IF(AN41="","","|"&amp;AN41&amp;"="&amp;AO41)&amp;
IF(AP41="","","|"&amp;AP41&amp;"="&amp;AQ41)&amp;
IF(AR41="","","|"&amp;AR41&amp;"="&amp;AS41)&amp;
IF(AT41="","","|"&amp;AT41&amp;"="&amp;AU41)&amp;
IF(AV41="","","|"&amp;AV41&amp;"="&amp;AW41)&amp;
IF(AX41="","","|"&amp;AX41&amp;"="&amp;AY41)&amp;
IF(AZ41="","","|"&amp;AZ41&amp;"="&amp;BA41)&amp;
IF(BB41="","","|"&amp;BB41&amp;"="&amp;BC41)&amp;
IF(BD41="","","|"&amp;BD41&amp;"="&amp;BE41)&amp;
IF(BF41="","","|"&amp;BF41&amp;"="&amp;BG41)&amp;
IF(BH41="","","|"&amp;BH41&amp;"="&amp;BI41)&amp;
IF(BJ41="","","|"&amp;BJ41&amp;"="&amp;BK41)&amp;
IF(BL41="","","|"&amp;BL41&amp;"="&amp;BM41)&amp;
IF(BN41="","","|"&amp;BN41&amp;"="&amp;BO41)&amp;
IF(BP41="","","|"&amp;BP41&amp;"="&amp;BQ41)&amp;
IF(BR41="","","|"&amp;BR41&amp;"="&amp;BS41)&amp;
IF(BT41="","","|"&amp;BT41&amp;"="&amp;BU41)&amp;
IF(BV41="","","|"&amp;BV41&amp;"="&amp;BW41)&amp;
IF(BX41="","","|"&amp;BX41&amp;"="&amp;BY41)</f>
        <v>1=현금|2=카드|3=무통장입금|4=어음|5=구매카드|7=외상|9=기타</v>
      </c>
      <c r="L41" s="2"/>
      <c r="M41" s="36">
        <v>0</v>
      </c>
      <c r="N41" s="36">
        <v>0</v>
      </c>
      <c r="O41" s="36" t="s">
        <v>31</v>
      </c>
      <c r="P41" s="36" t="s">
        <v>31</v>
      </c>
      <c r="Q41" s="35" t="str">
        <f>IF(D41="","",D41&amp;" "&amp;E41&amp;" "&amp;H41)</f>
        <v>stot_dvcd 결제구분 [["1","현금"],["2","카드"],["3","무통장입금"],["4","어음"],["5","구매카드"],["7","외상"],["9","기타"]]</v>
      </c>
      <c r="R41" s="2" t="s">
        <v>921</v>
      </c>
      <c r="S41" s="2"/>
      <c r="T41" s="2"/>
      <c r="U41" s="2" t="s">
        <v>32</v>
      </c>
      <c r="V41" s="2"/>
      <c r="W41" s="2"/>
      <c r="X41" s="2"/>
      <c r="Y41" s="2"/>
      <c r="Z41" s="2"/>
      <c r="AA41" s="2"/>
      <c r="AB41" s="28" t="s">
        <v>684</v>
      </c>
      <c r="AC41" s="25" t="s">
        <v>2518</v>
      </c>
      <c r="AD41" s="28" t="s">
        <v>685</v>
      </c>
      <c r="AE41" s="25" t="s">
        <v>2519</v>
      </c>
      <c r="AF41" s="28" t="s">
        <v>687</v>
      </c>
      <c r="AG41" s="25" t="s">
        <v>2520</v>
      </c>
      <c r="AH41" s="28" t="s">
        <v>688</v>
      </c>
      <c r="AI41" s="25" t="s">
        <v>664</v>
      </c>
      <c r="AJ41" s="28" t="s">
        <v>576</v>
      </c>
      <c r="AK41" s="25" t="s">
        <v>2675</v>
      </c>
      <c r="AL41" s="28" t="s">
        <v>871</v>
      </c>
      <c r="AM41" s="25" t="s">
        <v>2521</v>
      </c>
      <c r="AN41" s="28" t="s">
        <v>570</v>
      </c>
      <c r="AO41" s="25" t="s">
        <v>612</v>
      </c>
      <c r="AP41" s="28"/>
      <c r="AQ41" s="25"/>
      <c r="AR41" s="28"/>
      <c r="AS41" s="25"/>
      <c r="AT41" s="28"/>
      <c r="AU41" s="25"/>
      <c r="AV41" s="28"/>
      <c r="AW41" s="25"/>
      <c r="AX41" s="28"/>
      <c r="AY41" s="25"/>
      <c r="AZ41" s="28"/>
      <c r="BA41" s="25"/>
      <c r="BB41" s="28"/>
      <c r="BC41" s="25"/>
      <c r="BD41" s="28"/>
      <c r="BE41" s="25"/>
      <c r="BF41" s="28"/>
      <c r="BG41" s="25"/>
      <c r="BH41" s="28"/>
      <c r="BI41" s="25"/>
      <c r="BJ41" s="28"/>
      <c r="BK41" s="25"/>
      <c r="BL41" s="28"/>
      <c r="BM41" s="25"/>
      <c r="BN41" s="28"/>
      <c r="BO41" s="25"/>
      <c r="BP41" s="28"/>
      <c r="BQ41" s="25"/>
      <c r="BR41" s="28"/>
      <c r="BS41" s="25"/>
      <c r="BT41" s="28"/>
      <c r="BU41" s="25"/>
      <c r="BV41" s="28"/>
      <c r="BW41" s="25"/>
      <c r="BX41" s="28"/>
      <c r="BY41" s="25"/>
      <c r="CA41" s="1" t="str">
        <f>IF(A41="","","delete from sscd_mast where sscd_idcd = '"&amp;A41&amp;"'  and site_idcd = '"&amp;C41&amp;"';")</f>
        <v>delete from sscd_mast where sscd_idcd = 'stot_dvcd_KOR_common'  and site_idcd = 'common';</v>
      </c>
      <c r="CB41" s="5" t="str">
        <f>IF(E41&lt;&gt;"",CREATE_QUERY($B$1,A$2:AA$2,A41:AA41),"")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('stot_dvcd_KOR_common', 'KOR', 'common', 'stot_dvcd', '결제구분', 'gb', '', '[["1","현금"],["2","카드"],["3","무통장입금"],["4","어음"],["5","구매카드"],["7","외상"],["9","기타"]]', '1:현금 2:카드 3:무통장입금 4:어음 5:구매카드 7:외상 9:기타', '', '1=현금|2=카드|3=무통장입금|4=어음|5=구매카드|7=외상|9=기타', '', '0', '0', '0', '0', 'stot_dvcd 결제구분 [["1","현금"],["2","카드"],["3","무통장입금"],["4","어음"],["5","구매카드"],["7","외상"],["9","기타"]]', ' ', '', '', ' ', '', '', '', '', '', '');</v>
      </c>
    </row>
    <row r="42" spans="1:80" ht="17">
      <c r="A42" s="26" t="str">
        <f>IF(D42="","",D42&amp;"_"&amp;B42&amp;"_"&amp;C42)</f>
        <v>ntce_dvcd_KOR_common</v>
      </c>
      <c r="B42" s="25" t="s">
        <v>27</v>
      </c>
      <c r="C42" s="25" t="str">
        <f t="shared" si="26"/>
        <v>common</v>
      </c>
      <c r="D42" s="34" t="s">
        <v>247</v>
      </c>
      <c r="E42" s="25" t="s">
        <v>2572</v>
      </c>
      <c r="F42" s="25" t="str">
        <f>IF(A42="","","gb")</f>
        <v>gb</v>
      </c>
      <c r="G42" s="25"/>
      <c r="H42" s="35" t="str">
        <f>"[["""&amp;
SUBSTITUTE(SUBSTITUTE(I42,":",""",""")," ","""],[""")
&amp;"""]]"</f>
        <v>[["1000","일반"],["2000","긴급"],["3000","행사"],["4100","방문(귀빈)"],["4200","방문(고객사)"]]</v>
      </c>
      <c r="I42" s="35" t="str">
        <f t="shared" ref="I42:I48" si="29">IF(AB42="","",AB42&amp;":"&amp;AC42)&amp;
IF(AD42="",""," "&amp;AD42&amp;":"&amp;AE42)&amp;
IF(AF42="",""," "&amp;AF42&amp;":"&amp;AG42)&amp;
IF(AH42="",""," "&amp;AH42&amp;":"&amp;AI42)&amp;
IF(AJ42="",""," "&amp;AJ42&amp;":"&amp;AK42)&amp;
IF(AL42="",""," "&amp;AL42&amp;":"&amp;AM42)&amp;
IF(AN42="",""," "&amp;AN42&amp;":"&amp;AO42)&amp;
IF(AP42="",""," "&amp;AP42&amp;":"&amp;AQ42)&amp;
IF(AR42="",""," "&amp;AR42&amp;":"&amp;AS42)&amp;
IF(AT42="",""," "&amp;AT42&amp;":"&amp;AU42)&amp;
IF(AV42="",""," "&amp;AV42&amp;":"&amp;AW42)&amp;
IF(AX42="",""," "&amp;AX42&amp;":"&amp;AY42)&amp;
IF(AZ42="",""," "&amp;AZ42&amp;":"&amp;BA42)&amp;
IF(BB42="",""," "&amp;BB42&amp;":"&amp;BC42)&amp;
IF(BD42="",""," "&amp;BD42&amp;":"&amp;BE42)&amp;
IF(BF42="",""," "&amp;BF42&amp;":"&amp;BG42)&amp;
IF(BH42="",""," "&amp;BH42&amp;":"&amp;BI42)&amp;
IF(BJ42="",""," "&amp;BJ42&amp;":"&amp;BK42)&amp;
IF(BL42="",""," "&amp;BL42&amp;":"&amp;BM42)&amp;
IF(BN42="",""," "&amp;BN42&amp;":"&amp;BO42)&amp;
IF(BP42="",""," "&amp;BP42&amp;":"&amp;BS42)&amp;
IF(BZ42="",""," "&amp;BZ42&amp;":"&amp;CA42)</f>
        <v>1000:일반 2000:긴급 3000:행사 4100:방문(귀빈) 4200:방문(고객사)</v>
      </c>
      <c r="J42" s="35"/>
      <c r="K42" s="35" t="str">
        <f>IF(AB42="","",AB42&amp;"="&amp;AC42)&amp;
IF(AD42="","","|"&amp;AD42&amp;"="&amp;AE42)&amp;
IF(AF42="","","|"&amp;AF42&amp;"="&amp;AG42)&amp;
IF(AH42="","","|"&amp;AH42&amp;"="&amp;AI42)&amp;
IF(AJ42="","","|"&amp;AJ42&amp;"="&amp;AK42)&amp;
IF(AL42="","","|"&amp;AL42&amp;"="&amp;AM42)&amp;
IF(AN42="","","|"&amp;AN42&amp;"="&amp;AO42)&amp;
IF(AP42="","","|"&amp;AP42&amp;"="&amp;AQ42)&amp;
IF(AR42="","","|"&amp;AR42&amp;"="&amp;AS42)&amp;
IF(AT42="","","|"&amp;AT42&amp;"="&amp;AU42)&amp;
IF(AV42="","","|"&amp;AV42&amp;"="&amp;AW42)&amp;
IF(AX42="","","|"&amp;AX42&amp;"="&amp;AY42)&amp;
IF(AZ42="","","|"&amp;AZ42&amp;"="&amp;BA42)&amp;
IF(BB42="","","|"&amp;BB42&amp;"="&amp;BC42)&amp;
IF(BD42="","","|"&amp;BD42&amp;"="&amp;BE42)&amp;
IF(BF42="","","|"&amp;BF42&amp;"="&amp;BG42)&amp;
IF(BH42="","","|"&amp;BH42&amp;"="&amp;BI42)&amp;
IF(BJ42="","","|"&amp;BJ42&amp;"="&amp;BK42)&amp;
IF(BL42="","","|"&amp;BL42&amp;"="&amp;BM42)&amp;
IF(BN42="","","|"&amp;BN42&amp;"="&amp;BO42)&amp;
IF(BP42="","","|"&amp;BP42&amp;"="&amp;BQ42)&amp;
IF(BR42="","","|"&amp;BR42&amp;"="&amp;BS42)&amp;
IF(BT42="","","|"&amp;BT42&amp;"="&amp;BU42)&amp;
IF(BV42="","","|"&amp;BV42&amp;"="&amp;BW42)&amp;
IF(BX42="","","|"&amp;BX42&amp;"="&amp;BY42)</f>
        <v>1000=일반|2000=긴급|3000=행사|4100=방문(귀빈)|4200=방문(고객사)</v>
      </c>
      <c r="L42" s="2"/>
      <c r="M42" s="36">
        <v>0</v>
      </c>
      <c r="N42" s="36">
        <v>0</v>
      </c>
      <c r="O42" s="36" t="s">
        <v>31</v>
      </c>
      <c r="P42" s="36" t="s">
        <v>31</v>
      </c>
      <c r="Q42" s="35" t="str">
        <f>IF(D42="","",D42&amp;" "&amp;E42&amp;" "&amp;H42)</f>
        <v>ntce_dvcd 공지구분코드 [["1000","일반"],["2000","긴급"],["3000","행사"],["4100","방문(귀빈)"],["4200","방문(고객사)"]]</v>
      </c>
      <c r="R42" s="2" t="s">
        <v>921</v>
      </c>
      <c r="S42" s="2"/>
      <c r="T42" s="2"/>
      <c r="U42" s="2" t="s">
        <v>32</v>
      </c>
      <c r="V42" s="2"/>
      <c r="W42" s="2"/>
      <c r="X42" s="2"/>
      <c r="Y42" s="2"/>
      <c r="Z42" s="2"/>
      <c r="AA42" s="2"/>
      <c r="AB42" s="28" t="s">
        <v>2683</v>
      </c>
      <c r="AC42" s="25" t="s">
        <v>738</v>
      </c>
      <c r="AD42" s="28" t="s">
        <v>2684</v>
      </c>
      <c r="AE42" s="25" t="s">
        <v>784</v>
      </c>
      <c r="AF42" s="28" t="s">
        <v>2685</v>
      </c>
      <c r="AG42" s="25" t="s">
        <v>2573</v>
      </c>
      <c r="AH42" s="28" t="s">
        <v>2686</v>
      </c>
      <c r="AI42" s="25" t="s">
        <v>2687</v>
      </c>
      <c r="AJ42" s="28" t="s">
        <v>2688</v>
      </c>
      <c r="AK42" s="25" t="s">
        <v>2689</v>
      </c>
      <c r="AL42" s="29"/>
      <c r="AM42" s="25"/>
      <c r="AN42" s="29"/>
      <c r="AO42" s="25"/>
      <c r="AP42" s="29"/>
      <c r="AQ42" s="25"/>
      <c r="AR42" s="29"/>
      <c r="AS42" s="25"/>
      <c r="AT42" s="29"/>
      <c r="AU42" s="25"/>
      <c r="AV42" s="29"/>
      <c r="AW42" s="25"/>
      <c r="AX42" s="29"/>
      <c r="AY42" s="25"/>
      <c r="AZ42" s="29"/>
      <c r="BA42" s="25"/>
      <c r="BB42" s="29"/>
      <c r="BC42" s="25"/>
      <c r="BD42" s="29"/>
      <c r="BE42" s="25"/>
      <c r="BF42" s="29"/>
      <c r="BG42" s="25"/>
      <c r="BH42" s="29"/>
      <c r="BI42" s="25"/>
      <c r="BJ42" s="29"/>
      <c r="BK42" s="25"/>
      <c r="BL42" s="29"/>
      <c r="BM42" s="25"/>
      <c r="BN42" s="29"/>
      <c r="BO42" s="25"/>
      <c r="BP42" s="29"/>
      <c r="BQ42" s="25"/>
      <c r="BR42" s="29"/>
      <c r="BS42" s="25"/>
      <c r="BT42" s="29"/>
      <c r="BU42" s="25"/>
      <c r="BV42" s="29"/>
      <c r="BW42" s="25"/>
      <c r="BX42" s="29"/>
      <c r="BY42" s="25"/>
      <c r="CA42" s="1" t="str">
        <f t="shared" ref="CA42:CA48" si="30">IF(A42="","","delete from sscd_mast where sscd_idcd = '"&amp;A42&amp;"'  and site_idcd = '"&amp;C42&amp;"';")</f>
        <v>delete from sscd_mast where sscd_idcd = 'ntce_dvcd_KOR_common'  and site_idcd = 'common';</v>
      </c>
      <c r="CB42" s="5" t="str">
        <f>IF(E42&lt;&gt;"",CREATE_QUERY($B$1,A$2:AA$2,A42:AA42),"")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('ntce_dvcd_KOR_common', 'KOR', 'common', 'ntce_dvcd', '공지구분코드', 'gb', '', '[["1000","일반"],["2000","긴급"],["3000","행사"],["4100","방문(귀빈)"],["4200","방문(고객사)"]]', '1000:일반 2000:긴급 3000:행사 4100:방문(귀빈) 4200:방문(고객사)', '', '1000=일반|2000=긴급|3000=행사|4100=방문(귀빈)|4200=방문(고객사)', '', '0', '0', '0', '0', 'ntce_dvcd 공지구분코드 [["1000","일반"],["2000","긴급"],["3000","행사"],["4100","방문(귀빈)"],["4200","방문(고객사)"]]', ' ', '', '', ' ', '', '', '', '', '', '');</v>
      </c>
    </row>
    <row r="43" spans="1:80" ht="17">
      <c r="A43" s="26" t="str">
        <f t="shared" ref="A43" si="31">IF(D43="","",D43&amp;"_"&amp;B43&amp;"_"&amp;C43)</f>
        <v>dayn_dvcd_KOR_common</v>
      </c>
      <c r="B43" s="25" t="s">
        <v>27</v>
      </c>
      <c r="C43" s="25" t="str">
        <f t="shared" si="26"/>
        <v>common</v>
      </c>
      <c r="D43" s="25" t="s">
        <v>2640</v>
      </c>
      <c r="E43" s="25" t="s">
        <v>2641</v>
      </c>
      <c r="F43" s="25" t="str">
        <f t="shared" ref="F43" si="32">IF(A43="","","gb")</f>
        <v>gb</v>
      </c>
      <c r="G43" s="25"/>
      <c r="H43" s="35" t="str">
        <f t="shared" ref="H43" si="33">"[["""&amp;
SUBSTITUTE(SUBSTITUTE(I43,":",""",""")," ","""],[""")
&amp;"""]]"</f>
        <v>[["1","주간"],["2","야간"]]</v>
      </c>
      <c r="I43" s="35" t="str">
        <f t="shared" si="29"/>
        <v>1:주간 2:야간</v>
      </c>
      <c r="J43" s="35"/>
      <c r="K43" s="35" t="str">
        <f t="shared" ref="K43:K48" si="34">IF(AB43="","",AB43&amp;"="&amp;AC43)&amp;
IF(AD43="","","|"&amp;AD43&amp;"="&amp;AE43)&amp;
IF(AF43="","","|"&amp;AF43&amp;"="&amp;AG43)&amp;
IF(AH43="","","|"&amp;AH43&amp;"="&amp;AI43)&amp;
IF(AJ43="","","|"&amp;AJ43&amp;"="&amp;AK43)&amp;
IF(AL43="","","|"&amp;AL43&amp;"="&amp;AM43)&amp;
IF(AN43="","","|"&amp;AN43&amp;"="&amp;AO43)&amp;
IF(AP43="","","|"&amp;AP43&amp;"="&amp;AQ43)&amp;
IF(AR43="","","|"&amp;AR43&amp;"="&amp;AS43)&amp;
IF(AT43="","","|"&amp;AT43&amp;"="&amp;AU43)&amp;
IF(AV43="","","|"&amp;AV43&amp;"="&amp;AW43)&amp;
IF(AX43="","","|"&amp;AX43&amp;"="&amp;AY43)&amp;
IF(AZ43="","","|"&amp;AZ43&amp;"="&amp;BA43)&amp;
IF(BB43="","","|"&amp;BB43&amp;"="&amp;BC43)&amp;
IF(BD43="","","|"&amp;BD43&amp;"="&amp;BE43)&amp;
IF(BF43="","","|"&amp;BF43&amp;"="&amp;BG43)&amp;
IF(BH43="","","|"&amp;BH43&amp;"="&amp;BI43)&amp;
IF(BJ43="","","|"&amp;BJ43&amp;"="&amp;BK43)&amp;
IF(BL43="","","|"&amp;BL43&amp;"="&amp;BM43)&amp;
IF(BN43="","","|"&amp;BN43&amp;"="&amp;BO43)&amp;
IF(BP43="","","|"&amp;BP43&amp;"="&amp;BQ43)&amp;
IF(BR43="","","|"&amp;BR43&amp;"="&amp;BS43)&amp;
IF(BT43="","","|"&amp;BT43&amp;"="&amp;BU43)&amp;
IF(BV43="","","|"&amp;BV43&amp;"="&amp;BW43)&amp;
IF(BX43="","","|"&amp;BX43&amp;"="&amp;BY43)</f>
        <v>1=주간|2=야간</v>
      </c>
      <c r="L43" s="2"/>
      <c r="M43" s="36">
        <v>0</v>
      </c>
      <c r="N43" s="36">
        <v>0</v>
      </c>
      <c r="O43" s="36" t="s">
        <v>31</v>
      </c>
      <c r="P43" s="36" t="s">
        <v>31</v>
      </c>
      <c r="Q43" s="35" t="str">
        <f t="shared" ref="Q43" si="35">IF(D43="","",D43&amp;" "&amp;E43&amp;" "&amp;H43)</f>
        <v>dayn_dvcd 주야구분 [["1","주간"],["2","야간"]]</v>
      </c>
      <c r="R43" s="2" t="s">
        <v>921</v>
      </c>
      <c r="S43" s="2"/>
      <c r="T43" s="2"/>
      <c r="U43" s="2" t="s">
        <v>32</v>
      </c>
      <c r="V43" s="2"/>
      <c r="W43" s="2"/>
      <c r="X43" s="2"/>
      <c r="Y43" s="2"/>
      <c r="Z43" s="2"/>
      <c r="AA43" s="2"/>
      <c r="AB43" s="29" t="s">
        <v>370</v>
      </c>
      <c r="AC43" s="25" t="s">
        <v>866</v>
      </c>
      <c r="AD43" s="29">
        <v>2</v>
      </c>
      <c r="AE43" s="25" t="s">
        <v>2462</v>
      </c>
      <c r="AF43" s="29"/>
      <c r="AG43" s="25"/>
      <c r="AH43" s="29"/>
      <c r="AI43" s="25"/>
      <c r="AJ43" s="29"/>
      <c r="AK43" s="25"/>
      <c r="AL43" s="29"/>
      <c r="AM43" s="25"/>
      <c r="AN43" s="29"/>
      <c r="AO43" s="25"/>
      <c r="AP43" s="29"/>
      <c r="AQ43" s="25"/>
      <c r="AR43" s="29"/>
      <c r="AS43" s="25"/>
      <c r="AT43" s="29"/>
      <c r="AU43" s="25"/>
      <c r="AV43" s="29"/>
      <c r="AW43" s="25"/>
      <c r="AX43" s="29"/>
      <c r="AY43" s="25"/>
      <c r="AZ43" s="29"/>
      <c r="BA43" s="25"/>
      <c r="BB43" s="29"/>
      <c r="BC43" s="25"/>
      <c r="BD43" s="29"/>
      <c r="BE43" s="25"/>
      <c r="BF43" s="29"/>
      <c r="BG43" s="25"/>
      <c r="BH43" s="29"/>
      <c r="BI43" s="25"/>
      <c r="BJ43" s="29"/>
      <c r="BK43" s="25"/>
      <c r="BL43" s="29"/>
      <c r="BM43" s="25"/>
      <c r="BN43" s="29"/>
      <c r="BO43" s="25"/>
      <c r="BP43" s="29"/>
      <c r="BQ43" s="25"/>
      <c r="BR43" s="29"/>
      <c r="BS43" s="25"/>
      <c r="BT43" s="29"/>
      <c r="BU43" s="25"/>
      <c r="BV43" s="29"/>
      <c r="BW43" s="25"/>
      <c r="BX43" s="29"/>
      <c r="BY43" s="25"/>
      <c r="CA43" s="1" t="str">
        <f t="shared" si="30"/>
        <v>delete from sscd_mast where sscd_idcd = 'dayn_dvcd_KOR_common'  and site_idcd = 'common';</v>
      </c>
      <c r="CB43" s="5" t="str">
        <f>IF(E43&lt;&gt;"",CREATE_QUERY($B$1,A$2:AA$2,A43:AA43),"")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('dayn_dvcd_KOR_common', 'KOR', 'common', 'dayn_dvcd', '주야구분', 'gb', '', '[["1","주간"],["2","야간"]]', '1:주간 2:야간', '', '1=주간|2=야간', '', '0', '0', '0', '0', 'dayn_dvcd 주야구분 [["1","주간"],["2","야간"]]', ' ', '', '', ' ', '', '', '', '', '', '');</v>
      </c>
    </row>
    <row r="44" spans="1:80" ht="17">
      <c r="A44" s="26" t="str">
        <f>IF(D44="","",D44&amp;"_"&amp;B44&amp;"_"&amp;C44)</f>
        <v>cvic_kind_dvcd_KOR_common</v>
      </c>
      <c r="B44" s="25" t="s">
        <v>27</v>
      </c>
      <c r="C44" s="25" t="str">
        <f t="shared" si="26"/>
        <v>common</v>
      </c>
      <c r="D44" s="25" t="s">
        <v>307</v>
      </c>
      <c r="E44" s="25" t="s">
        <v>193</v>
      </c>
      <c r="F44" s="25" t="str">
        <f>IF(A44="","","gb")</f>
        <v>gb</v>
      </c>
      <c r="G44" s="25"/>
      <c r="H44" s="35" t="str">
        <f>"[["""&amp;
SUBSTITUTE(SUBSTITUTE(I44,":",""",""")," ","""],[""")
&amp;"""]]"</f>
        <v>[["1000","용접기"],["2000","전용기기"],["3000","범용기기"],["4000","검사기기"]]</v>
      </c>
      <c r="I44" s="35" t="str">
        <f t="shared" si="29"/>
        <v>1000:용접기 2000:전용기기 3000:범용기기 4000:검사기기</v>
      </c>
      <c r="J44" s="35"/>
      <c r="K44" s="35" t="str">
        <f t="shared" si="34"/>
        <v>1000=용접기|2000=전용기기|3000=범용기기|4000=검사기기</v>
      </c>
      <c r="L44" s="2"/>
      <c r="M44" s="36">
        <v>0</v>
      </c>
      <c r="N44" s="36">
        <v>0</v>
      </c>
      <c r="O44" s="36" t="s">
        <v>31</v>
      </c>
      <c r="P44" s="36" t="s">
        <v>31</v>
      </c>
      <c r="Q44" s="35" t="str">
        <f>IF(D44="","",D44&amp;" "&amp;E44&amp;" "&amp;H44)</f>
        <v>cvic_kind_dvcd 설비종류구분코드 [["1000","용접기"],["2000","전용기기"],["3000","범용기기"],["4000","검사기기"]]</v>
      </c>
      <c r="R44" s="2" t="s">
        <v>921</v>
      </c>
      <c r="S44" s="2"/>
      <c r="T44" s="2"/>
      <c r="U44" s="2"/>
      <c r="V44" s="2"/>
      <c r="W44" s="2"/>
      <c r="X44" s="2"/>
      <c r="Y44" s="2"/>
      <c r="Z44" s="2"/>
      <c r="AA44" s="2"/>
      <c r="AB44" s="28" t="s">
        <v>591</v>
      </c>
      <c r="AC44" s="25" t="s">
        <v>3153</v>
      </c>
      <c r="AD44" s="28" t="s">
        <v>592</v>
      </c>
      <c r="AE44" s="25" t="s">
        <v>787</v>
      </c>
      <c r="AF44" s="28" t="s">
        <v>600</v>
      </c>
      <c r="AG44" s="25" t="s">
        <v>788</v>
      </c>
      <c r="AH44" s="28" t="s">
        <v>601</v>
      </c>
      <c r="AI44" s="25" t="s">
        <v>2371</v>
      </c>
      <c r="AJ44" s="28"/>
      <c r="AK44" s="25"/>
      <c r="AL44" s="28"/>
      <c r="AM44" s="25"/>
      <c r="AN44" s="28"/>
      <c r="AO44" s="25"/>
      <c r="AP44" s="28"/>
      <c r="AQ44" s="25"/>
      <c r="AR44" s="28"/>
      <c r="AS44" s="25"/>
      <c r="AT44" s="28"/>
      <c r="AU44" s="25"/>
      <c r="AV44" s="28"/>
      <c r="AW44" s="25"/>
      <c r="AX44" s="28"/>
      <c r="AY44" s="25"/>
      <c r="AZ44" s="28"/>
      <c r="BA44" s="25"/>
      <c r="BB44" s="28"/>
      <c r="BC44" s="25"/>
      <c r="BD44" s="28"/>
      <c r="BE44" s="25"/>
      <c r="BF44" s="28"/>
      <c r="BG44" s="25"/>
      <c r="BH44" s="28"/>
      <c r="BI44" s="25"/>
      <c r="BJ44" s="28"/>
      <c r="BK44" s="25"/>
      <c r="BL44" s="28"/>
      <c r="BM44" s="25"/>
      <c r="BN44" s="28"/>
      <c r="BO44" s="25"/>
      <c r="BP44" s="28"/>
      <c r="BQ44" s="25"/>
      <c r="BR44" s="28"/>
      <c r="BS44" s="25"/>
      <c r="BT44" s="28"/>
      <c r="BU44" s="25"/>
      <c r="BV44" s="28"/>
      <c r="BW44" s="25"/>
      <c r="BX44" s="28"/>
      <c r="BY44" s="25"/>
      <c r="CA44" s="1" t="str">
        <f t="shared" si="30"/>
        <v>delete from sscd_mast where sscd_idcd = 'cvic_kind_dvcd_KOR_common'  and site_idcd = 'common';</v>
      </c>
      <c r="CB44" s="5" t="str">
        <f>IF(E44&lt;&gt;"",CREATE_QUERY($B$1,A$2:AA$2,A44:AA44),"")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('cvic_kind_dvcd_KOR_common', 'KOR', 'common', 'cvic_kind_dvcd', '설비종류구분코드', 'gb', '', '[["1000","용접기"],["2000","전용기기"],["3000","범용기기"],["4000","검사기기"]]', '1000:용접기 2000:전용기기 3000:범용기기 4000:검사기기', '', '1000=용접기|2000=전용기기|3000=범용기기|4000=검사기기', '', '0', '0', '0', '0', 'cvic_kind_dvcd 설비종류구분코드 [["1000","용접기"],["2000","전용기기"],["3000","범용기기"],["4000","검사기기"]]', ' ', '', '', '', '', '', '', '', '', '');</v>
      </c>
    </row>
    <row r="45" spans="1:80" ht="17">
      <c r="A45" s="26" t="str">
        <f ca="1">IF(D45="","",D45&amp;"_"&amp;B45&amp;"_"&amp;C45)</f>
        <v>wkct_insp_dvcd_KOR_common</v>
      </c>
      <c r="B45" s="25" t="str">
        <f t="shared" ref="B45" ca="1" si="36">IF(E45="","",OFFSET(B45,-1,0))</f>
        <v>KOR</v>
      </c>
      <c r="C45" s="25" t="str">
        <f t="shared" si="26"/>
        <v>common</v>
      </c>
      <c r="D45" s="25" t="s">
        <v>2372</v>
      </c>
      <c r="E45" s="25" t="s">
        <v>2373</v>
      </c>
      <c r="F45" s="25" t="str">
        <f ca="1">IF(A45="","","gb")</f>
        <v>gb</v>
      </c>
      <c r="G45" s="25"/>
      <c r="H45" s="35" t="str">
        <f>"[["""&amp;
SUBSTITUTE(SUBSTITUTE(I45,":",""",""")," ","""],[""")
&amp;"""]]"</f>
        <v>[["1000","초중종물검사"],["2000","자주검사"],["3000","최종입고검사"]]</v>
      </c>
      <c r="I45" s="35" t="str">
        <f t="shared" si="29"/>
        <v>1000:초중종물검사 2000:자주검사 3000:최종입고검사</v>
      </c>
      <c r="J45" s="35"/>
      <c r="K45" s="35" t="str">
        <f t="shared" si="34"/>
        <v>1000=초중종물검사|2000=자주검사|3000=최종입고검사</v>
      </c>
      <c r="L45" s="2"/>
      <c r="M45" s="36" t="str">
        <f t="shared" ref="M45:P47" ca="1" si="37">IF(A45="","","0")</f>
        <v>0</v>
      </c>
      <c r="N45" s="36" t="str">
        <f t="shared" ca="1" si="37"/>
        <v>0</v>
      </c>
      <c r="O45" s="36" t="str">
        <f t="shared" si="37"/>
        <v>0</v>
      </c>
      <c r="P45" s="36" t="str">
        <f t="shared" si="37"/>
        <v>0</v>
      </c>
      <c r="Q45" s="35" t="str">
        <f>IF(D45="","",D45&amp;" "&amp;E45&amp;" "&amp;H45)</f>
        <v>wkct_insp_dvcd 공정검사구분코드 [["1000","초중종물검사"],["2000","자주검사"],["3000","최종입고검사"]]</v>
      </c>
      <c r="R45" s="2" t="s">
        <v>921</v>
      </c>
      <c r="S45" s="2"/>
      <c r="T45" s="2"/>
      <c r="U45" s="2"/>
      <c r="V45" s="2"/>
      <c r="W45" s="2"/>
      <c r="X45" s="2"/>
      <c r="Y45" s="2"/>
      <c r="Z45" s="2"/>
      <c r="AA45" s="2"/>
      <c r="AB45" s="31" t="s">
        <v>591</v>
      </c>
      <c r="AC45" s="25" t="s">
        <v>2374</v>
      </c>
      <c r="AD45" s="31" t="s">
        <v>592</v>
      </c>
      <c r="AE45" s="25" t="s">
        <v>2375</v>
      </c>
      <c r="AF45" s="31" t="s">
        <v>600</v>
      </c>
      <c r="AG45" s="25" t="s">
        <v>2376</v>
      </c>
      <c r="AH45" s="31"/>
      <c r="AI45" s="25"/>
      <c r="AJ45" s="31"/>
      <c r="AK45" s="25"/>
      <c r="AL45" s="31"/>
      <c r="AM45" s="25"/>
      <c r="AN45" s="31"/>
      <c r="AO45" s="25"/>
      <c r="AP45" s="31"/>
      <c r="AQ45" s="25"/>
      <c r="AR45" s="31"/>
      <c r="AS45" s="25"/>
      <c r="AT45" s="31"/>
      <c r="AU45" s="25"/>
      <c r="AV45" s="31"/>
      <c r="AW45" s="25"/>
      <c r="AX45" s="31"/>
      <c r="AY45" s="25"/>
      <c r="AZ45" s="31"/>
      <c r="BA45" s="25"/>
      <c r="BB45" s="31"/>
      <c r="BC45" s="25"/>
      <c r="BD45" s="31"/>
      <c r="BE45" s="25"/>
      <c r="BF45" s="31"/>
      <c r="BG45" s="25"/>
      <c r="BH45" s="31"/>
      <c r="BI45" s="25"/>
      <c r="BJ45" s="31"/>
      <c r="BK45" s="25"/>
      <c r="BL45" s="31"/>
      <c r="BM45" s="25"/>
      <c r="BN45" s="31"/>
      <c r="BO45" s="25"/>
      <c r="BP45" s="31"/>
      <c r="BQ45" s="25"/>
      <c r="BR45" s="31"/>
      <c r="BS45" s="25"/>
      <c r="BT45" s="31"/>
      <c r="BU45" s="25"/>
      <c r="BV45" s="31"/>
      <c r="BW45" s="25"/>
      <c r="BX45" s="31"/>
      <c r="BY45" s="25"/>
      <c r="CA45" s="1" t="str">
        <f t="shared" ca="1" si="30"/>
        <v>delete from sscd_mast where sscd_idcd = 'wkct_insp_dvcd_KOR_common'  and site_idcd = 'common';</v>
      </c>
      <c r="CB45" s="5" t="str">
        <f ca="1">IF(E45&lt;&gt;"",CREATE_QUERY($B$1,A$2:AA$2,A45:AA45),"")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('wkct_insp_dvcd_KOR_common', 'KOR', 'common', 'wkct_insp_dvcd', '공정검사구분코드', 'gb', '', '[["1000","초중종물검사"],["2000","자주검사"],["3000","최종입고검사"]]', '1000:초중종물검사 2000:자주검사 3000:최종입고검사', '', '1000=초중종물검사|2000=자주검사|3000=최종입고검사', '', '0', '0', '0', '0', 'wkct_insp_dvcd 공정검사구분코드 [["1000","초중종물검사"],["2000","자주검사"],["3000","최종입고검사"]]', ' ', '', '', '', '', '', '', '', '', '');</v>
      </c>
    </row>
    <row r="46" spans="1:80" ht="17">
      <c r="A46" s="3" t="str">
        <f ca="1">IF(D46="","",D46&amp;"_"&amp;B46&amp;"_"&amp;C46)</f>
        <v>offr_dvcd_KOR_common</v>
      </c>
      <c r="B46" s="2" t="str">
        <f ca="1">IF(E46="","",OFFSET(B46,-1,0))</f>
        <v>KOR</v>
      </c>
      <c r="C46" s="25" t="str">
        <f t="shared" si="26"/>
        <v>common</v>
      </c>
      <c r="D46" s="25" t="s">
        <v>2479</v>
      </c>
      <c r="E46" s="25" t="s">
        <v>2480</v>
      </c>
      <c r="F46" s="25" t="str">
        <f ca="1">IF(A46="","","gb")</f>
        <v>gb</v>
      </c>
      <c r="G46" s="25"/>
      <c r="H46" s="35" t="str">
        <f>"[["""&amp;
SUBSTITUTE(SUBSTITUTE(I46,":",""",""")," ","""],[""")
&amp;"""]]"</f>
        <v>[["1100","일반"],["1200","프로젝트"],["2000","자동발주"],["3000","외주작업지시"]]</v>
      </c>
      <c r="I46" s="35" t="str">
        <f t="shared" si="29"/>
        <v>1100:일반 1200:프로젝트 2000:자동발주 3000:외주작업지시</v>
      </c>
      <c r="J46" s="35"/>
      <c r="K46" s="35" t="str">
        <f t="shared" si="34"/>
        <v>1100=일반|1200=프로젝트|2000=자동발주|3000=외주작업지시</v>
      </c>
      <c r="L46" s="2"/>
      <c r="M46" s="36" t="str">
        <f t="shared" ca="1" si="37"/>
        <v>0</v>
      </c>
      <c r="N46" s="36" t="str">
        <f t="shared" ca="1" si="37"/>
        <v>0</v>
      </c>
      <c r="O46" s="36" t="str">
        <f t="shared" si="37"/>
        <v>0</v>
      </c>
      <c r="P46" s="36" t="str">
        <f t="shared" si="37"/>
        <v>0</v>
      </c>
      <c r="Q46" s="35" t="str">
        <f>IF(D46="","",D46&amp;" "&amp;E46&amp;" "&amp;H46)</f>
        <v>offr_dvcd 발주구분코드 [["1100","일반"],["1200","프로젝트"],["2000","자동발주"],["3000","외주작업지시"]]</v>
      </c>
      <c r="R46" s="2" t="s">
        <v>921</v>
      </c>
      <c r="S46" s="2"/>
      <c r="T46" s="2"/>
      <c r="U46" s="2"/>
      <c r="V46" s="2"/>
      <c r="W46" s="2"/>
      <c r="X46" s="2"/>
      <c r="Y46" s="2"/>
      <c r="Z46" s="2"/>
      <c r="AA46" s="2"/>
      <c r="AB46" s="31" t="s">
        <v>671</v>
      </c>
      <c r="AC46" s="25" t="s">
        <v>738</v>
      </c>
      <c r="AD46" s="31" t="s">
        <v>672</v>
      </c>
      <c r="AE46" s="25" t="s">
        <v>2658</v>
      </c>
      <c r="AF46" s="31" t="s">
        <v>592</v>
      </c>
      <c r="AG46" s="25" t="s">
        <v>2481</v>
      </c>
      <c r="AH46" s="31" t="s">
        <v>600</v>
      </c>
      <c r="AI46" s="25" t="s">
        <v>2516</v>
      </c>
      <c r="AJ46" s="30"/>
      <c r="AK46" s="25"/>
      <c r="AL46" s="30"/>
      <c r="AM46" s="25"/>
      <c r="AN46" s="30"/>
      <c r="AO46" s="25"/>
      <c r="AP46" s="30"/>
      <c r="AQ46" s="25"/>
      <c r="AR46" s="30"/>
      <c r="AS46" s="25"/>
      <c r="AT46" s="30"/>
      <c r="AU46" s="25"/>
      <c r="AV46" s="30"/>
      <c r="AW46" s="25"/>
      <c r="AX46" s="30"/>
      <c r="AY46" s="25"/>
      <c r="AZ46" s="30"/>
      <c r="BA46" s="25"/>
      <c r="BB46" s="30"/>
      <c r="BC46" s="25"/>
      <c r="BD46" s="30"/>
      <c r="BE46" s="25"/>
      <c r="BF46" s="30"/>
      <c r="BG46" s="25"/>
      <c r="BH46" s="30"/>
      <c r="BI46" s="25"/>
      <c r="BJ46" s="30"/>
      <c r="BK46" s="25"/>
      <c r="BL46" s="30"/>
      <c r="BM46" s="25"/>
      <c r="BN46" s="30"/>
      <c r="BO46" s="25"/>
      <c r="BP46" s="30"/>
      <c r="BQ46" s="25"/>
      <c r="BR46" s="30"/>
      <c r="BS46" s="25"/>
      <c r="BT46" s="30"/>
      <c r="BU46" s="25"/>
      <c r="BV46" s="30"/>
      <c r="BW46" s="25"/>
      <c r="BX46" s="30"/>
      <c r="BY46" s="25"/>
      <c r="CA46" s="1" t="str">
        <f t="shared" ca="1" si="30"/>
        <v>delete from sscd_mast where sscd_idcd = 'offr_dvcd_KOR_common'  and site_idcd = 'common';</v>
      </c>
      <c r="CB46" s="5" t="str">
        <f ca="1">IF(E46&lt;&gt;"",CREATE_QUERY($B$1,A$2:AA$2,A46:AA46),"")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('offr_dvcd_KOR_common', 'KOR', 'common', 'offr_dvcd', '발주구분코드', 'gb', '', '[["1100","일반"],["1200","프로젝트"],["2000","자동발주"],["3000","외주작업지시"]]', '1100:일반 1200:프로젝트 2000:자동발주 3000:외주작업지시', '', '1100=일반|1200=프로젝트|2000=자동발주|3000=외주작업지시', '', '0', '0', '0', '0', 'offr_dvcd 발주구분코드 [["1100","일반"],["1200","프로젝트"],["2000","자동발주"],["3000","외주작업지시"]]', ' ', '', '', '', '', '', '', '', '', '');</v>
      </c>
    </row>
    <row r="47" spans="1:80" ht="17">
      <c r="A47" s="3" t="str">
        <f ca="1">IF(D47="","",D47&amp;"_"&amp;B47&amp;"_"&amp;C47)</f>
        <v>acpt_dvcd_KOR_common</v>
      </c>
      <c r="B47" s="2" t="str">
        <f ca="1">IF(E47="","",OFFSET(B47,-1,0))</f>
        <v>KOR</v>
      </c>
      <c r="C47" s="25" t="str">
        <f t="shared" si="26"/>
        <v>common</v>
      </c>
      <c r="D47" s="25" t="s">
        <v>2642</v>
      </c>
      <c r="E47" s="25" t="s">
        <v>2643</v>
      </c>
      <c r="F47" s="25" t="str">
        <f ca="1">IF(A47="","","gb")</f>
        <v>gb</v>
      </c>
      <c r="G47" s="25"/>
      <c r="H47" s="2" t="str">
        <f>"[["""&amp;
SUBSTITUTE(SUBSTITUTE(I47,":",""",""")," ","""],[""")
&amp;"""]]"</f>
        <v>[["1000","양산"],["2000","Sample"]]</v>
      </c>
      <c r="I47" s="2" t="str">
        <f t="shared" si="29"/>
        <v>1000:양산 2000:Sample</v>
      </c>
      <c r="J47" s="2"/>
      <c r="K47" s="35" t="str">
        <f t="shared" si="34"/>
        <v>1000=양산|2000=Sample</v>
      </c>
      <c r="L47" s="2"/>
      <c r="M47" s="36" t="str">
        <f t="shared" ca="1" si="37"/>
        <v>0</v>
      </c>
      <c r="N47" s="36" t="str">
        <f t="shared" ca="1" si="37"/>
        <v>0</v>
      </c>
      <c r="O47" s="36" t="str">
        <f t="shared" si="37"/>
        <v>0</v>
      </c>
      <c r="P47" s="36" t="str">
        <f t="shared" si="37"/>
        <v>0</v>
      </c>
      <c r="Q47" s="35" t="str">
        <f>IF(D47="","",D47&amp;" "&amp;E47&amp;" "&amp;H47)</f>
        <v>acpt_dvcd 수주구분코드 [["1000","양산"],["2000","Sample"]]</v>
      </c>
      <c r="R47" s="2" t="s">
        <v>921</v>
      </c>
      <c r="S47" s="2"/>
      <c r="T47" s="2"/>
      <c r="U47" s="2"/>
      <c r="V47" s="2"/>
      <c r="W47" s="2"/>
      <c r="X47" s="2"/>
      <c r="Y47" s="2"/>
      <c r="Z47" s="2"/>
      <c r="AA47" s="2"/>
      <c r="AB47" s="31" t="s">
        <v>2644</v>
      </c>
      <c r="AC47" s="25" t="s">
        <v>2645</v>
      </c>
      <c r="AD47" s="31" t="s">
        <v>2646</v>
      </c>
      <c r="AE47" s="25" t="s">
        <v>2647</v>
      </c>
      <c r="AF47" s="30"/>
      <c r="AG47" s="25"/>
      <c r="AH47" s="30"/>
      <c r="AI47" s="25"/>
      <c r="AJ47" s="30"/>
      <c r="AK47" s="25"/>
      <c r="AL47" s="30"/>
      <c r="AM47" s="25"/>
      <c r="AN47" s="30"/>
      <c r="AO47" s="25"/>
      <c r="AP47" s="30"/>
      <c r="AQ47" s="25"/>
      <c r="AR47" s="30"/>
      <c r="AS47" s="25"/>
      <c r="AT47" s="30"/>
      <c r="AU47" s="25"/>
      <c r="AV47" s="30"/>
      <c r="AW47" s="25"/>
      <c r="AX47" s="30"/>
      <c r="AY47" s="25"/>
      <c r="AZ47" s="30"/>
      <c r="BA47" s="25"/>
      <c r="BB47" s="30"/>
      <c r="BC47" s="25"/>
      <c r="BD47" s="30"/>
      <c r="BE47" s="25"/>
      <c r="BF47" s="30"/>
      <c r="BG47" s="25"/>
      <c r="BH47" s="30"/>
      <c r="BI47" s="25"/>
      <c r="BJ47" s="30"/>
      <c r="BK47" s="25"/>
      <c r="BL47" s="30"/>
      <c r="BM47" s="25"/>
      <c r="BN47" s="30"/>
      <c r="BO47" s="25"/>
      <c r="BP47" s="30"/>
      <c r="BQ47" s="25"/>
      <c r="BR47" s="30"/>
      <c r="BS47" s="25"/>
      <c r="BT47" s="30"/>
      <c r="BU47" s="25"/>
      <c r="BV47" s="30"/>
      <c r="BW47" s="25"/>
      <c r="BX47" s="30"/>
      <c r="BY47" s="25"/>
      <c r="CA47" s="1" t="str">
        <f t="shared" ca="1" si="30"/>
        <v>delete from sscd_mast where sscd_idcd = 'acpt_dvcd_KOR_common'  and site_idcd = 'common';</v>
      </c>
      <c r="CB47" s="5" t="str">
        <f ca="1">IF(E47&lt;&gt;"",CREATE_QUERY($B$1,A$2:AA$2,A47:AA47),"")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('acpt_dvcd_KOR_common', 'KOR', 'common', 'acpt_dvcd', '수주구분코드', 'gb', '', '[["1000","양산"],["2000","Sample"]]', '1000:양산 2000:Sample', '', '1000=양산|2000=Sample', '', '0', '0', '0', '0', 'acpt_dvcd 수주구분코드 [["1000","양산"],["2000","Sample"]]', ' ', '', '', '', '', '', '', '', '', '');</v>
      </c>
    </row>
    <row r="48" spans="1:80" ht="17">
      <c r="A48" s="3" t="str">
        <f t="shared" ref="A48:A49" ca="1" si="38">IF(D48="","",D48&amp;"_"&amp;B48&amp;"_"&amp;C48)</f>
        <v>dirt_dvcd_KOR_common</v>
      </c>
      <c r="B48" s="2" t="str">
        <f t="shared" ref="B48" ca="1" si="39">IF(E48="","",OFFSET(B48,-1,0))</f>
        <v>KOR</v>
      </c>
      <c r="C48" s="25" t="str">
        <f t="shared" si="26"/>
        <v>common</v>
      </c>
      <c r="D48" s="25" t="s">
        <v>2882</v>
      </c>
      <c r="E48" s="25" t="s">
        <v>2883</v>
      </c>
      <c r="F48" s="25" t="str">
        <f t="shared" ref="F48:F49" ca="1" si="40">IF(A48="","","gb")</f>
        <v>gb</v>
      </c>
      <c r="G48" s="25"/>
      <c r="H48" s="2" t="str">
        <f t="shared" ref="H48" si="41">"[["""&amp;
SUBSTITUTE(SUBSTITUTE(I48,":",""",""")," ","""],[""")
&amp;"""]]"</f>
        <v>[["R","Right"],["L","Left"],["N","n/a"]]</v>
      </c>
      <c r="I48" s="2" t="str">
        <f t="shared" si="29"/>
        <v>R:Right L:Left N:n/a</v>
      </c>
      <c r="J48" s="2"/>
      <c r="K48" s="35" t="str">
        <f t="shared" si="34"/>
        <v>R=Right|L=Left|N=n/a</v>
      </c>
      <c r="L48" s="2"/>
      <c r="M48" s="36" t="str">
        <f t="shared" ref="M48:P48" ca="1" si="42">IF(A48="","","0")</f>
        <v>0</v>
      </c>
      <c r="N48" s="36" t="str">
        <f t="shared" ca="1" si="42"/>
        <v>0</v>
      </c>
      <c r="O48" s="36" t="str">
        <f t="shared" si="42"/>
        <v>0</v>
      </c>
      <c r="P48" s="36" t="str">
        <f t="shared" si="42"/>
        <v>0</v>
      </c>
      <c r="Q48" s="35" t="str">
        <f t="shared" ref="Q48" si="43">IF(D48="","",D48&amp;" "&amp;E48&amp;" "&amp;H48)</f>
        <v>dirt_dvcd 방향구분코드 [["R","Right"],["L","Left"],["N","n/a"]]</v>
      </c>
      <c r="R48" s="2" t="s">
        <v>921</v>
      </c>
      <c r="S48" s="2"/>
      <c r="T48" s="2"/>
      <c r="U48" s="2"/>
      <c r="V48" s="2"/>
      <c r="W48" s="2"/>
      <c r="X48" s="2"/>
      <c r="Y48" s="2"/>
      <c r="Z48" s="2"/>
      <c r="AA48" s="2"/>
      <c r="AB48" s="30" t="s">
        <v>2867</v>
      </c>
      <c r="AC48" s="25" t="s">
        <v>2884</v>
      </c>
      <c r="AD48" s="30" t="s">
        <v>2872</v>
      </c>
      <c r="AE48" s="25" t="s">
        <v>2885</v>
      </c>
      <c r="AF48" s="31" t="s">
        <v>2886</v>
      </c>
      <c r="AG48" s="25" t="s">
        <v>2887</v>
      </c>
      <c r="AH48" s="30"/>
      <c r="AI48" s="25"/>
      <c r="AJ48" s="30"/>
      <c r="AK48" s="25"/>
      <c r="AL48" s="30"/>
      <c r="AM48" s="25"/>
      <c r="AN48" s="30"/>
      <c r="AO48" s="25"/>
      <c r="AP48" s="30"/>
      <c r="AQ48" s="25"/>
      <c r="AR48" s="30"/>
      <c r="AS48" s="25"/>
      <c r="AT48" s="30"/>
      <c r="AU48" s="25"/>
      <c r="AV48" s="30"/>
      <c r="AW48" s="25"/>
      <c r="AX48" s="30"/>
      <c r="AY48" s="25"/>
      <c r="AZ48" s="30"/>
      <c r="BA48" s="25"/>
      <c r="BB48" s="30"/>
      <c r="BC48" s="25"/>
      <c r="BD48" s="30"/>
      <c r="BE48" s="25"/>
      <c r="BF48" s="30"/>
      <c r="BG48" s="25"/>
      <c r="BH48" s="30"/>
      <c r="BI48" s="25"/>
      <c r="BJ48" s="30"/>
      <c r="BK48" s="25"/>
      <c r="BL48" s="30"/>
      <c r="BM48" s="25"/>
      <c r="BN48" s="30"/>
      <c r="BO48" s="25"/>
      <c r="BP48" s="30"/>
      <c r="BQ48" s="25"/>
      <c r="BR48" s="30"/>
      <c r="BS48" s="25"/>
      <c r="BT48" s="30"/>
      <c r="BU48" s="25"/>
      <c r="BV48" s="30"/>
      <c r="BW48" s="25"/>
      <c r="BX48" s="30"/>
      <c r="BY48" s="25"/>
      <c r="CA48" s="1" t="str">
        <f t="shared" ca="1" si="30"/>
        <v>delete from sscd_mast where sscd_idcd = 'dirt_dvcd_KOR_common'  and site_idcd = 'common';</v>
      </c>
      <c r="CB48" s="5" t="str">
        <f ca="1">IF(E48&lt;&gt;"",CREATE_QUERY($B$1,A$2:AA$2,A48:AA48),"")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('dirt_dvcd_KOR_common', 'KOR', 'common', 'dirt_dvcd', '방향구분코드', 'gb', '', '[["R","Right"],["L","Left"],["N","n/a"]]', 'R:Right L:Left N:n/a', '', 'R=Right|L=Left|N=n/a', '', '0', '0', '0', '0', 'dirt_dvcd 방향구분코드 [["R","Right"],["L","Left"],["N","n/a"]]', ' ', '', '', '', '', '', '', '', '', '');</v>
      </c>
    </row>
    <row r="49" spans="1:115" ht="17">
      <c r="A49" s="26" t="str">
        <f t="shared" si="38"/>
        <v>mtrl_isos_dvcd_KOR_common</v>
      </c>
      <c r="B49" s="25" t="s">
        <v>27</v>
      </c>
      <c r="C49" s="25" t="str">
        <f t="shared" si="26"/>
        <v>common</v>
      </c>
      <c r="D49" s="25" t="s">
        <v>2349</v>
      </c>
      <c r="E49" s="25" t="s">
        <v>2351</v>
      </c>
      <c r="F49" s="25" t="str">
        <f t="shared" si="40"/>
        <v>gb</v>
      </c>
      <c r="G49" s="25"/>
      <c r="H49" s="35" t="str">
        <f t="shared" ref="H49:H69" si="44">"[["""&amp;
SUBSTITUTE(SUBSTITUTE(I49,":",""",""")," ","""],[""")
&amp;"""]]"</f>
        <v>[["1100","구매입고"],["1300","기타입고"],["1400","반품입고"],["1500","이동입고"],["2100","생산출고"],["2300","기타출고"],["2400","이동출고"],["2500","재고조정"],["2600","자가소비"],["2700","출고취소"],["2800","불량폐기"]]</v>
      </c>
      <c r="I49" s="35" t="str">
        <f t="shared" ref="I49:I85" si="45">IF(AB49="","",AB49&amp;":"&amp;AC49)&amp;
IF(AD49="",""," "&amp;AD49&amp;":"&amp;AE49)&amp;
IF(AF49="",""," "&amp;AF49&amp;":"&amp;AG49)&amp;
IF(AH49="",""," "&amp;AH49&amp;":"&amp;AI49)&amp;
IF(AJ49="",""," "&amp;AJ49&amp;":"&amp;AK49)&amp;
IF(AL49="",""," "&amp;AL49&amp;":"&amp;AM49)&amp;
IF(AN49="",""," "&amp;AN49&amp;":"&amp;AO49)&amp;
IF(AP49="",""," "&amp;AP49&amp;":"&amp;AQ49)&amp;
IF(AR49="",""," "&amp;AR49&amp;":"&amp;AS49)&amp;
IF(AT49="",""," "&amp;AT49&amp;":"&amp;AU49)&amp;
IF(AV49="",""," "&amp;AV49&amp;":"&amp;AW49)&amp;
IF(AX49="",""," "&amp;AX49&amp;":"&amp;AY49)&amp;
IF(AZ49="",""," "&amp;AZ49&amp;":"&amp;BA49)&amp;
IF(BB49="",""," "&amp;BB49&amp;":"&amp;BC49)&amp;
IF(BD49="",""," "&amp;BD49&amp;":"&amp;BE49)&amp;
IF(BF49="",""," "&amp;BF49&amp;":"&amp;BG49)&amp;
IF(BH49="",""," "&amp;BH49&amp;":"&amp;BI49)&amp;
IF(BJ49="",""," "&amp;BJ49&amp;":"&amp;BK49)&amp;
IF(BL49="",""," "&amp;BL49&amp;":"&amp;BM49)&amp;
IF(BN49="",""," "&amp;BN49&amp;":"&amp;BO49)&amp;
IF(BP49="",""," "&amp;BP49&amp;":"&amp;BS49)&amp;
IF(BZ49="",""," "&amp;BZ49&amp;":"&amp;CA49)</f>
        <v>1100:구매입고 1300:기타입고 1400:반품입고 1500:이동입고 2100:생산출고 2300:기타출고 2400:이동출고 2500:재고조정 2600:자가소비 2700:출고취소 2800:불량폐기</v>
      </c>
      <c r="J49" s="35"/>
      <c r="K49" s="35" t="str">
        <f>IF(AB49="","",AB49&amp;"="&amp;AC49)&amp;
IF(AD49="","","|"&amp;AD49&amp;"="&amp;AE49)&amp;
IF(AF49="","","|"&amp;AF49&amp;"="&amp;AG49)&amp;
IF(AH49="","","|"&amp;AH49&amp;"="&amp;AI49)&amp;
IF(AJ49="","","|"&amp;AJ49&amp;"="&amp;AK49)&amp;
IF(AL49="","","|"&amp;AL49&amp;"="&amp;AM49)&amp;
IF(AN49="","","|"&amp;AN49&amp;"="&amp;AO49)&amp;
IF(AP49="","","|"&amp;AP49&amp;"="&amp;AQ49)&amp;
IF(AR49="","","|"&amp;AR49&amp;"="&amp;AS49)&amp;
IF(AT49="","","|"&amp;AT49&amp;"="&amp;AU49)&amp;
IF(AV49="","","|"&amp;AV49&amp;"="&amp;AW49)&amp;
IF(AX49="","","|"&amp;AX49&amp;"="&amp;AY49)&amp;
IF(AZ49="","","|"&amp;AZ49&amp;"="&amp;BA49)&amp;
IF(BB49="","","|"&amp;BB49&amp;"="&amp;BC49)&amp;
IF(BD49="","","|"&amp;BD49&amp;"="&amp;BE49)&amp;
IF(BF49="","","|"&amp;BF49&amp;"="&amp;BG49)&amp;
IF(BH49="","","|"&amp;BH49&amp;"="&amp;BI49)&amp;
IF(BJ49="","","|"&amp;BJ49&amp;"="&amp;BK49)&amp;
IF(BL49="","","|"&amp;BL49&amp;"="&amp;BM49)&amp;
IF(BN49="","","|"&amp;BN49&amp;"="&amp;BO49)&amp;
IF(BP49="","","|"&amp;BP49&amp;"="&amp;BQ49)&amp;
IF(BR49="","","|"&amp;BR49&amp;"="&amp;BS49)&amp;
IF(BT49="","","|"&amp;BT49&amp;"="&amp;BU49)&amp;
IF(BV49="","","|"&amp;BV49&amp;"="&amp;BW49)&amp;
IF(BX49="","","|"&amp;BX49&amp;"="&amp;BY49)</f>
        <v>1100=구매입고|1300=기타입고|1400=반품입고|1500=이동입고|2100=생산출고|2300=기타출고|2400=이동출고|2500=재고조정|2600=자가소비|2700=출고취소|2800=불량폐기</v>
      </c>
      <c r="L49" s="2"/>
      <c r="M49" s="36">
        <v>0</v>
      </c>
      <c r="N49" s="36">
        <v>0</v>
      </c>
      <c r="O49" s="36" t="s">
        <v>31</v>
      </c>
      <c r="P49" s="36" t="s">
        <v>31</v>
      </c>
      <c r="Q49" s="35" t="str">
        <f t="shared" ref="Q49:Q69" si="46">IF(D49="","",D49&amp;" "&amp;E49&amp;" "&amp;H49)</f>
        <v>mtrl_isos_dvcd (자재)입출고 구분 [["1100","구매입고"],["1300","기타입고"],["1400","반품입고"],["1500","이동입고"],["2100","생산출고"],["2300","기타출고"],["2400","이동출고"],["2500","재고조정"],["2600","자가소비"],["2700","출고취소"],["2800","불량폐기"]]</v>
      </c>
      <c r="R49" s="2" t="s">
        <v>921</v>
      </c>
      <c r="S49" s="2"/>
      <c r="T49" s="2"/>
      <c r="U49" s="2" t="s">
        <v>32</v>
      </c>
      <c r="V49" s="2"/>
      <c r="W49" s="2"/>
      <c r="X49" s="2"/>
      <c r="Y49" s="2"/>
      <c r="Z49" s="2"/>
      <c r="AA49" s="2"/>
      <c r="AB49" s="29" t="s">
        <v>559</v>
      </c>
      <c r="AC49" s="25" t="s">
        <v>2603</v>
      </c>
      <c r="AD49" s="29" t="s">
        <v>675</v>
      </c>
      <c r="AE49" s="25" t="s">
        <v>561</v>
      </c>
      <c r="AF49" s="29" t="s">
        <v>677</v>
      </c>
      <c r="AG49" s="25" t="s">
        <v>562</v>
      </c>
      <c r="AH49" s="29" t="s">
        <v>2605</v>
      </c>
      <c r="AI49" s="25" t="s">
        <v>518</v>
      </c>
      <c r="AJ49" s="29">
        <v>2100</v>
      </c>
      <c r="AK49" s="25" t="s">
        <v>563</v>
      </c>
      <c r="AL49" s="29">
        <v>2300</v>
      </c>
      <c r="AM49" s="25" t="s">
        <v>729</v>
      </c>
      <c r="AN49" s="29">
        <v>2400</v>
      </c>
      <c r="AO49" s="25" t="s">
        <v>2348</v>
      </c>
      <c r="AP49" s="29" t="s">
        <v>2557</v>
      </c>
      <c r="AQ49" s="25" t="s">
        <v>732</v>
      </c>
      <c r="AR49" s="28" t="s">
        <v>2604</v>
      </c>
      <c r="AS49" s="25" t="s">
        <v>730</v>
      </c>
      <c r="AT49" s="28" t="s">
        <v>2606</v>
      </c>
      <c r="AU49" s="25" t="s">
        <v>2607</v>
      </c>
      <c r="AV49" s="28" t="s">
        <v>2932</v>
      </c>
      <c r="AW49" s="25" t="s">
        <v>2933</v>
      </c>
      <c r="AX49" s="28"/>
      <c r="AY49" s="25"/>
      <c r="AZ49" s="28"/>
      <c r="BA49" s="25"/>
      <c r="BB49" s="28"/>
      <c r="BC49" s="25"/>
      <c r="BD49" s="28"/>
      <c r="BE49" s="25"/>
      <c r="BF49" s="28"/>
      <c r="BG49" s="25"/>
      <c r="BH49" s="28"/>
      <c r="BI49" s="25"/>
      <c r="BJ49" s="28"/>
      <c r="BK49" s="25"/>
      <c r="BL49" s="28"/>
      <c r="BM49" s="25"/>
      <c r="BN49" s="28"/>
      <c r="BO49" s="25"/>
      <c r="BP49" s="28"/>
      <c r="BQ49" s="25"/>
      <c r="BR49" s="28"/>
      <c r="BS49" s="25"/>
      <c r="BT49" s="28"/>
      <c r="BU49" s="25"/>
      <c r="BV49" s="28"/>
      <c r="BW49" s="25"/>
      <c r="BX49" s="28"/>
      <c r="BY49" s="25"/>
      <c r="CA49" s="1" t="str">
        <f t="shared" ref="CA49:CA85" si="47">IF(A49="","","delete from sscd_mast where sscd_idcd = '"&amp;A49&amp;"'  and site_idcd = '"&amp;C49&amp;"';")</f>
        <v>delete from sscd_mast where sscd_idcd = 'mtrl_isos_dvcd_KOR_common'  and site_idcd = 'common';</v>
      </c>
      <c r="CB49" s="5" t="str">
        <f>IF(E49&lt;&gt;"",CREATE_QUERY($B$1,A$2:AA$2,A49:AA49),"")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('mtrl_isos_dvcd_KOR_common', 'KOR', 'common', 'mtrl_isos_dvcd', '(자재)입출고 구분', 'gb', '', '[["1100","구매입고"],["1300","기타입고"],["1400","반품입고"],["1500","이동입고"],["2100","생산출고"],["2300","기타출고"],["2400","이동출고"],["2500","재고조정"],["2600","자가소비"],["2700","출고취소"],["2800","불량폐기"]]', '1100:구매입고 1300:기타입고 1400:반품입고 1500:이동입고 2100:생산출고 2300:기타출고 2400:이동출고 2500:재고조정 2600:자가소비 2700:출고취소 2800:불량폐기', '', '1100=구매입고|1300=기타입고|1400=반품입고|1500=이동입고|2100=생산출고|2300=기타출고|2400=이동출고|2500=재고조정|2600=자가소비|2700=출고취소|2800=불량폐기', '', '0', '0', '0', '0', 'mtrl_isos_dvcd (자재)입출고 구분 [["1100","구매입고"],["1300","기타입고"],["1400","반품입고"],["1500","이동입고"],["2100","생산출고"],["2300","기타출고"],["2400","이동출고"],["2500","재고조정"],["2600","자가소비"],["2700","출고취소"],["2800","불량폐기"]]', ' ', '', '', ' ', '', '', '', '', '', '');</v>
      </c>
    </row>
    <row r="50" spans="1:115" ht="17">
      <c r="A50" s="26" t="str">
        <f t="shared" ref="A50:A93" si="48">IF(D50="","",D50&amp;"_"&amp;B50&amp;"_"&amp;C50)</f>
        <v>isos_dvcd_KOR_common</v>
      </c>
      <c r="B50" s="25" t="s">
        <v>27</v>
      </c>
      <c r="C50" s="25" t="str">
        <f t="shared" ref="C50:C63" si="49">IF(E50="","","common")</f>
        <v>common</v>
      </c>
      <c r="D50" s="25" t="s">
        <v>2355</v>
      </c>
      <c r="E50" s="25" t="s">
        <v>2356</v>
      </c>
      <c r="F50" s="25" t="str">
        <f t="shared" ref="F50:F93" si="50">IF(A50="","","gb")</f>
        <v>gb</v>
      </c>
      <c r="G50" s="25"/>
      <c r="H50" s="35" t="str">
        <f t="shared" si="44"/>
        <v>[["1100","구매입고"],["1200","생산입고"],["1300","기타입고"],["1400","반품입고"],["1500","이동입고"],["2100","생산출고"],["2200","판매출고"],["2300","기타출고"],["2400","이동출고"],["2500","재고조정"],["2600","자가소비"],["2700","출고취소"]]</v>
      </c>
      <c r="I50" s="35" t="str">
        <f t="shared" si="45"/>
        <v>1100:구매입고 1200:생산입고 1300:기타입고 1400:반품입고 1500:이동입고 2100:생산출고 2200:판매출고 2300:기타출고 2400:이동출고 2500:재고조정 2600:자가소비 2700:출고취소</v>
      </c>
      <c r="J50" s="35"/>
      <c r="K50" s="35" t="str">
        <f t="shared" ref="K50:K85" si="51">IF(AB50="","",AB50&amp;"="&amp;AC50)&amp;
IF(AD50="","","|"&amp;AD50&amp;"="&amp;AE50)&amp;
IF(AF50="","","|"&amp;AF50&amp;"="&amp;AG50)&amp;
IF(AH50="","","|"&amp;AH50&amp;"="&amp;AI50)&amp;
IF(AJ50="","","|"&amp;AJ50&amp;"="&amp;AK50)&amp;
IF(AL50="","","|"&amp;AL50&amp;"="&amp;AM50)&amp;
IF(AN50="","","|"&amp;AN50&amp;"="&amp;AO50)&amp;
IF(AP50="","","|"&amp;AP50&amp;"="&amp;AQ50)&amp;
IF(AR50="","","|"&amp;AR50&amp;"="&amp;AS50)&amp;
IF(AT50="","","|"&amp;AT50&amp;"="&amp;AU50)&amp;
IF(AV50="","","|"&amp;AV50&amp;"="&amp;AW50)&amp;
IF(AX50="","","|"&amp;AX50&amp;"="&amp;AY50)&amp;
IF(AZ50="","","|"&amp;AZ50&amp;"="&amp;BA50)&amp;
IF(BB50="","","|"&amp;BB50&amp;"="&amp;BC50)&amp;
IF(BD50="","","|"&amp;BD50&amp;"="&amp;BE50)&amp;
IF(BF50="","","|"&amp;BF50&amp;"="&amp;BG50)&amp;
IF(BH50="","","|"&amp;BH50&amp;"="&amp;BI50)&amp;
IF(BJ50="","","|"&amp;BJ50&amp;"="&amp;BK50)&amp;
IF(BL50="","","|"&amp;BL50&amp;"="&amp;BM50)&amp;
IF(BN50="","","|"&amp;BN50&amp;"="&amp;BO50)&amp;
IF(BP50="","","|"&amp;BP50&amp;"="&amp;BQ50)&amp;
IF(BR50="","","|"&amp;BR50&amp;"="&amp;BS50)&amp;
IF(BT50="","","|"&amp;BT50&amp;"="&amp;BU50)&amp;
IF(BV50="","","|"&amp;BV50&amp;"="&amp;BW50)&amp;
IF(BX50="","","|"&amp;BX50&amp;"="&amp;BY50)</f>
        <v>1100=구매입고|1200=생산입고|1300=기타입고|1400=반품입고|1500=이동입고|2100=생산출고|2200=판매출고|2300=기타출고|2400=이동출고|2500=재고조정|2600=자가소비|2700=출고취소</v>
      </c>
      <c r="L50" s="2"/>
      <c r="M50" s="36">
        <v>0</v>
      </c>
      <c r="N50" s="36">
        <v>0</v>
      </c>
      <c r="O50" s="36" t="s">
        <v>31</v>
      </c>
      <c r="P50" s="36" t="s">
        <v>31</v>
      </c>
      <c r="Q50" s="35" t="str">
        <f t="shared" si="46"/>
        <v>isos_dvcd (자재,제품)입출고 구분 [["1100","구매입고"],["1200","생산입고"],["1300","기타입고"],["1400","반품입고"],["1500","이동입고"],["2100","생산출고"],["2200","판매출고"],["2300","기타출고"],["2400","이동출고"],["2500","재고조정"],["2600","자가소비"],["2700","출고취소"]]</v>
      </c>
      <c r="R50" s="2" t="s">
        <v>921</v>
      </c>
      <c r="S50" s="2"/>
      <c r="T50" s="2"/>
      <c r="U50" s="2" t="s">
        <v>32</v>
      </c>
      <c r="V50" s="2"/>
      <c r="W50" s="2"/>
      <c r="X50" s="2"/>
      <c r="Y50" s="2"/>
      <c r="Z50" s="2"/>
      <c r="AA50" s="2"/>
      <c r="AB50" s="29" t="s">
        <v>559</v>
      </c>
      <c r="AC50" s="25" t="s">
        <v>2603</v>
      </c>
      <c r="AD50" s="28" t="s">
        <v>672</v>
      </c>
      <c r="AE50" s="25" t="s">
        <v>2354</v>
      </c>
      <c r="AF50" s="29" t="s">
        <v>675</v>
      </c>
      <c r="AG50" s="25" t="s">
        <v>2347</v>
      </c>
      <c r="AH50" s="29" t="s">
        <v>677</v>
      </c>
      <c r="AI50" s="25" t="s">
        <v>562</v>
      </c>
      <c r="AJ50" s="29" t="s">
        <v>2605</v>
      </c>
      <c r="AK50" s="25" t="s">
        <v>518</v>
      </c>
      <c r="AL50" s="29">
        <v>2100</v>
      </c>
      <c r="AM50" s="25" t="s">
        <v>563</v>
      </c>
      <c r="AN50" s="29">
        <v>2200</v>
      </c>
      <c r="AO50" s="25" t="s">
        <v>2558</v>
      </c>
      <c r="AP50" s="29">
        <v>2300</v>
      </c>
      <c r="AQ50" s="25" t="s">
        <v>729</v>
      </c>
      <c r="AR50" s="29">
        <v>2400</v>
      </c>
      <c r="AS50" s="25" t="s">
        <v>2348</v>
      </c>
      <c r="AT50" s="29" t="s">
        <v>2557</v>
      </c>
      <c r="AU50" s="25" t="s">
        <v>732</v>
      </c>
      <c r="AV50" s="28" t="s">
        <v>2604</v>
      </c>
      <c r="AW50" s="25" t="s">
        <v>730</v>
      </c>
      <c r="AX50" s="28" t="s">
        <v>2606</v>
      </c>
      <c r="AY50" s="25" t="s">
        <v>2607</v>
      </c>
      <c r="AZ50" s="28"/>
      <c r="BA50" s="25"/>
      <c r="BB50" s="28"/>
      <c r="BC50" s="25"/>
      <c r="BD50" s="28"/>
      <c r="BE50" s="25"/>
      <c r="BF50" s="28"/>
      <c r="BG50" s="25"/>
      <c r="BH50" s="28"/>
      <c r="BI50" s="25"/>
      <c r="BJ50" s="28"/>
      <c r="BK50" s="25"/>
      <c r="BL50" s="28"/>
      <c r="BM50" s="25"/>
      <c r="BN50" s="28"/>
      <c r="BO50" s="25"/>
      <c r="BP50" s="28"/>
      <c r="BQ50" s="25"/>
      <c r="BR50" s="28"/>
      <c r="BS50" s="25"/>
      <c r="BT50" s="28"/>
      <c r="BU50" s="25"/>
      <c r="BV50" s="28"/>
      <c r="BW50" s="25"/>
      <c r="BX50" s="28"/>
      <c r="BY50" s="25"/>
      <c r="CA50" s="1" t="str">
        <f t="shared" si="47"/>
        <v>delete from sscd_mast where sscd_idcd = 'isos_dvcd_KOR_common'  and site_idcd = 'common';</v>
      </c>
      <c r="CB50" s="5" t="str">
        <f>IF(E50&lt;&gt;"",CREATE_QUERY($B$1,A$2:AA$2,A50:AA50),"")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('isos_dvcd_KOR_common', 'KOR', 'common', 'isos_dvcd', '(자재,제품)입출고 구분', 'gb', '', '[["1100","구매입고"],["1200","생산입고"],["1300","기타입고"],["1400","반품입고"],["1500","이동입고"],["2100","생산출고"],["2200","판매출고"],["2300","기타출고"],["2400","이동출고"],["2500","재고조정"],["2600","자가소비"],["2700","출고취소"]]', '1100:구매입고 1200:생산입고 1300:기타입고 1400:반품입고 1500:이동입고 2100:생산출고 2200:판매출고 2300:기타출고 2400:이동출고 2500:재고조정 2600:자가소비 2700:출고취소', '', '1100=구매입고|1200=생산입고|1300=기타입고|1400=반품입고|1500=이동입고|2100=생산출고|2200=판매출고|2300=기타출고|2400=이동출고|2500=재고조정|2600=자가소비|2700=출고취소', '', '0', '0', '0', '0', 'isos_dvcd (자재,제품)입출고 구분 [["1100","구매입고"],["1200","생산입고"],["1300","기타입고"],["1400","반품입고"],["1500","이동입고"],["2100","생산출고"],["2200","판매출고"],["2300","기타출고"],["2400","이동출고"],["2500","재고조정"],["2600","자가소비"],["2700","출고취소"]]', ' ', '', '', ' ', '', '', '', '', '', '');</v>
      </c>
    </row>
    <row r="51" spans="1:115" ht="17">
      <c r="A51" s="26" t="str">
        <f t="shared" si="48"/>
        <v>prod_isos_dvcd_KOR_common</v>
      </c>
      <c r="B51" s="25" t="s">
        <v>27</v>
      </c>
      <c r="C51" s="25" t="str">
        <f t="shared" si="49"/>
        <v>common</v>
      </c>
      <c r="D51" s="25" t="s">
        <v>2350</v>
      </c>
      <c r="E51" s="25" t="s">
        <v>2352</v>
      </c>
      <c r="F51" s="25" t="str">
        <f t="shared" si="50"/>
        <v>gb</v>
      </c>
      <c r="G51" s="25"/>
      <c r="H51" s="35" t="str">
        <f t="shared" si="44"/>
        <v>[["2101","생산입고"],["1300","기타입고"],["1400","반품입고"],["1500","이동입고"],["2200","판매출고"],["2300","기타출고"],["2400","이동출고"],["2500","재고조정"],["2600","자가소비"],["2700","출고취소"],["2800","불량폐기"]]</v>
      </c>
      <c r="I51" s="35" t="str">
        <f t="shared" si="45"/>
        <v>2101:생산입고 1300:기타입고 1400:반품입고 1500:이동입고 2200:판매출고 2300:기타출고 2400:이동출고 2500:재고조정 2600:자가소비 2700:출고취소 2800:불량폐기</v>
      </c>
      <c r="J51" s="35"/>
      <c r="K51" s="35" t="str">
        <f t="shared" si="51"/>
        <v>2101=생산입고|1300=기타입고|1400=반품입고|1500=이동입고|2200=판매출고|2300=기타출고|2400=이동출고|2500=재고조정|2600=자가소비|2700=출고취소|2800=불량폐기</v>
      </c>
      <c r="L51" s="2"/>
      <c r="M51" s="36">
        <v>0</v>
      </c>
      <c r="N51" s="36">
        <v>0</v>
      </c>
      <c r="O51" s="36" t="s">
        <v>31</v>
      </c>
      <c r="P51" s="36" t="s">
        <v>31</v>
      </c>
      <c r="Q51" s="35" t="str">
        <f t="shared" si="46"/>
        <v>prod_isos_dvcd (제품)입출고 구분 [["2101","생산입고"],["1300","기타입고"],["1400","반품입고"],["1500","이동입고"],["2200","판매출고"],["2300","기타출고"],["2400","이동출고"],["2500","재고조정"],["2600","자가소비"],["2700","출고취소"],["2800","불량폐기"]]</v>
      </c>
      <c r="R51" s="2" t="s">
        <v>921</v>
      </c>
      <c r="S51" s="2"/>
      <c r="T51" s="2"/>
      <c r="U51" s="2" t="s">
        <v>32</v>
      </c>
      <c r="V51" s="2"/>
      <c r="W51" s="2"/>
      <c r="X51" s="2"/>
      <c r="Y51" s="2"/>
      <c r="Z51" s="2"/>
      <c r="AA51" s="2"/>
      <c r="AB51" s="28" t="s">
        <v>2353</v>
      </c>
      <c r="AC51" s="25" t="s">
        <v>2354</v>
      </c>
      <c r="AD51" s="29" t="s">
        <v>675</v>
      </c>
      <c r="AE51" s="25" t="s">
        <v>2347</v>
      </c>
      <c r="AF51" s="29" t="s">
        <v>677</v>
      </c>
      <c r="AG51" s="25" t="s">
        <v>562</v>
      </c>
      <c r="AH51" s="29" t="s">
        <v>2605</v>
      </c>
      <c r="AI51" s="25" t="s">
        <v>518</v>
      </c>
      <c r="AJ51" s="29">
        <v>2200</v>
      </c>
      <c r="AK51" s="25" t="s">
        <v>2558</v>
      </c>
      <c r="AL51" s="29">
        <v>2300</v>
      </c>
      <c r="AM51" s="25" t="s">
        <v>729</v>
      </c>
      <c r="AN51" s="29">
        <v>2400</v>
      </c>
      <c r="AO51" s="25" t="s">
        <v>2348</v>
      </c>
      <c r="AP51" s="29" t="s">
        <v>2557</v>
      </c>
      <c r="AQ51" s="25" t="s">
        <v>732</v>
      </c>
      <c r="AR51" s="28" t="s">
        <v>2604</v>
      </c>
      <c r="AS51" s="25" t="s">
        <v>730</v>
      </c>
      <c r="AT51" s="28" t="s">
        <v>2606</v>
      </c>
      <c r="AU51" s="25" t="s">
        <v>2607</v>
      </c>
      <c r="AV51" s="28" t="s">
        <v>2932</v>
      </c>
      <c r="AW51" s="25" t="s">
        <v>2933</v>
      </c>
      <c r="AX51" s="28"/>
      <c r="AY51" s="25"/>
      <c r="AZ51" s="28"/>
      <c r="BA51" s="25"/>
      <c r="BB51" s="28"/>
      <c r="BC51" s="25"/>
      <c r="BD51" s="28"/>
      <c r="BE51" s="25"/>
      <c r="BF51" s="28"/>
      <c r="BG51" s="25"/>
      <c r="BH51" s="28"/>
      <c r="BI51" s="25"/>
      <c r="BJ51" s="28"/>
      <c r="BK51" s="25"/>
      <c r="BL51" s="28"/>
      <c r="BM51" s="25"/>
      <c r="BN51" s="28"/>
      <c r="BO51" s="25"/>
      <c r="BP51" s="28"/>
      <c r="BQ51" s="25"/>
      <c r="BR51" s="28"/>
      <c r="BS51" s="25"/>
      <c r="BT51" s="28"/>
      <c r="BU51" s="25"/>
      <c r="BV51" s="28"/>
      <c r="BW51" s="25"/>
      <c r="BX51" s="28"/>
      <c r="BY51" s="25"/>
      <c r="CA51" s="1" t="str">
        <f t="shared" si="47"/>
        <v>delete from sscd_mast where sscd_idcd = 'prod_isos_dvcd_KOR_common'  and site_idcd = 'common';</v>
      </c>
      <c r="CB51" s="5" t="str">
        <f>IF(E51&lt;&gt;"",CREATE_QUERY($B$1,A$2:AA$2,A51:AA51),"")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('prod_isos_dvcd_KOR_common', 'KOR', 'common', 'prod_isos_dvcd', '(제품)입출고 구분', 'gb', '', '[["2101","생산입고"],["1300","기타입고"],["1400","반품입고"],["1500","이동입고"],["2200","판매출고"],["2300","기타출고"],["2400","이동출고"],["2500","재고조정"],["2600","자가소비"],["2700","출고취소"],["2800","불량폐기"]]', '2101:생산입고 1300:기타입고 1400:반품입고 1500:이동입고 2200:판매출고 2300:기타출고 2400:이동출고 2500:재고조정 2600:자가소비 2700:출고취소 2800:불량폐기', '', '2101=생산입고|1300=기타입고|1400=반품입고|1500=이동입고|2200=판매출고|2300=기타출고|2400=이동출고|2500=재고조정|2600=자가소비|2700=출고취소|2800=불량폐기', '', '0', '0', '0', '0', 'prod_isos_dvcd (제품)입출고 구분 [["2101","생산입고"],["1300","기타입고"],["1400","반품입고"],["1500","이동입고"],["2200","판매출고"],["2300","기타출고"],["2400","이동출고"],["2500","재고조정"],["2600","자가소비"],["2700","출고취소"],["2800","불량폐기"]]', ' ', '', '', ' ', '', '', '', '', '', '');</v>
      </c>
    </row>
    <row r="52" spans="1:115" ht="17">
      <c r="A52" s="26" t="str">
        <f t="shared" ref="A52:A53" si="52">IF(D52="","",D52&amp;"_"&amp;B52&amp;"_"&amp;C52)</f>
        <v>istt_dvcd_KOR_common</v>
      </c>
      <c r="B52" s="25" t="s">
        <v>27</v>
      </c>
      <c r="C52" s="25" t="str">
        <f t="shared" si="49"/>
        <v>common</v>
      </c>
      <c r="D52" s="25" t="s">
        <v>2624</v>
      </c>
      <c r="E52" s="25" t="s">
        <v>2623</v>
      </c>
      <c r="F52" s="25" t="str">
        <f t="shared" ref="F52:F53" si="53">IF(A52="","","gb")</f>
        <v>gb</v>
      </c>
      <c r="G52" s="25"/>
      <c r="H52" s="35" t="str">
        <f t="shared" si="44"/>
        <v>[["1100","구매입고"],["1200","생산입고"],["1300","기타입고"],["1400","반품입고"],["1500","이동입고"]]</v>
      </c>
      <c r="I52" s="35" t="str">
        <f t="shared" si="45"/>
        <v>1100:구매입고 1200:생산입고 1300:기타입고 1400:반품입고 1500:이동입고</v>
      </c>
      <c r="J52" s="35"/>
      <c r="K52" s="35" t="str">
        <f t="shared" si="51"/>
        <v>1100=구매입고|1200=생산입고|1300=기타입고|1400=반품입고|1500=이동입고</v>
      </c>
      <c r="L52" s="2"/>
      <c r="M52" s="36">
        <v>0</v>
      </c>
      <c r="N52" s="36">
        <v>0</v>
      </c>
      <c r="O52" s="36" t="s">
        <v>31</v>
      </c>
      <c r="P52" s="36" t="s">
        <v>31</v>
      </c>
      <c r="Q52" s="35" t="str">
        <f t="shared" si="46"/>
        <v>istt_dvcd 입고구분코드 [["1100","구매입고"],["1200","생산입고"],["1300","기타입고"],["1400","반품입고"],["1500","이동입고"]]</v>
      </c>
      <c r="R52" s="2" t="s">
        <v>921</v>
      </c>
      <c r="S52" s="2"/>
      <c r="T52" s="2"/>
      <c r="U52" s="2"/>
      <c r="V52" s="2"/>
      <c r="W52" s="2"/>
      <c r="X52" s="2"/>
      <c r="Y52" s="2"/>
      <c r="Z52" s="2"/>
      <c r="AA52" s="2"/>
      <c r="AB52" s="29" t="s">
        <v>559</v>
      </c>
      <c r="AC52" s="25" t="s">
        <v>2603</v>
      </c>
      <c r="AD52" s="28" t="s">
        <v>672</v>
      </c>
      <c r="AE52" s="25" t="s">
        <v>2354</v>
      </c>
      <c r="AF52" s="29" t="s">
        <v>675</v>
      </c>
      <c r="AG52" s="25" t="s">
        <v>2347</v>
      </c>
      <c r="AH52" s="29" t="s">
        <v>677</v>
      </c>
      <c r="AI52" s="25" t="s">
        <v>562</v>
      </c>
      <c r="AJ52" s="29" t="s">
        <v>2605</v>
      </c>
      <c r="AK52" s="25" t="s">
        <v>518</v>
      </c>
      <c r="AL52" s="28"/>
      <c r="AM52" s="25"/>
      <c r="AN52" s="28"/>
      <c r="AO52" s="25"/>
      <c r="AP52" s="28"/>
      <c r="AQ52" s="25"/>
      <c r="AR52" s="28"/>
      <c r="AS52" s="25"/>
      <c r="AT52" s="28"/>
      <c r="AU52" s="25"/>
      <c r="AV52" s="28"/>
      <c r="AW52" s="25"/>
      <c r="AX52" s="28"/>
      <c r="AY52" s="25"/>
      <c r="AZ52" s="28"/>
      <c r="BA52" s="25"/>
      <c r="BB52" s="28"/>
      <c r="BC52" s="25"/>
      <c r="BD52" s="28"/>
      <c r="BE52" s="25"/>
      <c r="BF52" s="28"/>
      <c r="BG52" s="25"/>
      <c r="BH52" s="28"/>
      <c r="BI52" s="25"/>
      <c r="BJ52" s="28"/>
      <c r="BK52" s="25"/>
      <c r="BL52" s="28"/>
      <c r="BM52" s="25"/>
      <c r="BN52" s="28"/>
      <c r="BO52" s="25"/>
      <c r="BP52" s="28"/>
      <c r="BQ52" s="25"/>
      <c r="BR52" s="28"/>
      <c r="BS52" s="25"/>
      <c r="BT52" s="28"/>
      <c r="BU52" s="25"/>
      <c r="BV52" s="28"/>
      <c r="BW52" s="25"/>
      <c r="BX52" s="28"/>
      <c r="BY52" s="25"/>
      <c r="CA52" s="1" t="str">
        <f t="shared" si="47"/>
        <v>delete from sscd_mast where sscd_idcd = 'istt_dvcd_KOR_common'  and site_idcd = 'common';</v>
      </c>
      <c r="CB52" s="5" t="str">
        <f>IF(E52&lt;&gt;"",CREATE_QUERY($B$1,A$2:AA$2,A52:AA52),"")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('istt_dvcd_KOR_common', 'KOR', 'common', 'istt_dvcd', '입고구분코드', 'gb', '', '[["1100","구매입고"],["1200","생산입고"],["1300","기타입고"],["1400","반품입고"],["1500","이동입고"]]', '1100:구매입고 1200:생산입고 1300:기타입고 1400:반품입고 1500:이동입고', '', '1100=구매입고|1200=생산입고|1300=기타입고|1400=반품입고|1500=이동입고', '', '0', '0', '0', '0', 'istt_dvcd 입고구분코드 [["1100","구매입고"],["1200","생산입고"],["1300","기타입고"],["1400","반품입고"],["1500","이동입고"]]', ' ', '', '', '', '', '', '', '', '', '');</v>
      </c>
    </row>
    <row r="53" spans="1:115" ht="17">
      <c r="A53" s="26" t="str">
        <f t="shared" si="52"/>
        <v>ostt_dvcd_KOR_common</v>
      </c>
      <c r="B53" s="25" t="s">
        <v>27</v>
      </c>
      <c r="C53" s="25" t="str">
        <f t="shared" si="49"/>
        <v>common</v>
      </c>
      <c r="D53" s="25" t="s">
        <v>2625</v>
      </c>
      <c r="E53" s="25" t="s">
        <v>2626</v>
      </c>
      <c r="F53" s="25" t="str">
        <f t="shared" si="53"/>
        <v>gb</v>
      </c>
      <c r="G53" s="25"/>
      <c r="H53" s="35" t="str">
        <f t="shared" si="44"/>
        <v>[["2100","생산출고"],["2200","판매출고"],["2300","기타출고"],["2400","이동출고"],["2500","재고조정"],["2600","자가소비"],["2700","출고취소"]]</v>
      </c>
      <c r="I53" s="35" t="str">
        <f t="shared" si="45"/>
        <v>2100:생산출고 2200:판매출고 2300:기타출고 2400:이동출고 2500:재고조정 2600:자가소비 2700:출고취소</v>
      </c>
      <c r="J53" s="35"/>
      <c r="K53" s="35" t="str">
        <f t="shared" si="51"/>
        <v>2100=생산출고|2200=판매출고|2300=기타출고|2400=이동출고|2500=재고조정|2600=자가소비|2700=출고취소</v>
      </c>
      <c r="L53" s="2"/>
      <c r="M53" s="36">
        <v>0</v>
      </c>
      <c r="N53" s="36">
        <v>0</v>
      </c>
      <c r="O53" s="36" t="s">
        <v>31</v>
      </c>
      <c r="P53" s="36" t="s">
        <v>31</v>
      </c>
      <c r="Q53" s="35" t="str">
        <f t="shared" si="46"/>
        <v>ostt_dvcd 출고구분코드 [["2100","생산출고"],["2200","판매출고"],["2300","기타출고"],["2400","이동출고"],["2500","재고조정"],["2600","자가소비"],["2700","출고취소"]]</v>
      </c>
      <c r="R53" s="2" t="s">
        <v>921</v>
      </c>
      <c r="S53" s="2"/>
      <c r="T53" s="2"/>
      <c r="U53" s="2"/>
      <c r="V53" s="2"/>
      <c r="W53" s="2"/>
      <c r="X53" s="2"/>
      <c r="Y53" s="2"/>
      <c r="Z53" s="2"/>
      <c r="AA53" s="2"/>
      <c r="AB53" s="29">
        <v>2100</v>
      </c>
      <c r="AC53" s="25" t="s">
        <v>563</v>
      </c>
      <c r="AD53" s="29">
        <v>2200</v>
      </c>
      <c r="AE53" s="25" t="s">
        <v>2558</v>
      </c>
      <c r="AF53" s="29">
        <v>2300</v>
      </c>
      <c r="AG53" s="25" t="s">
        <v>729</v>
      </c>
      <c r="AH53" s="29">
        <v>2400</v>
      </c>
      <c r="AI53" s="25" t="s">
        <v>2348</v>
      </c>
      <c r="AJ53" s="29" t="s">
        <v>2557</v>
      </c>
      <c r="AK53" s="25" t="s">
        <v>732</v>
      </c>
      <c r="AL53" s="28" t="s">
        <v>2604</v>
      </c>
      <c r="AM53" s="25" t="s">
        <v>730</v>
      </c>
      <c r="AN53" s="28" t="s">
        <v>2606</v>
      </c>
      <c r="AO53" s="25" t="s">
        <v>2607</v>
      </c>
      <c r="AP53" s="28"/>
      <c r="AQ53" s="25"/>
      <c r="AR53" s="28"/>
      <c r="AS53" s="25"/>
      <c r="AT53" s="28"/>
      <c r="AU53" s="25"/>
      <c r="AV53" s="28"/>
      <c r="AW53" s="25"/>
      <c r="AX53" s="28"/>
      <c r="AY53" s="25"/>
      <c r="AZ53" s="28"/>
      <c r="BA53" s="25"/>
      <c r="BB53" s="28"/>
      <c r="BC53" s="25"/>
      <c r="BD53" s="28"/>
      <c r="BE53" s="25"/>
      <c r="BF53" s="28"/>
      <c r="BG53" s="25"/>
      <c r="BH53" s="28"/>
      <c r="BI53" s="25"/>
      <c r="BJ53" s="28"/>
      <c r="BK53" s="25"/>
      <c r="BL53" s="28"/>
      <c r="BM53" s="25"/>
      <c r="BN53" s="28"/>
      <c r="BO53" s="25"/>
      <c r="BP53" s="28"/>
      <c r="BQ53" s="25"/>
      <c r="BR53" s="28"/>
      <c r="BS53" s="25"/>
      <c r="BT53" s="28"/>
      <c r="BU53" s="25"/>
      <c r="BV53" s="28"/>
      <c r="BW53" s="25"/>
      <c r="BX53" s="28"/>
      <c r="BY53" s="25"/>
      <c r="CA53" s="1" t="str">
        <f t="shared" si="47"/>
        <v>delete from sscd_mast where sscd_idcd = 'ostt_dvcd_KOR_common'  and site_idcd = 'common';</v>
      </c>
      <c r="CB53" s="5" t="str">
        <f>IF(E53&lt;&gt;"",CREATE_QUERY($B$1,A$2:AA$2,A53:AA53),"")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('ostt_dvcd_KOR_common', 'KOR', 'common', 'ostt_dvcd', '출고구분코드', 'gb', '', '[["2100","생산출고"],["2200","판매출고"],["2300","기타출고"],["2400","이동출고"],["2500","재고조정"],["2600","자가소비"],["2700","출고취소"]]', '2100:생산출고 2200:판매출고 2300:기타출고 2400:이동출고 2500:재고조정 2600:자가소비 2700:출고취소', '', '2100=생산출고|2200=판매출고|2300=기타출고|2400=이동출고|2500=재고조정|2600=자가소비|2700=출고취소', '', '0', '0', '0', '0', 'ostt_dvcd 출고구분코드 [["2100","생산출고"],["2200","판매출고"],["2300","기타출고"],["2400","이동출고"],["2500","재고조정"],["2600","자가소비"],["2700","출고취소"]]', ' ', '', '', '', '', '', '', '', '', '');</v>
      </c>
    </row>
    <row r="54" spans="1:115" s="4" customFormat="1" ht="17">
      <c r="A54" s="26" t="str">
        <f t="shared" si="48"/>
        <v>fax_idcd_KOR_common</v>
      </c>
      <c r="B54" s="25" t="s">
        <v>27</v>
      </c>
      <c r="C54" s="25" t="str">
        <f t="shared" si="49"/>
        <v>common</v>
      </c>
      <c r="D54" s="25" t="s">
        <v>154</v>
      </c>
      <c r="E54" s="25" t="s">
        <v>54</v>
      </c>
      <c r="F54" s="25" t="str">
        <f t="shared" si="50"/>
        <v>gb</v>
      </c>
      <c r="G54" s="25"/>
      <c r="H54" s="35" t="str">
        <f t="shared" si="44"/>
        <v>[["0","미사용"],["1","KT크로샷"]]</v>
      </c>
      <c r="I54" s="35" t="str">
        <f t="shared" si="45"/>
        <v>0:미사용 1:KT크로샷</v>
      </c>
      <c r="J54" s="35"/>
      <c r="K54" s="35" t="str">
        <f t="shared" si="51"/>
        <v>0=미사용|1=KT크로샷</v>
      </c>
      <c r="L54" s="2"/>
      <c r="M54" s="36">
        <v>0</v>
      </c>
      <c r="N54" s="36">
        <v>0</v>
      </c>
      <c r="O54" s="36" t="s">
        <v>31</v>
      </c>
      <c r="P54" s="36" t="s">
        <v>31</v>
      </c>
      <c r="Q54" s="35" t="str">
        <f t="shared" si="46"/>
        <v>fax_idcd FAX 공급사 [["0","미사용"],["1","KT크로샷"]]</v>
      </c>
      <c r="R54" s="2" t="s">
        <v>921</v>
      </c>
      <c r="S54" s="2"/>
      <c r="T54" s="2"/>
      <c r="U54" s="2" t="s">
        <v>32</v>
      </c>
      <c r="V54" s="2"/>
      <c r="W54" s="2"/>
      <c r="X54" s="2"/>
      <c r="Y54" s="2"/>
      <c r="Z54" s="2"/>
      <c r="AA54" s="2"/>
      <c r="AB54" s="29" t="s">
        <v>31</v>
      </c>
      <c r="AC54" s="25" t="s">
        <v>362</v>
      </c>
      <c r="AD54" s="29">
        <v>1</v>
      </c>
      <c r="AE54" s="25" t="s">
        <v>566</v>
      </c>
      <c r="AF54" s="29"/>
      <c r="AG54" s="25"/>
      <c r="AH54" s="29"/>
      <c r="AI54" s="25"/>
      <c r="AJ54" s="29"/>
      <c r="AK54" s="25"/>
      <c r="AL54" s="29"/>
      <c r="AM54" s="25"/>
      <c r="AN54" s="29"/>
      <c r="AO54" s="25"/>
      <c r="AP54" s="29"/>
      <c r="AQ54" s="25"/>
      <c r="AR54" s="29"/>
      <c r="AS54" s="25"/>
      <c r="AT54" s="29"/>
      <c r="AU54" s="25"/>
      <c r="AV54" s="29"/>
      <c r="AW54" s="25"/>
      <c r="AX54" s="29"/>
      <c r="AY54" s="25"/>
      <c r="AZ54" s="29"/>
      <c r="BA54" s="25"/>
      <c r="BB54" s="29"/>
      <c r="BC54" s="25"/>
      <c r="BD54" s="29"/>
      <c r="BE54" s="25"/>
      <c r="BF54" s="29"/>
      <c r="BG54" s="25"/>
      <c r="BH54" s="29"/>
      <c r="BI54" s="25"/>
      <c r="BJ54" s="29"/>
      <c r="BK54" s="25"/>
      <c r="BL54" s="29"/>
      <c r="BM54" s="25"/>
      <c r="BN54" s="29"/>
      <c r="BO54" s="25"/>
      <c r="BP54" s="29"/>
      <c r="BQ54" s="25"/>
      <c r="BR54" s="29"/>
      <c r="BS54" s="25"/>
      <c r="BT54" s="29"/>
      <c r="BU54" s="25"/>
      <c r="BV54" s="29"/>
      <c r="BW54" s="25"/>
      <c r="BX54" s="29"/>
      <c r="BY54" s="25"/>
      <c r="BZ54" s="1"/>
      <c r="CA54" s="1" t="str">
        <f t="shared" si="47"/>
        <v>delete from sscd_mast where sscd_idcd = 'fax_idcd_KOR_common'  and site_idcd = 'common';</v>
      </c>
      <c r="CB54" s="5" t="str">
        <f>IF(E54&lt;&gt;"",CREATE_QUERY($B$1,A$2:AA$2,A54:AA54),"")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('fax_idcd_KOR_common', 'KOR', 'common', 'fax_idcd', 'FAX 공급사', 'gb', '', '[["0","미사용"],["1","KT크로샷"]]', '0:미사용 1:KT크로샷', '', '0=미사용|1=KT크로샷', '', '0', '0', '0', '0', 'fax_idcd FAX 공급사 [["0","미사용"],["1","KT크로샷"]]', ' ', '', '', ' ', '', '', '', '', '', '');</v>
      </c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</row>
    <row r="55" spans="1:115" ht="17">
      <c r="A55" s="26" t="str">
        <f t="shared" si="48"/>
        <v>invc_dvcd_KOR_common</v>
      </c>
      <c r="B55" s="25" t="s">
        <v>27</v>
      </c>
      <c r="C55" s="25" t="str">
        <f t="shared" si="49"/>
        <v>common</v>
      </c>
      <c r="D55" s="25" t="s">
        <v>923</v>
      </c>
      <c r="E55" s="25" t="s">
        <v>924</v>
      </c>
      <c r="F55" s="25" t="str">
        <f t="shared" si="50"/>
        <v>gb</v>
      </c>
      <c r="G55" s="25"/>
      <c r="H55" s="35" t="str">
        <f t="shared" si="44"/>
        <v>[["1100","구매입고"],["1200","생산입고"],["1300","기타입고"],["1400","반품입고"],["1500","이동입고"],["1600","임대회수"],["1700","바이백회수"],["2100","생산출고"],["2210","판매출고"],["2220","임대출고"],["2230","바이백출고"],["2300","기타출고"],["2400","이동출고"],["2500","재고조정"],["2600","자가소비"],["2700","출고취소"]]</v>
      </c>
      <c r="I55" s="35" t="str">
        <f t="shared" si="45"/>
        <v>1100:구매입고 1200:생산입고 1300:기타입고 1400:반품입고 1500:이동입고 1600:임대회수 1700:바이백회수 2100:생산출고 2210:판매출고 2220:임대출고 2230:바이백출고 2300:기타출고 2400:이동출고 2500:재고조정 2600:자가소비 2700:출고취소</v>
      </c>
      <c r="J55" s="35"/>
      <c r="K55" s="35" t="str">
        <f t="shared" si="51"/>
        <v>1100=구매입고|1200=생산입고|1300=기타입고|1400=반품입고|1500=이동입고|1600=임대회수|1700=바이백회수|2100=생산출고|2210=판매출고|2220=임대출고|2230=바이백출고|2300=기타출고|2400=이동출고|2500=재고조정|2600=자가소비|2700=출고취소</v>
      </c>
      <c r="L55" s="2"/>
      <c r="M55" s="36">
        <v>0</v>
      </c>
      <c r="N55" s="36">
        <v>0</v>
      </c>
      <c r="O55" s="36" t="s">
        <v>31</v>
      </c>
      <c r="P55" s="36" t="s">
        <v>31</v>
      </c>
      <c r="Q55" s="35" t="str">
        <f t="shared" si="46"/>
        <v>invc_dvcd INVOICE구분코드 [["1100","구매입고"],["1200","생산입고"],["1300","기타입고"],["1400","반품입고"],["1500","이동입고"],["1600","임대회수"],["1700","바이백회수"],["2100","생산출고"],["2210","판매출고"],["2220","임대출고"],["2230","바이백출고"],["2300","기타출고"],["2400","이동출고"],["2500","재고조정"],["2600","자가소비"],["2700","출고취소"]]</v>
      </c>
      <c r="R55" s="2" t="s">
        <v>921</v>
      </c>
      <c r="S55" s="2"/>
      <c r="T55" s="2"/>
      <c r="U55" s="2"/>
      <c r="V55" s="2"/>
      <c r="W55" s="2"/>
      <c r="X55" s="2"/>
      <c r="Y55" s="2"/>
      <c r="Z55" s="2"/>
      <c r="AA55" s="2"/>
      <c r="AB55" s="29" t="s">
        <v>559</v>
      </c>
      <c r="AC55" s="25" t="s">
        <v>560</v>
      </c>
      <c r="AD55" s="29">
        <v>1200</v>
      </c>
      <c r="AE55" s="25" t="s">
        <v>2354</v>
      </c>
      <c r="AF55" s="29" t="s">
        <v>675</v>
      </c>
      <c r="AG55" s="25" t="s">
        <v>2347</v>
      </c>
      <c r="AH55" s="29" t="s">
        <v>677</v>
      </c>
      <c r="AI55" s="25" t="s">
        <v>562</v>
      </c>
      <c r="AJ55" s="29" t="s">
        <v>2605</v>
      </c>
      <c r="AK55" s="25" t="s">
        <v>518</v>
      </c>
      <c r="AL55" s="29" t="s">
        <v>3101</v>
      </c>
      <c r="AM55" s="25" t="s">
        <v>3154</v>
      </c>
      <c r="AN55" s="29" t="s">
        <v>3102</v>
      </c>
      <c r="AO55" s="25" t="s">
        <v>3155</v>
      </c>
      <c r="AP55" s="29">
        <v>2100</v>
      </c>
      <c r="AQ55" s="25" t="s">
        <v>563</v>
      </c>
      <c r="AR55" s="29" t="s">
        <v>3159</v>
      </c>
      <c r="AS55" s="25" t="s">
        <v>2558</v>
      </c>
      <c r="AT55" s="29" t="s">
        <v>3156</v>
      </c>
      <c r="AU55" s="25" t="s">
        <v>3157</v>
      </c>
      <c r="AV55" s="29" t="s">
        <v>2762</v>
      </c>
      <c r="AW55" s="25" t="s">
        <v>3158</v>
      </c>
      <c r="AX55" s="29">
        <v>2300</v>
      </c>
      <c r="AY55" s="25" t="s">
        <v>729</v>
      </c>
      <c r="AZ55" s="29">
        <v>2400</v>
      </c>
      <c r="BA55" s="25" t="s">
        <v>2348</v>
      </c>
      <c r="BB55" s="29" t="s">
        <v>2557</v>
      </c>
      <c r="BC55" s="25" t="s">
        <v>732</v>
      </c>
      <c r="BD55" s="28" t="s">
        <v>2604</v>
      </c>
      <c r="BE55" s="25" t="s">
        <v>730</v>
      </c>
      <c r="BF55" s="28" t="s">
        <v>2606</v>
      </c>
      <c r="BG55" s="25" t="s">
        <v>2607</v>
      </c>
      <c r="BH55" s="29"/>
      <c r="BI55" s="25"/>
      <c r="BJ55" s="29"/>
      <c r="BK55" s="25"/>
      <c r="BL55" s="29"/>
      <c r="BM55" s="25"/>
      <c r="BN55" s="29"/>
      <c r="BO55" s="25"/>
      <c r="BP55" s="29"/>
      <c r="BQ55" s="25"/>
      <c r="BR55" s="29"/>
      <c r="BS55" s="25"/>
      <c r="BT55" s="29"/>
      <c r="BU55" s="25"/>
      <c r="BV55" s="29"/>
      <c r="BW55" s="25"/>
      <c r="BX55" s="29"/>
      <c r="BY55" s="25"/>
      <c r="CA55" s="1" t="str">
        <f t="shared" si="47"/>
        <v>delete from sscd_mast where sscd_idcd = 'invc_dvcd_KOR_common'  and site_idcd = 'common';</v>
      </c>
      <c r="CB55" s="5" t="str">
        <f>IF(E55&lt;&gt;"",CREATE_QUERY($B$1,A$2:AA$2,A55:AA55),"")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('invc_dvcd_KOR_common', 'KOR', 'common', 'invc_dvcd', 'INVOICE구분코드', 'gb', '', '[["1100","구매입고"],["1200","생산입고"],["1300","기타입고"],["1400","반품입고"],["1500","이동입고"],["1600","임대회수"],["1700","바이백회수"],["2100","생산출고"],["2210","판매출고"],["2220","임대출고"],["2230","바이백출고"],["2300","기타출고"],["2400","이동출고"],["2500","재고조정"],["2600","자가소비"],["2700","출고취소"]]', '1100:구매입고 1200:생산입고 1300:기타입고 1400:반품입고 1500:이동입고 1600:임대회수 1700:바이백회수 2100:생산출고 2210:판매출고 2220:임대출고 2230:바이백출고 2300:기타출고 2400:이동출고 2500:재고조정 2600:자가소비 2700:출고취소', '', '1100=구매입고|1200=생산입고|1300=기타입고|1400=반품입고|1500=이동입고|1600=임대회수|1700=바이백회수|2100=생산출고|2210=판매출고|2220=임대출고|2230=바이백출고|2300=기타출고|2400=이동출고|2500=재고조정|2600=자가소비|2700=출고취소', '', '0', '0', '0', '0', 'invc_dvcd INVOICE구분코드 [["1100","구매입고"],["1200","생산입고"],["1300","기타입고"],["1400","반품입고"],["1500","이동입고"],["1600","임대회수"],["1700","바이백회수"],["2100","생산출고"],["2210","판매출고"],["2220","임대출고"],["2230","바이백출고"],["2300","기타출고"],["2400","이동출고"],["2500","재고조정"],["2600","자가소비"],["2700","출고취소"]]', ' ', '', '', '', '', '', '', '', '', '');</v>
      </c>
    </row>
    <row r="56" spans="1:115" ht="17">
      <c r="A56" s="26" t="str">
        <f t="shared" si="48"/>
        <v>sale_inv_stat_KOR_common</v>
      </c>
      <c r="B56" s="25" t="s">
        <v>27</v>
      </c>
      <c r="C56" s="25" t="str">
        <f t="shared" si="49"/>
        <v>common</v>
      </c>
      <c r="D56" s="25" t="s">
        <v>152</v>
      </c>
      <c r="E56" s="25" t="s">
        <v>33</v>
      </c>
      <c r="F56" s="25" t="str">
        <f t="shared" si="50"/>
        <v>gb</v>
      </c>
      <c r="G56" s="25"/>
      <c r="H56" s="35" t="str">
        <f t="shared" si="44"/>
        <v>[["0200","납품대기"],["0400","일부납품"],["0500","납품완료"]]</v>
      </c>
      <c r="I56" s="35" t="str">
        <f t="shared" si="45"/>
        <v>0200:납품대기 0400:일부납품 0500:납품완료</v>
      </c>
      <c r="J56" s="35"/>
      <c r="K56" s="35" t="str">
        <f t="shared" si="51"/>
        <v>0200=납품대기|0400=일부납품|0500=납품완료</v>
      </c>
      <c r="L56" s="2"/>
      <c r="M56" s="36">
        <v>0</v>
      </c>
      <c r="N56" s="36">
        <v>0</v>
      </c>
      <c r="O56" s="36" t="s">
        <v>31</v>
      </c>
      <c r="P56" s="36" t="s">
        <v>31</v>
      </c>
      <c r="Q56" s="35" t="str">
        <f t="shared" si="46"/>
        <v>sale_inv_stat SCM 납품 관리 상태 정보 ? [["0200","납품대기"],["0400","일부납품"],["0500","납품완료"]]</v>
      </c>
      <c r="R56" s="2" t="s">
        <v>921</v>
      </c>
      <c r="S56" s="2"/>
      <c r="T56" s="2"/>
      <c r="U56" s="2" t="s">
        <v>32</v>
      </c>
      <c r="V56" s="2"/>
      <c r="W56" s="2"/>
      <c r="X56" s="2"/>
      <c r="Y56" s="2"/>
      <c r="Z56" s="2"/>
      <c r="AA56" s="2"/>
      <c r="AB56" s="29" t="s">
        <v>584</v>
      </c>
      <c r="AC56" s="25" t="s">
        <v>365</v>
      </c>
      <c r="AD56" s="29" t="s">
        <v>567</v>
      </c>
      <c r="AE56" s="25" t="s">
        <v>366</v>
      </c>
      <c r="AF56" s="29" t="s">
        <v>568</v>
      </c>
      <c r="AG56" s="25" t="s">
        <v>367</v>
      </c>
      <c r="AH56" s="29"/>
      <c r="AI56" s="25"/>
      <c r="AJ56" s="29"/>
      <c r="AK56" s="25"/>
      <c r="AL56" s="29"/>
      <c r="AM56" s="25"/>
      <c r="AN56" s="29"/>
      <c r="AO56" s="25"/>
      <c r="AP56" s="29"/>
      <c r="AQ56" s="25"/>
      <c r="AR56" s="29"/>
      <c r="AS56" s="25"/>
      <c r="AT56" s="29"/>
      <c r="AU56" s="25"/>
      <c r="AV56" s="29"/>
      <c r="AW56" s="25"/>
      <c r="AX56" s="29"/>
      <c r="AY56" s="25"/>
      <c r="AZ56" s="29"/>
      <c r="BA56" s="25"/>
      <c r="BB56" s="29"/>
      <c r="BC56" s="25"/>
      <c r="BD56" s="29"/>
      <c r="BE56" s="25"/>
      <c r="BF56" s="29"/>
      <c r="BG56" s="25"/>
      <c r="BH56" s="29"/>
      <c r="BI56" s="25"/>
      <c r="BJ56" s="29"/>
      <c r="BK56" s="25"/>
      <c r="BL56" s="29"/>
      <c r="BM56" s="25"/>
      <c r="BN56" s="29"/>
      <c r="BO56" s="25"/>
      <c r="BP56" s="29"/>
      <c r="BQ56" s="25"/>
      <c r="BR56" s="29"/>
      <c r="BS56" s="25"/>
      <c r="BT56" s="29"/>
      <c r="BU56" s="25"/>
      <c r="BV56" s="29"/>
      <c r="BW56" s="25"/>
      <c r="BX56" s="29"/>
      <c r="BY56" s="25"/>
      <c r="CA56" s="1" t="str">
        <f t="shared" si="47"/>
        <v>delete from sscd_mast where sscd_idcd = 'sale_inv_stat_KOR_common'  and site_idcd = 'common';</v>
      </c>
      <c r="CB56" s="5" t="str">
        <f>IF(E56&lt;&gt;"",CREATE_QUERY($B$1,A$2:AA$2,A56:AA56),"")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('sale_inv_stat_KOR_common', 'KOR', 'common', 'sale_inv_stat', 'SCM 납품 관리 상태 정보 ?', 'gb', '', '[["0200","납품대기"],["0400","일부납품"],["0500","납품완료"]]', '0200:납품대기 0400:일부납품 0500:납품완료', '', '0200=납품대기|0400=일부납품|0500=납품완료', '', '0', '0', '0', '0', 'sale_inv_stat SCM 납품 관리 상태 정보 ? [["0200","납품대기"],["0400","일부납품"],["0500","납품완료"]]', ' ', '', '', ' ', '', '', '', '', '', '');</v>
      </c>
    </row>
    <row r="57" spans="1:115" ht="17">
      <c r="A57" s="26" t="str">
        <f t="shared" si="48"/>
        <v>porm_dvcd_KOR_common</v>
      </c>
      <c r="B57" s="25" t="s">
        <v>27</v>
      </c>
      <c r="C57" s="25" t="str">
        <f t="shared" si="49"/>
        <v>common</v>
      </c>
      <c r="D57" s="25" t="s">
        <v>339</v>
      </c>
      <c r="E57" s="25" t="s">
        <v>227</v>
      </c>
      <c r="F57" s="25" t="str">
        <f t="shared" si="50"/>
        <v>gb</v>
      </c>
      <c r="G57" s="25"/>
      <c r="H57" s="35" t="str">
        <f t="shared" si="44"/>
        <v>[["1","가산"],["2","감산"]]</v>
      </c>
      <c r="I57" s="35" t="str">
        <f t="shared" si="45"/>
        <v>1:가산 2:감산</v>
      </c>
      <c r="J57" s="35"/>
      <c r="K57" s="35" t="str">
        <f t="shared" si="51"/>
        <v>1=가산|2=감산</v>
      </c>
      <c r="L57" s="2"/>
      <c r="M57" s="36">
        <v>0</v>
      </c>
      <c r="N57" s="36">
        <v>0</v>
      </c>
      <c r="O57" s="36" t="s">
        <v>31</v>
      </c>
      <c r="P57" s="36" t="s">
        <v>31</v>
      </c>
      <c r="Q57" s="35" t="str">
        <f t="shared" si="46"/>
        <v>porm_dvcd 가감구분코드 [["1","가산"],["2","감산"]]</v>
      </c>
      <c r="R57" s="2" t="s">
        <v>921</v>
      </c>
      <c r="S57" s="2"/>
      <c r="T57" s="2"/>
      <c r="U57" s="2"/>
      <c r="V57" s="2"/>
      <c r="W57" s="2"/>
      <c r="X57" s="2"/>
      <c r="Y57" s="2"/>
      <c r="Z57" s="2"/>
      <c r="AA57" s="2"/>
      <c r="AB57" s="28" t="s">
        <v>684</v>
      </c>
      <c r="AC57" s="25" t="s">
        <v>704</v>
      </c>
      <c r="AD57" s="28" t="s">
        <v>685</v>
      </c>
      <c r="AE57" s="25" t="s">
        <v>705</v>
      </c>
      <c r="AF57" s="28"/>
      <c r="AG57" s="25"/>
      <c r="AH57" s="28"/>
      <c r="AI57" s="25"/>
      <c r="AJ57" s="28"/>
      <c r="AK57" s="25"/>
      <c r="AL57" s="28"/>
      <c r="AM57" s="25"/>
      <c r="AN57" s="28"/>
      <c r="AO57" s="25"/>
      <c r="AP57" s="28"/>
      <c r="AQ57" s="25"/>
      <c r="AR57" s="28"/>
      <c r="AS57" s="25"/>
      <c r="AT57" s="28"/>
      <c r="AU57" s="25"/>
      <c r="AV57" s="28"/>
      <c r="AW57" s="25"/>
      <c r="AX57" s="28"/>
      <c r="AY57" s="25"/>
      <c r="AZ57" s="28"/>
      <c r="BA57" s="25"/>
      <c r="BB57" s="28"/>
      <c r="BC57" s="25"/>
      <c r="BD57" s="28"/>
      <c r="BE57" s="25"/>
      <c r="BF57" s="28"/>
      <c r="BG57" s="25"/>
      <c r="BH57" s="28"/>
      <c r="BI57" s="25"/>
      <c r="BJ57" s="28"/>
      <c r="BK57" s="25"/>
      <c r="BL57" s="28"/>
      <c r="BM57" s="25"/>
      <c r="BN57" s="28"/>
      <c r="BO57" s="25"/>
      <c r="BP57" s="28"/>
      <c r="BQ57" s="25"/>
      <c r="BR57" s="28"/>
      <c r="BS57" s="25"/>
      <c r="BT57" s="28"/>
      <c r="BU57" s="25"/>
      <c r="BV57" s="28"/>
      <c r="BW57" s="25"/>
      <c r="BX57" s="28"/>
      <c r="BY57" s="25"/>
      <c r="CA57" s="1" t="str">
        <f t="shared" si="47"/>
        <v>delete from sscd_mast where sscd_idcd = 'porm_dvcd_KOR_common'  and site_idcd = 'common';</v>
      </c>
      <c r="CB57" s="5" t="str">
        <f>IF(E57&lt;&gt;"",CREATE_QUERY($B$1,A$2:AA$2,A57:AA57),"")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('porm_dvcd_KOR_common', 'KOR', 'common', 'porm_dvcd', '가감구분코드', 'gb', '', '[["1","가산"],["2","감산"]]', '1:가산 2:감산', '', '1=가산|2=감산', '', '0', '0', '0', '0', 'porm_dvcd 가감구분코드 [["1","가산"],["2","감산"]]', ' ', '', '', '', '', '', '', '', '', '');</v>
      </c>
    </row>
    <row r="58" spans="1:115" ht="17">
      <c r="A58" s="26" t="str">
        <f t="shared" si="48"/>
        <v>cust_stat_1_KOR_common</v>
      </c>
      <c r="B58" s="25" t="s">
        <v>27</v>
      </c>
      <c r="C58" s="25" t="str">
        <f t="shared" si="49"/>
        <v>common</v>
      </c>
      <c r="D58" s="25" t="s">
        <v>147</v>
      </c>
      <c r="E58" s="25" t="s">
        <v>71</v>
      </c>
      <c r="F58" s="25" t="str">
        <f t="shared" si="50"/>
        <v>gb</v>
      </c>
      <c r="G58" s="25"/>
      <c r="H58" s="35" t="str">
        <f t="shared" si="44"/>
        <v>[["1000","정상"],["2000","악성미수금","blue"],["3000","현금출고"],["9000","거래정지","red"]]</v>
      </c>
      <c r="I58" s="35" t="str">
        <f t="shared" si="45"/>
        <v>1000:정상 2000:악성미수금:blue 3000:현금출고 9000:거래정지:red</v>
      </c>
      <c r="J58" s="35"/>
      <c r="K58" s="35" t="str">
        <f t="shared" si="51"/>
        <v>1000=정상|2000=악성미수금:blue|3000=현금출고|9000=거래정지:red</v>
      </c>
      <c r="L58" s="2"/>
      <c r="M58" s="36">
        <v>0</v>
      </c>
      <c r="N58" s="36">
        <v>0</v>
      </c>
      <c r="O58" s="36" t="s">
        <v>31</v>
      </c>
      <c r="P58" s="36" t="s">
        <v>31</v>
      </c>
      <c r="Q58" s="35" t="str">
        <f t="shared" si="46"/>
        <v>cust_stat_1 거래상태 (악성미수금 포함) [["1000","정상"],["2000","악성미수금","blue"],["3000","현금출고"],["9000","거래정지","red"]]</v>
      </c>
      <c r="R58" s="2" t="s">
        <v>921</v>
      </c>
      <c r="S58" s="2"/>
      <c r="T58" s="2"/>
      <c r="U58" s="2" t="s">
        <v>32</v>
      </c>
      <c r="V58" s="2"/>
      <c r="W58" s="2"/>
      <c r="X58" s="2"/>
      <c r="Y58" s="2"/>
      <c r="Z58" s="2"/>
      <c r="AA58" s="2"/>
      <c r="AB58" s="28" t="s">
        <v>591</v>
      </c>
      <c r="AC58" s="25" t="s">
        <v>660</v>
      </c>
      <c r="AD58" s="28" t="s">
        <v>592</v>
      </c>
      <c r="AE58" s="25" t="s">
        <v>575</v>
      </c>
      <c r="AF58" s="28" t="s">
        <v>600</v>
      </c>
      <c r="AG58" s="25" t="s">
        <v>577</v>
      </c>
      <c r="AH58" s="28" t="s">
        <v>661</v>
      </c>
      <c r="AI58" s="25" t="s">
        <v>578</v>
      </c>
      <c r="AJ58" s="28"/>
      <c r="AK58" s="25"/>
      <c r="AL58" s="28"/>
      <c r="AM58" s="25"/>
      <c r="AN58" s="28"/>
      <c r="AO58" s="25"/>
      <c r="AP58" s="28"/>
      <c r="AQ58" s="25"/>
      <c r="AR58" s="28"/>
      <c r="AS58" s="25"/>
      <c r="AT58" s="28"/>
      <c r="AU58" s="25"/>
      <c r="AV58" s="28"/>
      <c r="AW58" s="25"/>
      <c r="AX58" s="28"/>
      <c r="AY58" s="25"/>
      <c r="AZ58" s="28"/>
      <c r="BA58" s="25"/>
      <c r="BB58" s="28"/>
      <c r="BC58" s="25"/>
      <c r="BD58" s="28"/>
      <c r="BE58" s="25"/>
      <c r="BF58" s="28"/>
      <c r="BG58" s="25"/>
      <c r="BH58" s="28"/>
      <c r="BI58" s="25"/>
      <c r="BJ58" s="28"/>
      <c r="BK58" s="25"/>
      <c r="BL58" s="28"/>
      <c r="BM58" s="25"/>
      <c r="BN58" s="28"/>
      <c r="BO58" s="25"/>
      <c r="BP58" s="28"/>
      <c r="BQ58" s="25"/>
      <c r="BR58" s="28"/>
      <c r="BS58" s="25"/>
      <c r="BT58" s="28"/>
      <c r="BU58" s="25"/>
      <c r="BV58" s="28"/>
      <c r="BW58" s="25"/>
      <c r="BX58" s="28"/>
      <c r="BY58" s="25"/>
      <c r="CA58" s="1" t="str">
        <f t="shared" si="47"/>
        <v>delete from sscd_mast where sscd_idcd = 'cust_stat_1_KOR_common'  and site_idcd = 'common';</v>
      </c>
      <c r="CB58" s="5" t="str">
        <f>IF(E58&lt;&gt;"",CREATE_QUERY($B$1,A$2:AA$2,A58:AA58),"")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('cust_stat_1_KOR_common', 'KOR', 'common', 'cust_stat_1', '거래상태 (악성미수금 포함)', 'gb', '', '[["1000","정상"],["2000","악성미수금","blue"],["3000","현금출고"],["9000","거래정지","red"]]', '1000:정상 2000:악성미수금:blue 3000:현금출고 9000:거래정지:red', '', '1000=정상|2000=악성미수금:blue|3000=현금출고|9000=거래정지:red', '', '0', '0', '0', '0', 'cust_stat_1 거래상태 (악성미수금 포함) [["1000","정상"],["2000","악성미수금","blue"],["3000","현금출고"],["9000","거래정지","red"]]', ' ', '', '', ' ', '', '', '', '', '', '');</v>
      </c>
    </row>
    <row r="59" spans="1:115" ht="17">
      <c r="A59" s="26" t="str">
        <f t="shared" si="48"/>
        <v>insp_dvcd_KOR_common</v>
      </c>
      <c r="B59" s="25" t="s">
        <v>27</v>
      </c>
      <c r="C59" s="25" t="str">
        <f t="shared" si="49"/>
        <v>common</v>
      </c>
      <c r="D59" s="25" t="s">
        <v>329</v>
      </c>
      <c r="E59" s="25" t="s">
        <v>216</v>
      </c>
      <c r="F59" s="25" t="str">
        <f t="shared" si="50"/>
        <v>gb</v>
      </c>
      <c r="G59" s="25"/>
      <c r="H59" s="35" t="str">
        <f t="shared" si="44"/>
        <v>[["1000","무검사"],["2000","검사"],["3000","거래처검사"]]</v>
      </c>
      <c r="I59" s="35" t="str">
        <f t="shared" si="45"/>
        <v>1000:무검사 2000:검사 3000:거래처검사</v>
      </c>
      <c r="J59" s="35"/>
      <c r="K59" s="35" t="str">
        <f t="shared" si="51"/>
        <v>1000=무검사|2000=검사|3000=거래처검사</v>
      </c>
      <c r="L59" s="2"/>
      <c r="M59" s="36">
        <v>0</v>
      </c>
      <c r="N59" s="36">
        <v>0</v>
      </c>
      <c r="O59" s="36" t="s">
        <v>31</v>
      </c>
      <c r="P59" s="36" t="s">
        <v>31</v>
      </c>
      <c r="Q59" s="35" t="str">
        <f t="shared" si="46"/>
        <v>insp_dvcd 검사구분코드 [["1000","무검사"],["2000","검사"],["3000","거래처검사"]]</v>
      </c>
      <c r="R59" s="2" t="s">
        <v>921</v>
      </c>
      <c r="S59" s="2"/>
      <c r="T59" s="2"/>
      <c r="U59" s="2"/>
      <c r="V59" s="2"/>
      <c r="W59" s="2"/>
      <c r="X59" s="2"/>
      <c r="Y59" s="2"/>
      <c r="Z59" s="2"/>
      <c r="AA59" s="2"/>
      <c r="AB59" s="28" t="s">
        <v>591</v>
      </c>
      <c r="AC59" s="25" t="s">
        <v>379</v>
      </c>
      <c r="AD59" s="28" t="s">
        <v>592</v>
      </c>
      <c r="AE59" s="25" t="s">
        <v>380</v>
      </c>
      <c r="AF59" s="28" t="s">
        <v>600</v>
      </c>
      <c r="AG59" s="25" t="s">
        <v>381</v>
      </c>
      <c r="AH59" s="28"/>
      <c r="AI59" s="25"/>
      <c r="AJ59" s="28"/>
      <c r="AK59" s="25"/>
      <c r="AL59" s="28"/>
      <c r="AM59" s="25"/>
      <c r="AN59" s="28"/>
      <c r="AO59" s="25"/>
      <c r="AP59" s="28"/>
      <c r="AQ59" s="25"/>
      <c r="AR59" s="28"/>
      <c r="AS59" s="25"/>
      <c r="AT59" s="28"/>
      <c r="AU59" s="25"/>
      <c r="AV59" s="28"/>
      <c r="AW59" s="25"/>
      <c r="AX59" s="28"/>
      <c r="AY59" s="25"/>
      <c r="AZ59" s="28"/>
      <c r="BA59" s="25"/>
      <c r="BB59" s="28"/>
      <c r="BC59" s="25"/>
      <c r="BD59" s="28"/>
      <c r="BE59" s="25"/>
      <c r="BF59" s="28"/>
      <c r="BG59" s="25"/>
      <c r="BH59" s="28"/>
      <c r="BI59" s="25"/>
      <c r="BJ59" s="28"/>
      <c r="BK59" s="25"/>
      <c r="BL59" s="28"/>
      <c r="BM59" s="25"/>
      <c r="BN59" s="28"/>
      <c r="BO59" s="25"/>
      <c r="BP59" s="28"/>
      <c r="BQ59" s="25"/>
      <c r="BR59" s="28"/>
      <c r="BS59" s="25"/>
      <c r="BT59" s="28"/>
      <c r="BU59" s="25"/>
      <c r="BV59" s="28"/>
      <c r="BW59" s="25"/>
      <c r="BX59" s="28"/>
      <c r="BY59" s="25"/>
      <c r="CA59" s="1" t="str">
        <f t="shared" si="47"/>
        <v>delete from sscd_mast where sscd_idcd = 'insp_dvcd_KOR_common'  and site_idcd = 'common';</v>
      </c>
      <c r="CB59" s="5" t="str">
        <f>IF(E59&lt;&gt;"",CREATE_QUERY($B$1,A$2:AA$2,A59:AA59),"")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('insp_dvcd_KOR_common', 'KOR', 'common', 'insp_dvcd', '검사구분코드', 'gb', '', '[["1000","무검사"],["2000","검사"],["3000","거래처검사"]]', '1000:무검사 2000:검사 3000:거래처검사', '', '1000=무검사|2000=검사|3000=거래처검사', '', '0', '0', '0', '0', 'insp_dvcd 검사구분코드 [["1000","무검사"],["2000","검사"],["3000","거래처검사"]]', ' ', '', '', '', '', '', '', '', '', '');</v>
      </c>
    </row>
    <row r="60" spans="1:115" ht="17">
      <c r="A60" s="26" t="str">
        <f t="shared" si="48"/>
        <v>insp_mthd_dvcd_KOR_common</v>
      </c>
      <c r="B60" s="25" t="s">
        <v>27</v>
      </c>
      <c r="C60" s="25" t="str">
        <f t="shared" si="49"/>
        <v>common</v>
      </c>
      <c r="D60" s="25" t="s">
        <v>286</v>
      </c>
      <c r="E60" s="25" t="s">
        <v>172</v>
      </c>
      <c r="F60" s="25" t="str">
        <f t="shared" si="50"/>
        <v>gb</v>
      </c>
      <c r="G60" s="25"/>
      <c r="H60" s="35" t="str">
        <f t="shared" si="44"/>
        <v>[["1000","전수검사"],["2000","Sample"],["3000","무검사"]]</v>
      </c>
      <c r="I60" s="35" t="str">
        <f t="shared" si="45"/>
        <v>1000:전수검사 2000:Sample 3000:무검사</v>
      </c>
      <c r="J60" s="35"/>
      <c r="K60" s="35" t="str">
        <f t="shared" si="51"/>
        <v>1000=전수검사|2000=Sample|3000=무검사</v>
      </c>
      <c r="L60" s="2"/>
      <c r="M60" s="36">
        <v>0</v>
      </c>
      <c r="N60" s="36">
        <v>0</v>
      </c>
      <c r="O60" s="36" t="s">
        <v>31</v>
      </c>
      <c r="P60" s="36" t="s">
        <v>31</v>
      </c>
      <c r="Q60" s="35" t="str">
        <f t="shared" si="46"/>
        <v>insp_mthd_dvcd 검사방법구분코드 [["1000","전수검사"],["2000","Sample"],["3000","무검사"]]</v>
      </c>
      <c r="R60" s="2" t="s">
        <v>921</v>
      </c>
      <c r="S60" s="2"/>
      <c r="T60" s="2"/>
      <c r="U60" s="2"/>
      <c r="V60" s="2"/>
      <c r="W60" s="2"/>
      <c r="X60" s="2"/>
      <c r="Y60" s="2"/>
      <c r="Z60" s="2"/>
      <c r="AA60" s="2"/>
      <c r="AB60" s="28" t="s">
        <v>591</v>
      </c>
      <c r="AC60" s="25" t="s">
        <v>382</v>
      </c>
      <c r="AD60" s="28" t="s">
        <v>592</v>
      </c>
      <c r="AE60" s="25" t="s">
        <v>383</v>
      </c>
      <c r="AF60" s="28" t="s">
        <v>600</v>
      </c>
      <c r="AG60" s="25" t="s">
        <v>2461</v>
      </c>
      <c r="AH60" s="28"/>
      <c r="AI60" s="25"/>
      <c r="AJ60" s="28"/>
      <c r="AK60" s="25"/>
      <c r="AL60" s="28"/>
      <c r="AM60" s="25"/>
      <c r="AN60" s="28"/>
      <c r="AO60" s="25"/>
      <c r="AP60" s="28"/>
      <c r="AQ60" s="25"/>
      <c r="AR60" s="28"/>
      <c r="AS60" s="25"/>
      <c r="AT60" s="28"/>
      <c r="AU60" s="25"/>
      <c r="AV60" s="28"/>
      <c r="AW60" s="25"/>
      <c r="AX60" s="28"/>
      <c r="AY60" s="25"/>
      <c r="AZ60" s="28"/>
      <c r="BA60" s="25"/>
      <c r="BB60" s="28"/>
      <c r="BC60" s="25"/>
      <c r="BD60" s="28"/>
      <c r="BE60" s="25"/>
      <c r="BF60" s="28"/>
      <c r="BG60" s="25"/>
      <c r="BH60" s="28"/>
      <c r="BI60" s="25"/>
      <c r="BJ60" s="28"/>
      <c r="BK60" s="25"/>
      <c r="BL60" s="28"/>
      <c r="BM60" s="25"/>
      <c r="BN60" s="28"/>
      <c r="BO60" s="25"/>
      <c r="BP60" s="28"/>
      <c r="BQ60" s="25"/>
      <c r="BR60" s="28"/>
      <c r="BS60" s="25"/>
      <c r="BT60" s="28"/>
      <c r="BU60" s="25"/>
      <c r="BV60" s="28"/>
      <c r="BW60" s="25"/>
      <c r="BX60" s="28"/>
      <c r="BY60" s="25"/>
      <c r="CA60" s="1" t="str">
        <f t="shared" si="47"/>
        <v>delete from sscd_mast where sscd_idcd = 'insp_mthd_dvcd_KOR_common'  and site_idcd = 'common';</v>
      </c>
      <c r="CB60" s="5" t="str">
        <f>IF(E60&lt;&gt;"",CREATE_QUERY($B$1,A$2:AA$2,A60:AA60),"")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('insp_mthd_dvcd_KOR_common', 'KOR', 'common', 'insp_mthd_dvcd', '검사방법구분코드', 'gb', '', '[["1000","전수검사"],["2000","Sample"],["3000","무검사"]]', '1000:전수검사 2000:Sample 3000:무검사', '', '1000=전수검사|2000=Sample|3000=무검사', '', '0', '0', '0', '0', 'insp_mthd_dvcd 검사방법구분코드 [["1000","전수검사"],["2000","Sample"],["3000","무검사"]]', ' ', '', '', '', '', '', '', '', '', '');</v>
      </c>
    </row>
    <row r="61" spans="1:115" ht="17">
      <c r="A61" s="26" t="str">
        <f t="shared" si="48"/>
        <v>insp_sbsc_dvcd_KOR_common</v>
      </c>
      <c r="B61" s="25" t="s">
        <v>27</v>
      </c>
      <c r="C61" s="25" t="str">
        <f t="shared" si="49"/>
        <v>common</v>
      </c>
      <c r="D61" s="25" t="s">
        <v>342</v>
      </c>
      <c r="E61" s="25" t="s">
        <v>230</v>
      </c>
      <c r="F61" s="25" t="str">
        <f t="shared" si="50"/>
        <v>gb</v>
      </c>
      <c r="G61" s="25"/>
      <c r="H61" s="35" t="str">
        <f t="shared" si="44"/>
        <v>[["1000","크기"],["2000","무게"],["3000","가공상태"],["4000","두깨"]]</v>
      </c>
      <c r="I61" s="35" t="str">
        <f t="shared" si="45"/>
        <v>1000:크기 2000:무게 3000:가공상태 4000:두깨</v>
      </c>
      <c r="J61" s="35"/>
      <c r="K61" s="35" t="str">
        <f t="shared" si="51"/>
        <v>1000=크기|2000=무게|3000=가공상태|4000=두깨</v>
      </c>
      <c r="L61" s="2"/>
      <c r="M61" s="36">
        <v>0</v>
      </c>
      <c r="N61" s="36">
        <v>0</v>
      </c>
      <c r="O61" s="36" t="s">
        <v>31</v>
      </c>
      <c r="P61" s="36" t="s">
        <v>31</v>
      </c>
      <c r="Q61" s="35" t="str">
        <f t="shared" si="46"/>
        <v>insp_sbsc_dvcd 검사항목구분코드 [["1000","크기"],["2000","무게"],["3000","가공상태"],["4000","두깨"]]</v>
      </c>
      <c r="R61" s="2" t="s">
        <v>921</v>
      </c>
      <c r="S61" s="2"/>
      <c r="T61" s="2"/>
      <c r="U61" s="2"/>
      <c r="V61" s="2"/>
      <c r="W61" s="2"/>
      <c r="X61" s="2"/>
      <c r="Y61" s="2"/>
      <c r="Z61" s="2"/>
      <c r="AA61" s="2"/>
      <c r="AB61" s="28" t="s">
        <v>591</v>
      </c>
      <c r="AC61" s="25" t="s">
        <v>384</v>
      </c>
      <c r="AD61" s="28" t="s">
        <v>592</v>
      </c>
      <c r="AE61" s="25" t="s">
        <v>385</v>
      </c>
      <c r="AF61" s="28" t="s">
        <v>600</v>
      </c>
      <c r="AG61" s="25" t="s">
        <v>3160</v>
      </c>
      <c r="AH61" s="28" t="s">
        <v>601</v>
      </c>
      <c r="AI61" s="25" t="s">
        <v>3161</v>
      </c>
      <c r="AJ61" s="28"/>
      <c r="AK61" s="25"/>
      <c r="AL61" s="28"/>
      <c r="AM61" s="25"/>
      <c r="AN61" s="28"/>
      <c r="AO61" s="25"/>
      <c r="AP61" s="28"/>
      <c r="AQ61" s="25"/>
      <c r="AR61" s="28"/>
      <c r="AS61" s="25"/>
      <c r="AT61" s="28"/>
      <c r="AU61" s="25"/>
      <c r="AV61" s="28"/>
      <c r="AW61" s="25"/>
      <c r="AX61" s="28"/>
      <c r="AY61" s="25"/>
      <c r="AZ61" s="28"/>
      <c r="BA61" s="25"/>
      <c r="BB61" s="28"/>
      <c r="BC61" s="25"/>
      <c r="BD61" s="28"/>
      <c r="BE61" s="25"/>
      <c r="BF61" s="28"/>
      <c r="BG61" s="25"/>
      <c r="BH61" s="28"/>
      <c r="BI61" s="25"/>
      <c r="BJ61" s="28"/>
      <c r="BK61" s="25"/>
      <c r="BL61" s="28"/>
      <c r="BM61" s="25"/>
      <c r="BN61" s="28"/>
      <c r="BO61" s="25"/>
      <c r="BP61" s="28"/>
      <c r="BQ61" s="25"/>
      <c r="BR61" s="28"/>
      <c r="BS61" s="25"/>
      <c r="BT61" s="28"/>
      <c r="BU61" s="25"/>
      <c r="BV61" s="28"/>
      <c r="BW61" s="25"/>
      <c r="BX61" s="28"/>
      <c r="BY61" s="25"/>
      <c r="CA61" s="1" t="str">
        <f t="shared" si="47"/>
        <v>delete from sscd_mast where sscd_idcd = 'insp_sbsc_dvcd_KOR_common'  and site_idcd = 'common';</v>
      </c>
      <c r="CB61" s="5" t="str">
        <f>IF(E61&lt;&gt;"",CREATE_QUERY($B$1,A$2:AA$2,A61:AA61),"")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('insp_sbsc_dvcd_KOR_common', 'KOR', 'common', 'insp_sbsc_dvcd', '검사항목구분코드', 'gb', '', '[["1000","크기"],["2000","무게"],["3000","가공상태"],["4000","두깨"]]', '1000:크기 2000:무게 3000:가공상태 4000:두깨', '', '1000=크기|2000=무게|3000=가공상태|4000=두깨', '', '0', '0', '0', '0', 'insp_sbsc_dvcd 검사항목구분코드 [["1000","크기"],["2000","무게"],["3000","가공상태"],["4000","두깨"]]', ' ', '', '', '', '', '', '', '', '', '');</v>
      </c>
    </row>
    <row r="62" spans="1:115" ht="17">
      <c r="A62" s="26" t="str">
        <f t="shared" si="48"/>
        <v>itm_memo_KOR_common</v>
      </c>
      <c r="B62" s="25" t="s">
        <v>27</v>
      </c>
      <c r="C62" s="25" t="str">
        <f t="shared" si="49"/>
        <v>common</v>
      </c>
      <c r="D62" s="25" t="s">
        <v>63</v>
      </c>
      <c r="E62" s="25" t="s">
        <v>64</v>
      </c>
      <c r="F62" s="25" t="str">
        <f t="shared" si="50"/>
        <v>gb</v>
      </c>
      <c r="G62" s="25"/>
      <c r="H62" s="35" t="str">
        <f t="shared" si="44"/>
        <v>[["1000","없음"],["2000","단종"],["3000","업체결품"],["4000","사업장결품"],["5000","수입결품"],["6000","대체품목"],["7000","업체직송"]]</v>
      </c>
      <c r="I62" s="35" t="str">
        <f t="shared" si="45"/>
        <v>1000:없음 2000:단종 3000:업체결품 4000:사업장결품 5000:수입결품 6000:대체품목 7000:업체직송</v>
      </c>
      <c r="J62" s="35"/>
      <c r="K62" s="35" t="str">
        <f t="shared" si="51"/>
        <v>1000=없음|2000=단종|3000=업체결품|4000=사업장결품|5000=수입결품|6000=대체품목|7000=업체직송</v>
      </c>
      <c r="L62" s="2"/>
      <c r="M62" s="36">
        <v>0</v>
      </c>
      <c r="N62" s="36">
        <v>0</v>
      </c>
      <c r="O62" s="36" t="s">
        <v>31</v>
      </c>
      <c r="P62" s="36" t="s">
        <v>31</v>
      </c>
      <c r="Q62" s="35" t="str">
        <f t="shared" si="46"/>
        <v>itm_memo 검수 미출고사유 메모 [["1000","없음"],["2000","단종"],["3000","업체결품"],["4000","사업장결품"],["5000","수입결품"],["6000","대체품목"],["7000","업체직송"]]</v>
      </c>
      <c r="R62" s="2" t="s">
        <v>921</v>
      </c>
      <c r="S62" s="2"/>
      <c r="T62" s="2"/>
      <c r="U62" s="2" t="s">
        <v>32</v>
      </c>
      <c r="V62" s="2"/>
      <c r="W62" s="2"/>
      <c r="X62" s="2"/>
      <c r="Y62" s="2"/>
      <c r="Z62" s="2"/>
      <c r="AA62" s="2"/>
      <c r="AB62" s="28" t="s">
        <v>591</v>
      </c>
      <c r="AC62" s="25" t="s">
        <v>386</v>
      </c>
      <c r="AD62" s="28" t="s">
        <v>592</v>
      </c>
      <c r="AE62" s="25" t="s">
        <v>387</v>
      </c>
      <c r="AF62" s="28" t="s">
        <v>600</v>
      </c>
      <c r="AG62" s="25" t="s">
        <v>388</v>
      </c>
      <c r="AH62" s="28" t="s">
        <v>601</v>
      </c>
      <c r="AI62" s="25" t="s">
        <v>579</v>
      </c>
      <c r="AJ62" s="28" t="s">
        <v>626</v>
      </c>
      <c r="AK62" s="25" t="s">
        <v>580</v>
      </c>
      <c r="AL62" s="28" t="s">
        <v>628</v>
      </c>
      <c r="AM62" s="25" t="s">
        <v>581</v>
      </c>
      <c r="AN62" s="28" t="s">
        <v>629</v>
      </c>
      <c r="AO62" s="25" t="s">
        <v>583</v>
      </c>
      <c r="AP62" s="28"/>
      <c r="AQ62" s="25"/>
      <c r="AR62" s="28"/>
      <c r="AS62" s="25"/>
      <c r="AT62" s="28"/>
      <c r="AU62" s="25"/>
      <c r="AV62" s="28"/>
      <c r="AW62" s="25"/>
      <c r="AX62" s="28"/>
      <c r="AY62" s="25"/>
      <c r="AZ62" s="28"/>
      <c r="BA62" s="25"/>
      <c r="BB62" s="28"/>
      <c r="BC62" s="25"/>
      <c r="BD62" s="28"/>
      <c r="BE62" s="25"/>
      <c r="BF62" s="28"/>
      <c r="BG62" s="25"/>
      <c r="BH62" s="28"/>
      <c r="BI62" s="25"/>
      <c r="BJ62" s="28"/>
      <c r="BK62" s="25"/>
      <c r="BL62" s="28"/>
      <c r="BM62" s="25"/>
      <c r="BN62" s="28"/>
      <c r="BO62" s="25"/>
      <c r="BP62" s="28"/>
      <c r="BQ62" s="25"/>
      <c r="BR62" s="28"/>
      <c r="BS62" s="25"/>
      <c r="BT62" s="28"/>
      <c r="BU62" s="25"/>
      <c r="BV62" s="28"/>
      <c r="BW62" s="25"/>
      <c r="BX62" s="28"/>
      <c r="BY62" s="25"/>
      <c r="CA62" s="1" t="str">
        <f t="shared" si="47"/>
        <v>delete from sscd_mast where sscd_idcd = 'itm_memo_KOR_common'  and site_idcd = 'common';</v>
      </c>
      <c r="CB62" s="5" t="str">
        <f>IF(E62&lt;&gt;"",CREATE_QUERY($B$1,A$2:AA$2,A62:AA62),"")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('itm_memo_KOR_common', 'KOR', 'common', 'itm_memo', '검수 미출고사유 메모', 'gb', '', '[["1000","없음"],["2000","단종"],["3000","업체결품"],["4000","사업장결품"],["5000","수입결품"],["6000","대체품목"],["7000","업체직송"]]', '1000:없음 2000:단종 3000:업체결품 4000:사업장결품 5000:수입결품 6000:대체품목 7000:업체직송', '', '1000=없음|2000=단종|3000=업체결품|4000=사업장결품|5000=수입결품|6000=대체품목|7000=업체직송', '', '0', '0', '0', '0', 'itm_memo 검수 미출고사유 메모 [["1000","없음"],["2000","단종"],["3000","업체결품"],["4000","사업장결품"],["5000","수입결품"],["6000","대체품목"],["7000","업체직송"]]', ' ', '', '', ' ', '', '', '', '', '', '');</v>
      </c>
    </row>
    <row r="63" spans="1:115" ht="17">
      <c r="A63" s="26" t="str">
        <f t="shared" si="48"/>
        <v>esti_stat_KOR_common</v>
      </c>
      <c r="B63" s="25" t="s">
        <v>27</v>
      </c>
      <c r="C63" s="25" t="str">
        <f t="shared" si="49"/>
        <v>common</v>
      </c>
      <c r="D63" s="25" t="s">
        <v>148</v>
      </c>
      <c r="E63" s="25" t="s">
        <v>103</v>
      </c>
      <c r="F63" s="25" t="str">
        <f t="shared" si="50"/>
        <v>gb</v>
      </c>
      <c r="G63" s="25"/>
      <c r="H63" s="35" t="str">
        <f t="shared" si="44"/>
        <v>[["0100","주문대기"],["0200","주문처리"],["0300","매출처리"]]</v>
      </c>
      <c r="I63" s="35" t="str">
        <f t="shared" si="45"/>
        <v>0100:주문대기 0200:주문처리 0300:매출처리</v>
      </c>
      <c r="J63" s="35"/>
      <c r="K63" s="35" t="str">
        <f t="shared" si="51"/>
        <v>0100=주문대기|0200=주문처리|0300=매출처리</v>
      </c>
      <c r="L63" s="2"/>
      <c r="M63" s="36">
        <v>0</v>
      </c>
      <c r="N63" s="36">
        <v>0</v>
      </c>
      <c r="O63" s="36" t="s">
        <v>31</v>
      </c>
      <c r="P63" s="36" t="s">
        <v>31</v>
      </c>
      <c r="Q63" s="35" t="str">
        <f t="shared" si="46"/>
        <v>esti_stat 견적 상태 정보 [["0100","주문대기"],["0200","주문처리"],["0300","매출처리"]]</v>
      </c>
      <c r="R63" s="2" t="s">
        <v>921</v>
      </c>
      <c r="S63" s="2"/>
      <c r="T63" s="2"/>
      <c r="U63" s="2" t="s">
        <v>32</v>
      </c>
      <c r="V63" s="2"/>
      <c r="W63" s="2"/>
      <c r="X63" s="2"/>
      <c r="Y63" s="2"/>
      <c r="Z63" s="2"/>
      <c r="AA63" s="2"/>
      <c r="AB63" s="29" t="s">
        <v>2456</v>
      </c>
      <c r="AC63" s="25" t="s">
        <v>389</v>
      </c>
      <c r="AD63" s="29" t="s">
        <v>584</v>
      </c>
      <c r="AE63" s="25" t="s">
        <v>390</v>
      </c>
      <c r="AF63" s="29" t="s">
        <v>585</v>
      </c>
      <c r="AG63" s="25" t="s">
        <v>391</v>
      </c>
      <c r="AH63" s="29"/>
      <c r="AI63" s="25"/>
      <c r="AJ63" s="29"/>
      <c r="AK63" s="25"/>
      <c r="AL63" s="29"/>
      <c r="AM63" s="25"/>
      <c r="AN63" s="29"/>
      <c r="AO63" s="25"/>
      <c r="AP63" s="29"/>
      <c r="AQ63" s="25"/>
      <c r="AR63" s="29"/>
      <c r="AS63" s="25"/>
      <c r="AT63" s="29"/>
      <c r="AU63" s="25"/>
      <c r="AV63" s="29"/>
      <c r="AW63" s="25"/>
      <c r="AX63" s="29"/>
      <c r="AY63" s="25"/>
      <c r="AZ63" s="29"/>
      <c r="BA63" s="25"/>
      <c r="BB63" s="29"/>
      <c r="BC63" s="25"/>
      <c r="BD63" s="29"/>
      <c r="BE63" s="25"/>
      <c r="BF63" s="29"/>
      <c r="BG63" s="25"/>
      <c r="BH63" s="29"/>
      <c r="BI63" s="25"/>
      <c r="BJ63" s="29"/>
      <c r="BK63" s="25"/>
      <c r="BL63" s="29"/>
      <c r="BM63" s="25"/>
      <c r="BN63" s="29"/>
      <c r="BO63" s="25"/>
      <c r="BP63" s="29"/>
      <c r="BQ63" s="25"/>
      <c r="BR63" s="29"/>
      <c r="BS63" s="25"/>
      <c r="BT63" s="29"/>
      <c r="BU63" s="25"/>
      <c r="BV63" s="29"/>
      <c r="BW63" s="25"/>
      <c r="BX63" s="29"/>
      <c r="BY63" s="25"/>
      <c r="CA63" s="1" t="str">
        <f t="shared" si="47"/>
        <v>delete from sscd_mast where sscd_idcd = 'esti_stat_KOR_common'  and site_idcd = 'common';</v>
      </c>
      <c r="CB63" s="5" t="str">
        <f>IF(E63&lt;&gt;"",CREATE_QUERY($B$1,A$2:AA$2,A63:AA63),"")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('esti_stat_KOR_common', 'KOR', 'common', 'esti_stat', '견적 상태 정보', 'gb', '', '[["0100","주문대기"],["0200","주문처리"],["0300","매출처리"]]', '0100:주문대기 0200:주문처리 0300:매출처리', '', '0100=주문대기|0200=주문처리|0300=매출처리', '', '0', '0', '0', '0', 'esti_stat 견적 상태 정보 [["0100","주문대기"],["0200","주문처리"],["0300","매출처리"]]', ' ', '', '', ' ', '', '', '', '', '', '');</v>
      </c>
    </row>
    <row r="64" spans="1:115" ht="17">
      <c r="A64" s="26" t="str">
        <f t="shared" si="48"/>
        <v>esti_dt_dvcd_KOR_common</v>
      </c>
      <c r="B64" s="25" t="s">
        <v>27</v>
      </c>
      <c r="C64" s="25" t="str">
        <f t="shared" ref="C64:C82" si="54">IF(E64="","","common")</f>
        <v>common</v>
      </c>
      <c r="D64" s="25" t="s">
        <v>132</v>
      </c>
      <c r="E64" s="25" t="s">
        <v>76</v>
      </c>
      <c r="F64" s="25" t="str">
        <f t="shared" si="50"/>
        <v>gb</v>
      </c>
      <c r="G64" s="25"/>
      <c r="H64" s="35" t="str">
        <f t="shared" si="44"/>
        <v>[["1000","설정안함"],["2000","일숨김"],["3000","월숨김"],["4000","월일숨김"]]</v>
      </c>
      <c r="I64" s="35" t="str">
        <f t="shared" si="45"/>
        <v>1000:설정안함 2000:일숨김 3000:월숨김 4000:월일숨김</v>
      </c>
      <c r="J64" s="35"/>
      <c r="K64" s="35" t="str">
        <f t="shared" si="51"/>
        <v>1000=설정안함|2000=일숨김|3000=월숨김|4000=월일숨김</v>
      </c>
      <c r="L64" s="2"/>
      <c r="M64" s="36">
        <v>0</v>
      </c>
      <c r="N64" s="36">
        <v>0</v>
      </c>
      <c r="O64" s="36" t="s">
        <v>31</v>
      </c>
      <c r="P64" s="36" t="s">
        <v>31</v>
      </c>
      <c r="Q64" s="35" t="str">
        <f t="shared" si="46"/>
        <v>esti_dt_dvcd 견적서 일자 설정 구분 [["1000","설정안함"],["2000","일숨김"],["3000","월숨김"],["4000","월일숨김"]]</v>
      </c>
      <c r="R64" s="2" t="s">
        <v>921</v>
      </c>
      <c r="S64" s="2"/>
      <c r="T64" s="2"/>
      <c r="U64" s="2" t="s">
        <v>32</v>
      </c>
      <c r="V64" s="2"/>
      <c r="W64" s="2"/>
      <c r="X64" s="2"/>
      <c r="Y64" s="2"/>
      <c r="Z64" s="2"/>
      <c r="AA64" s="2"/>
      <c r="AB64" s="28" t="s">
        <v>591</v>
      </c>
      <c r="AC64" s="25" t="s">
        <v>392</v>
      </c>
      <c r="AD64" s="28" t="s">
        <v>592</v>
      </c>
      <c r="AE64" s="25" t="s">
        <v>586</v>
      </c>
      <c r="AF64" s="28" t="s">
        <v>600</v>
      </c>
      <c r="AG64" s="25" t="s">
        <v>587</v>
      </c>
      <c r="AH64" s="28" t="s">
        <v>601</v>
      </c>
      <c r="AI64" s="25" t="s">
        <v>588</v>
      </c>
      <c r="AJ64" s="28"/>
      <c r="AK64" s="25"/>
      <c r="AL64" s="28"/>
      <c r="AM64" s="25"/>
      <c r="AN64" s="28"/>
      <c r="AO64" s="25"/>
      <c r="AP64" s="28"/>
      <c r="AQ64" s="25"/>
      <c r="AR64" s="28"/>
      <c r="AS64" s="25"/>
      <c r="AT64" s="28"/>
      <c r="AU64" s="25"/>
      <c r="AV64" s="28"/>
      <c r="AW64" s="25"/>
      <c r="AX64" s="28"/>
      <c r="AY64" s="25"/>
      <c r="AZ64" s="28"/>
      <c r="BA64" s="25"/>
      <c r="BB64" s="28"/>
      <c r="BC64" s="25"/>
      <c r="BD64" s="28"/>
      <c r="BE64" s="25"/>
      <c r="BF64" s="28"/>
      <c r="BG64" s="25"/>
      <c r="BH64" s="28"/>
      <c r="BI64" s="25"/>
      <c r="BJ64" s="28"/>
      <c r="BK64" s="25"/>
      <c r="BL64" s="28"/>
      <c r="BM64" s="25"/>
      <c r="BN64" s="28"/>
      <c r="BO64" s="25"/>
      <c r="BP64" s="28"/>
      <c r="BQ64" s="25"/>
      <c r="BR64" s="28"/>
      <c r="BS64" s="25"/>
      <c r="BT64" s="28"/>
      <c r="BU64" s="25"/>
      <c r="BV64" s="28"/>
      <c r="BW64" s="25"/>
      <c r="BX64" s="28"/>
      <c r="BY64" s="25"/>
      <c r="CA64" s="1" t="str">
        <f t="shared" si="47"/>
        <v>delete from sscd_mast where sscd_idcd = 'esti_dt_dvcd_KOR_common'  and site_idcd = 'common';</v>
      </c>
      <c r="CB64" s="5" t="str">
        <f>IF(E64&lt;&gt;"",CREATE_QUERY($B$1,A$2:AA$2,A64:AA64),"")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('esti_dt_dvcd_KOR_common', 'KOR', 'common', 'esti_dt_dvcd', '견적서 일자 설정 구분', 'gb', '', '[["1000","설정안함"],["2000","일숨김"],["3000","월숨김"],["4000","월일숨김"]]', '1000:설정안함 2000:일숨김 3000:월숨김 4000:월일숨김', '', '1000=설정안함|2000=일숨김|3000=월숨김|4000=월일숨김', '', '0', '0', '0', '0', 'esti_dt_dvcd 견적서 일자 설정 구분 [["1000","설정안함"],["2000","일숨김"],["3000","월숨김"],["4000","월일숨김"]]', ' ', '', '', ' ', '', '', '', '', '', '');</v>
      </c>
    </row>
    <row r="65" spans="1:80" ht="17">
      <c r="A65" s="26" t="str">
        <f t="shared" si="48"/>
        <v>esti_group_dvcd_KOR_common</v>
      </c>
      <c r="B65" s="25" t="s">
        <v>27</v>
      </c>
      <c r="C65" s="25" t="str">
        <f t="shared" si="54"/>
        <v>common</v>
      </c>
      <c r="D65" s="25" t="s">
        <v>133</v>
      </c>
      <c r="E65" s="25" t="s">
        <v>77</v>
      </c>
      <c r="F65" s="25" t="str">
        <f t="shared" si="50"/>
        <v>gb</v>
      </c>
      <c r="G65" s="25"/>
      <c r="H65" s="35" t="str">
        <f t="shared" si="44"/>
        <v>[["1000","일자별"],["2000","품목별집계"]]</v>
      </c>
      <c r="I65" s="35" t="str">
        <f t="shared" si="45"/>
        <v>1000:일자별 2000:품목별집계</v>
      </c>
      <c r="J65" s="35"/>
      <c r="K65" s="35" t="str">
        <f t="shared" si="51"/>
        <v>1000=일자별|2000=품목별집계</v>
      </c>
      <c r="L65" s="2"/>
      <c r="M65" s="36">
        <v>0</v>
      </c>
      <c r="N65" s="36">
        <v>0</v>
      </c>
      <c r="O65" s="36" t="s">
        <v>31</v>
      </c>
      <c r="P65" s="36" t="s">
        <v>31</v>
      </c>
      <c r="Q65" s="35" t="str">
        <f t="shared" si="46"/>
        <v>esti_group_dvcd 견적서 집계 구분 [["1000","일자별"],["2000","품목별집계"]]</v>
      </c>
      <c r="R65" s="2" t="s">
        <v>921</v>
      </c>
      <c r="S65" s="2"/>
      <c r="T65" s="2"/>
      <c r="U65" s="2" t="s">
        <v>32</v>
      </c>
      <c r="V65" s="2"/>
      <c r="W65" s="2"/>
      <c r="X65" s="2"/>
      <c r="Y65" s="2"/>
      <c r="Z65" s="2"/>
      <c r="AA65" s="2"/>
      <c r="AB65" s="28" t="s">
        <v>591</v>
      </c>
      <c r="AC65" s="25" t="s">
        <v>393</v>
      </c>
      <c r="AD65" s="28" t="s">
        <v>592</v>
      </c>
      <c r="AE65" s="25" t="s">
        <v>564</v>
      </c>
      <c r="AF65" s="28"/>
      <c r="AG65" s="25"/>
      <c r="AH65" s="28"/>
      <c r="AI65" s="25"/>
      <c r="AJ65" s="28"/>
      <c r="AK65" s="25"/>
      <c r="AL65" s="28"/>
      <c r="AM65" s="25"/>
      <c r="AN65" s="28"/>
      <c r="AO65" s="25"/>
      <c r="AP65" s="28"/>
      <c r="AQ65" s="25"/>
      <c r="AR65" s="28"/>
      <c r="AS65" s="25"/>
      <c r="AT65" s="28"/>
      <c r="AU65" s="25"/>
      <c r="AV65" s="28"/>
      <c r="AW65" s="25"/>
      <c r="AX65" s="28"/>
      <c r="AY65" s="25"/>
      <c r="AZ65" s="28"/>
      <c r="BA65" s="25"/>
      <c r="BB65" s="28"/>
      <c r="BC65" s="25"/>
      <c r="BD65" s="28"/>
      <c r="BE65" s="25"/>
      <c r="BF65" s="28"/>
      <c r="BG65" s="25"/>
      <c r="BH65" s="28"/>
      <c r="BI65" s="25"/>
      <c r="BJ65" s="28"/>
      <c r="BK65" s="25"/>
      <c r="BL65" s="28"/>
      <c r="BM65" s="25"/>
      <c r="BN65" s="28"/>
      <c r="BO65" s="25"/>
      <c r="BP65" s="28"/>
      <c r="BQ65" s="25"/>
      <c r="BR65" s="28"/>
      <c r="BS65" s="25"/>
      <c r="BT65" s="28"/>
      <c r="BU65" s="25"/>
      <c r="BV65" s="28"/>
      <c r="BW65" s="25"/>
      <c r="BX65" s="28"/>
      <c r="BY65" s="25"/>
      <c r="CA65" s="1" t="str">
        <f t="shared" si="47"/>
        <v>delete from sscd_mast where sscd_idcd = 'esti_group_dvcd_KOR_common'  and site_idcd = 'common';</v>
      </c>
      <c r="CB65" s="5" t="str">
        <f>IF(E65&lt;&gt;"",CREATE_QUERY($B$1,A$2:AA$2,A65:AA65),"")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('esti_group_dvcd_KOR_common', 'KOR', 'common', 'esti_group_dvcd', '견적서 집계 구분', 'gb', '', '[["1000","일자별"],["2000","품목별집계"]]', '1000:일자별 2000:품목별집계', '', '1000=일자별|2000=품목별집계', '', '0', '0', '0', '0', 'esti_group_dvcd 견적서 집계 구분 [["1000","일자별"],["2000","품목별집계"]]', ' ', '', '', ' ', '', '', '', '', '', '');</v>
      </c>
    </row>
    <row r="66" spans="1:80" ht="17">
      <c r="A66" s="26" t="str">
        <f t="shared" si="48"/>
        <v>esti_item_dvcd_KOR_common</v>
      </c>
      <c r="B66" s="25" t="s">
        <v>27</v>
      </c>
      <c r="C66" s="25" t="str">
        <f t="shared" si="54"/>
        <v>common</v>
      </c>
      <c r="D66" s="25" t="s">
        <v>320</v>
      </c>
      <c r="E66" s="25" t="s">
        <v>207</v>
      </c>
      <c r="F66" s="25" t="str">
        <f t="shared" si="50"/>
        <v>gb</v>
      </c>
      <c r="G66" s="25"/>
      <c r="H66" s="35" t="str">
        <f t="shared" si="44"/>
        <v>[["1","등록품목"],["2","미등록품목"]]</v>
      </c>
      <c r="I66" s="35" t="str">
        <f t="shared" si="45"/>
        <v>1:등록품목 2:미등록품목</v>
      </c>
      <c r="J66" s="35"/>
      <c r="K66" s="35" t="str">
        <f t="shared" si="51"/>
        <v>1=등록품목|2=미등록품목</v>
      </c>
      <c r="L66" s="2"/>
      <c r="M66" s="36">
        <v>0</v>
      </c>
      <c r="N66" s="36">
        <v>0</v>
      </c>
      <c r="O66" s="36" t="s">
        <v>31</v>
      </c>
      <c r="P66" s="36" t="s">
        <v>31</v>
      </c>
      <c r="Q66" s="35" t="str">
        <f t="shared" si="46"/>
        <v>esti_item_dvcd 견적품목구분코드 [["1","등록품목"],["2","미등록품목"]]</v>
      </c>
      <c r="R66" s="2" t="s">
        <v>921</v>
      </c>
      <c r="S66" s="2"/>
      <c r="T66" s="2"/>
      <c r="U66" s="2"/>
      <c r="V66" s="2"/>
      <c r="W66" s="2"/>
      <c r="X66" s="2"/>
      <c r="Y66" s="2"/>
      <c r="Z66" s="2"/>
      <c r="AA66" s="2"/>
      <c r="AB66" s="28" t="s">
        <v>684</v>
      </c>
      <c r="AC66" s="25" t="s">
        <v>706</v>
      </c>
      <c r="AD66" s="28" t="s">
        <v>685</v>
      </c>
      <c r="AE66" s="25" t="s">
        <v>707</v>
      </c>
      <c r="AF66" s="28"/>
      <c r="AG66" s="25"/>
      <c r="AH66" s="28"/>
      <c r="AI66" s="25"/>
      <c r="AJ66" s="28"/>
      <c r="AK66" s="25"/>
      <c r="AL66" s="28"/>
      <c r="AM66" s="25"/>
      <c r="AN66" s="28"/>
      <c r="AO66" s="25"/>
      <c r="AP66" s="28"/>
      <c r="AQ66" s="25"/>
      <c r="AR66" s="28"/>
      <c r="AS66" s="25"/>
      <c r="AT66" s="28"/>
      <c r="AU66" s="25"/>
      <c r="AV66" s="28"/>
      <c r="AW66" s="25"/>
      <c r="AX66" s="28"/>
      <c r="AY66" s="25"/>
      <c r="AZ66" s="28"/>
      <c r="BA66" s="25"/>
      <c r="BB66" s="28"/>
      <c r="BC66" s="25"/>
      <c r="BD66" s="28"/>
      <c r="BE66" s="25"/>
      <c r="BF66" s="28"/>
      <c r="BG66" s="25"/>
      <c r="BH66" s="28"/>
      <c r="BI66" s="25"/>
      <c r="BJ66" s="28"/>
      <c r="BK66" s="25"/>
      <c r="BL66" s="28"/>
      <c r="BM66" s="25"/>
      <c r="BN66" s="28"/>
      <c r="BO66" s="25"/>
      <c r="BP66" s="28"/>
      <c r="BQ66" s="25"/>
      <c r="BR66" s="28"/>
      <c r="BS66" s="25"/>
      <c r="BT66" s="28"/>
      <c r="BU66" s="25"/>
      <c r="BV66" s="28"/>
      <c r="BW66" s="25"/>
      <c r="BX66" s="28"/>
      <c r="BY66" s="25"/>
      <c r="CA66" s="1" t="str">
        <f t="shared" si="47"/>
        <v>delete from sscd_mast where sscd_idcd = 'esti_item_dvcd_KOR_common'  and site_idcd = 'common';</v>
      </c>
      <c r="CB66" s="5" t="str">
        <f>IF(E66&lt;&gt;"",CREATE_QUERY($B$1,A$2:AA$2,A66:AA66),"")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('esti_item_dvcd_KOR_common', 'KOR', 'common', 'esti_item_dvcd', '견적품목구분코드', 'gb', '', '[["1","등록품목"],["2","미등록품목"]]', '1:등록품목 2:미등록품목', '', '1=등록품목|2=미등록품목', '', '0', '0', '0', '0', 'esti_item_dvcd 견적품목구분코드 [["1","등록품목"],["2","미등록품목"]]', ' ', '', '', '', '', '', '', '', '', '');</v>
      </c>
    </row>
    <row r="67" spans="1:80" ht="17">
      <c r="A67" s="26" t="str">
        <f t="shared" si="48"/>
        <v>rslt_iput_dvcd_KOR_common</v>
      </c>
      <c r="B67" s="25" t="s">
        <v>27</v>
      </c>
      <c r="C67" s="25" t="str">
        <f t="shared" si="54"/>
        <v>common</v>
      </c>
      <c r="D67" s="25" t="s">
        <v>348</v>
      </c>
      <c r="E67" s="25" t="s">
        <v>349</v>
      </c>
      <c r="F67" s="25" t="str">
        <f t="shared" si="50"/>
        <v>gb</v>
      </c>
      <c r="G67" s="25"/>
      <c r="H67" s="35" t="str">
        <f t="shared" si="44"/>
        <v>[["1000","숫자"],["2000","문자"]]</v>
      </c>
      <c r="I67" s="35" t="str">
        <f t="shared" si="45"/>
        <v>1000:숫자 2000:문자</v>
      </c>
      <c r="J67" s="35"/>
      <c r="K67" s="35" t="str">
        <f t="shared" si="51"/>
        <v>1000=숫자|2000=문자</v>
      </c>
      <c r="L67" s="2"/>
      <c r="M67" s="36">
        <v>0</v>
      </c>
      <c r="N67" s="36">
        <v>0</v>
      </c>
      <c r="O67" s="36" t="s">
        <v>31</v>
      </c>
      <c r="P67" s="36" t="s">
        <v>31</v>
      </c>
      <c r="Q67" s="35" t="str">
        <f t="shared" si="46"/>
        <v>rslt_iput_dvcd 결과입력구분코드 [["1000","숫자"],["2000","문자"]]</v>
      </c>
      <c r="R67" s="2" t="s">
        <v>921</v>
      </c>
      <c r="S67" s="2"/>
      <c r="T67" s="2"/>
      <c r="U67" s="2"/>
      <c r="V67" s="2"/>
      <c r="W67" s="2"/>
      <c r="X67" s="2"/>
      <c r="Y67" s="2"/>
      <c r="Z67" s="2"/>
      <c r="AA67" s="2"/>
      <c r="AB67" s="28" t="s">
        <v>591</v>
      </c>
      <c r="AC67" s="25" t="s">
        <v>377</v>
      </c>
      <c r="AD67" s="28" t="s">
        <v>592</v>
      </c>
      <c r="AE67" s="25" t="s">
        <v>378</v>
      </c>
      <c r="AF67" s="28"/>
      <c r="AG67" s="25"/>
      <c r="AH67" s="28"/>
      <c r="AI67" s="25"/>
      <c r="AJ67" s="28"/>
      <c r="AK67" s="25"/>
      <c r="AL67" s="28"/>
      <c r="AM67" s="25"/>
      <c r="AN67" s="28"/>
      <c r="AO67" s="25"/>
      <c r="AP67" s="28"/>
      <c r="AQ67" s="25"/>
      <c r="AR67" s="28"/>
      <c r="AS67" s="25"/>
      <c r="AT67" s="28"/>
      <c r="AU67" s="25"/>
      <c r="AV67" s="28"/>
      <c r="AW67" s="25"/>
      <c r="AX67" s="28"/>
      <c r="AY67" s="25"/>
      <c r="AZ67" s="28"/>
      <c r="BA67" s="25"/>
      <c r="BB67" s="28"/>
      <c r="BC67" s="25"/>
      <c r="BD67" s="28"/>
      <c r="BE67" s="25"/>
      <c r="BF67" s="28"/>
      <c r="BG67" s="25"/>
      <c r="BH67" s="28"/>
      <c r="BI67" s="25"/>
      <c r="BJ67" s="28"/>
      <c r="BK67" s="25"/>
      <c r="BL67" s="28"/>
      <c r="BM67" s="25"/>
      <c r="BN67" s="28"/>
      <c r="BO67" s="25"/>
      <c r="BP67" s="28"/>
      <c r="BQ67" s="25"/>
      <c r="BR67" s="28"/>
      <c r="BS67" s="25"/>
      <c r="BT67" s="28"/>
      <c r="BU67" s="25"/>
      <c r="BV67" s="28"/>
      <c r="BW67" s="25"/>
      <c r="BX67" s="28"/>
      <c r="BY67" s="25"/>
      <c r="CA67" s="1" t="str">
        <f t="shared" si="47"/>
        <v>delete from sscd_mast where sscd_idcd = 'rslt_iput_dvcd_KOR_common'  and site_idcd = 'common';</v>
      </c>
      <c r="CB67" s="5" t="str">
        <f>IF(E67&lt;&gt;"",CREATE_QUERY($B$1,A$2:AA$2,A67:AA67),"")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('rslt_iput_dvcd_KOR_common', 'KOR', 'common', 'rslt_iput_dvcd', '결과입력구분코드', 'gb', '', '[["1000","숫자"],["2000","문자"]]', '1000:숫자 2000:문자', '', '1000=숫자|2000=문자', '', '0', '0', '0', '0', 'rslt_iput_dvcd 결과입력구분코드 [["1000","숫자"],["2000","문자"]]', ' ', '', '', '', '', '', '', '', '', '');</v>
      </c>
    </row>
    <row r="68" spans="1:80" ht="17">
      <c r="A68" s="26" t="str">
        <f t="shared" si="48"/>
        <v>stot_stat_KOR_common</v>
      </c>
      <c r="B68" s="25" t="s">
        <v>27</v>
      </c>
      <c r="C68" s="25" t="str">
        <f t="shared" si="54"/>
        <v>common</v>
      </c>
      <c r="D68" s="25" t="s">
        <v>241</v>
      </c>
      <c r="E68" s="25" t="s">
        <v>90</v>
      </c>
      <c r="F68" s="25" t="str">
        <f t="shared" si="50"/>
        <v>gb</v>
      </c>
      <c r="G68" s="25"/>
      <c r="H68" s="35" t="str">
        <f t="shared" si="44"/>
        <v>[["1000","삭제"],["2000","승인취소"],["3000","정상"],["4000","승인취소"]]</v>
      </c>
      <c r="I68" s="35" t="str">
        <f t="shared" si="45"/>
        <v>1000:삭제 2000:승인취소 3000:정상 4000:승인취소</v>
      </c>
      <c r="J68" s="35"/>
      <c r="K68" s="35" t="str">
        <f t="shared" si="51"/>
        <v>1000=삭제|2000=승인취소|3000=정상|4000=승인취소</v>
      </c>
      <c r="L68" s="2"/>
      <c r="M68" s="36">
        <v>0</v>
      </c>
      <c r="N68" s="36">
        <v>0</v>
      </c>
      <c r="O68" s="36" t="s">
        <v>31</v>
      </c>
      <c r="P68" s="36" t="s">
        <v>31</v>
      </c>
      <c r="Q68" s="35" t="str">
        <f t="shared" si="46"/>
        <v>stot_stat 결제상태 [["1000","삭제"],["2000","승인취소"],["3000","정상"],["4000","승인취소"]]</v>
      </c>
      <c r="R68" s="2" t="s">
        <v>921</v>
      </c>
      <c r="S68" s="2"/>
      <c r="T68" s="2"/>
      <c r="U68" s="2" t="s">
        <v>32</v>
      </c>
      <c r="V68" s="2"/>
      <c r="W68" s="2"/>
      <c r="X68" s="2"/>
      <c r="Y68" s="2"/>
      <c r="Z68" s="2"/>
      <c r="AA68" s="2"/>
      <c r="AB68" s="28" t="s">
        <v>591</v>
      </c>
      <c r="AC68" s="25" t="s">
        <v>364</v>
      </c>
      <c r="AD68" s="28" t="s">
        <v>592</v>
      </c>
      <c r="AE68" s="25" t="s">
        <v>399</v>
      </c>
      <c r="AF68" s="28" t="s">
        <v>600</v>
      </c>
      <c r="AG68" s="25" t="s">
        <v>396</v>
      </c>
      <c r="AH68" s="28" t="s">
        <v>601</v>
      </c>
      <c r="AI68" s="25" t="s">
        <v>399</v>
      </c>
      <c r="AJ68" s="28"/>
      <c r="AK68" s="25"/>
      <c r="AL68" s="28"/>
      <c r="AM68" s="25"/>
      <c r="AN68" s="28"/>
      <c r="AO68" s="25"/>
      <c r="AP68" s="28"/>
      <c r="AQ68" s="25"/>
      <c r="AR68" s="28"/>
      <c r="AS68" s="25"/>
      <c r="AT68" s="28"/>
      <c r="AU68" s="25"/>
      <c r="AV68" s="28"/>
      <c r="AW68" s="25"/>
      <c r="AX68" s="28"/>
      <c r="AY68" s="25"/>
      <c r="AZ68" s="28"/>
      <c r="BA68" s="25"/>
      <c r="BB68" s="28"/>
      <c r="BC68" s="25"/>
      <c r="BD68" s="28"/>
      <c r="BE68" s="25"/>
      <c r="BF68" s="28"/>
      <c r="BG68" s="25"/>
      <c r="BH68" s="28"/>
      <c r="BI68" s="25"/>
      <c r="BJ68" s="28"/>
      <c r="BK68" s="25"/>
      <c r="BL68" s="28"/>
      <c r="BM68" s="25"/>
      <c r="BN68" s="28"/>
      <c r="BO68" s="25"/>
      <c r="BP68" s="28"/>
      <c r="BQ68" s="25"/>
      <c r="BR68" s="28"/>
      <c r="BS68" s="25"/>
      <c r="BT68" s="28"/>
      <c r="BU68" s="25"/>
      <c r="BV68" s="28"/>
      <c r="BW68" s="25"/>
      <c r="BX68" s="28"/>
      <c r="BY68" s="25"/>
      <c r="CA68" s="1" t="str">
        <f t="shared" si="47"/>
        <v>delete from sscd_mast where sscd_idcd = 'stot_stat_KOR_common'  and site_idcd = 'common';</v>
      </c>
      <c r="CB68" s="5" t="str">
        <f>IF(E68&lt;&gt;"",CREATE_QUERY($B$1,A$2:AA$2,A68:AA68),"")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('stot_stat_KOR_common', 'KOR', 'common', 'stot_stat', '결제상태', 'gb', '', '[["1000","삭제"],["2000","승인취소"],["3000","정상"],["4000","승인취소"]]', '1000:삭제 2000:승인취소 3000:정상 4000:승인취소', '', '1000=삭제|2000=승인취소|3000=정상|4000=승인취소', '', '0', '0', '0', '0', 'stot_stat 결제상태 [["1000","삭제"],["2000","승인취소"],["3000","정상"],["4000","승인취소"]]', ' ', '', '', ' ', '', '', '', '', '', '');</v>
      </c>
    </row>
    <row r="69" spans="1:80" ht="17">
      <c r="A69" s="26" t="str">
        <f t="shared" si="48"/>
        <v>stot_mthd_dvcd_KOR_common</v>
      </c>
      <c r="B69" s="25" t="s">
        <v>27</v>
      </c>
      <c r="C69" s="25" t="str">
        <f t="shared" si="54"/>
        <v>common</v>
      </c>
      <c r="D69" s="25" t="s">
        <v>242</v>
      </c>
      <c r="E69" s="25" t="s">
        <v>88</v>
      </c>
      <c r="F69" s="25" t="str">
        <f t="shared" si="50"/>
        <v>gb</v>
      </c>
      <c r="G69" s="25"/>
      <c r="H69" s="35" t="str">
        <f t="shared" si="44"/>
        <v>[["1000","카드"],["2000","현금"],["3000","PP카드"],["4000","상품권"]]</v>
      </c>
      <c r="I69" s="35" t="str">
        <f t="shared" si="45"/>
        <v>1000:카드 2000:현금 3000:PP카드 4000:상품권</v>
      </c>
      <c r="J69" s="35"/>
      <c r="K69" s="35" t="str">
        <f t="shared" si="51"/>
        <v>1000=카드|2000=현금|3000=PP카드|4000=상품권</v>
      </c>
      <c r="L69" s="2"/>
      <c r="M69" s="36">
        <v>0</v>
      </c>
      <c r="N69" s="36">
        <v>0</v>
      </c>
      <c r="O69" s="36" t="s">
        <v>31</v>
      </c>
      <c r="P69" s="36" t="s">
        <v>31</v>
      </c>
      <c r="Q69" s="35" t="str">
        <f t="shared" si="46"/>
        <v>stot_mthd_dvcd 결제수단 [["1000","카드"],["2000","현금"],["3000","PP카드"],["4000","상품권"]]</v>
      </c>
      <c r="R69" s="2" t="s">
        <v>921</v>
      </c>
      <c r="S69" s="2"/>
      <c r="T69" s="2"/>
      <c r="U69" s="2" t="s">
        <v>32</v>
      </c>
      <c r="V69" s="2"/>
      <c r="W69" s="2"/>
      <c r="X69" s="2"/>
      <c r="Y69" s="2"/>
      <c r="Z69" s="2"/>
      <c r="AA69" s="2"/>
      <c r="AB69" s="28" t="s">
        <v>591</v>
      </c>
      <c r="AC69" s="25" t="s">
        <v>400</v>
      </c>
      <c r="AD69" s="28" t="s">
        <v>592</v>
      </c>
      <c r="AE69" s="25" t="s">
        <v>401</v>
      </c>
      <c r="AF69" s="28" t="s">
        <v>600</v>
      </c>
      <c r="AG69" s="25" t="s">
        <v>402</v>
      </c>
      <c r="AH69" s="28" t="s">
        <v>601</v>
      </c>
      <c r="AI69" s="25" t="s">
        <v>403</v>
      </c>
      <c r="AJ69" s="28"/>
      <c r="AK69" s="25"/>
      <c r="AL69" s="28"/>
      <c r="AM69" s="25"/>
      <c r="AN69" s="28"/>
      <c r="AO69" s="25"/>
      <c r="AP69" s="28"/>
      <c r="AQ69" s="25"/>
      <c r="AR69" s="28"/>
      <c r="AS69" s="25"/>
      <c r="AT69" s="28"/>
      <c r="AU69" s="25"/>
      <c r="AV69" s="28"/>
      <c r="AW69" s="25"/>
      <c r="AX69" s="28"/>
      <c r="AY69" s="25"/>
      <c r="AZ69" s="28"/>
      <c r="BA69" s="25"/>
      <c r="BB69" s="28"/>
      <c r="BC69" s="25"/>
      <c r="BD69" s="28"/>
      <c r="BE69" s="25"/>
      <c r="BF69" s="28"/>
      <c r="BG69" s="25"/>
      <c r="BH69" s="28"/>
      <c r="BI69" s="25"/>
      <c r="BJ69" s="28"/>
      <c r="BK69" s="25"/>
      <c r="BL69" s="28"/>
      <c r="BM69" s="25"/>
      <c r="BN69" s="28"/>
      <c r="BO69" s="25"/>
      <c r="BP69" s="28"/>
      <c r="BQ69" s="25"/>
      <c r="BR69" s="28"/>
      <c r="BS69" s="25"/>
      <c r="BT69" s="28"/>
      <c r="BU69" s="25"/>
      <c r="BV69" s="28"/>
      <c r="BW69" s="25"/>
      <c r="BX69" s="28"/>
      <c r="BY69" s="25"/>
      <c r="CA69" s="1" t="str">
        <f t="shared" si="47"/>
        <v>delete from sscd_mast where sscd_idcd = 'stot_mthd_dvcd_KOR_common'  and site_idcd = 'common';</v>
      </c>
      <c r="CB69" s="5" t="str">
        <f>IF(E69&lt;&gt;"",CREATE_QUERY($B$1,A$2:AA$2,A69:AA69),"")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('stot_mthd_dvcd_KOR_common', 'KOR', 'common', 'stot_mthd_dvcd', '결제수단', 'gb', '', '[["1000","카드"],["2000","현금"],["3000","PP카드"],["4000","상품권"]]', '1000:카드 2000:현금 3000:PP카드 4000:상품권', '', '1000=카드|2000=현금|3000=PP카드|4000=상품권', '', '0', '0', '0', '0', 'stot_mthd_dvcd 결제수단 [["1000","카드"],["2000","현금"],["3000","PP카드"],["4000","상품권"]]', ' ', '', '', ' ', '', '', '', '', '', '');</v>
      </c>
    </row>
    <row r="70" spans="1:80" ht="17">
      <c r="A70" s="26" t="str">
        <f t="shared" si="48"/>
        <v>stot_type_KOR_common</v>
      </c>
      <c r="B70" s="25" t="s">
        <v>27</v>
      </c>
      <c r="C70" s="25" t="str">
        <f t="shared" si="54"/>
        <v>common</v>
      </c>
      <c r="D70" s="25" t="s">
        <v>243</v>
      </c>
      <c r="E70" s="25" t="s">
        <v>75</v>
      </c>
      <c r="F70" s="25" t="str">
        <f t="shared" si="50"/>
        <v>gb</v>
      </c>
      <c r="G70" s="25"/>
      <c r="H70" s="35" t="str">
        <f t="shared" ref="H70:H91" si="55">"[["""&amp;
SUBSTITUTE(SUBSTITUTE(I70,":",""",""")," ","""],[""")
&amp;"""]]"</f>
        <v>[["1000","현금(카드)"],["2000","월마감"],["3000","정산"]]</v>
      </c>
      <c r="I70" s="35" t="str">
        <f t="shared" si="45"/>
        <v>1000:현금(카드) 2000:월마감 3000:정산</v>
      </c>
      <c r="J70" s="35"/>
      <c r="K70" s="35" t="str">
        <f t="shared" si="51"/>
        <v>1000=현금(카드)|2000=월마감|3000=정산</v>
      </c>
      <c r="L70" s="2"/>
      <c r="M70" s="36">
        <v>0</v>
      </c>
      <c r="N70" s="36">
        <v>0</v>
      </c>
      <c r="O70" s="36" t="s">
        <v>31</v>
      </c>
      <c r="P70" s="36" t="s">
        <v>31</v>
      </c>
      <c r="Q70" s="35" t="str">
        <f t="shared" ref="Q70:Q91" si="56">IF(D70="","",D70&amp;" "&amp;E70&amp;" "&amp;H70)</f>
        <v>stot_type 결제유형 [["1000","현금(카드)"],["2000","월마감"],["3000","정산"]]</v>
      </c>
      <c r="R70" s="2" t="s">
        <v>921</v>
      </c>
      <c r="S70" s="2"/>
      <c r="T70" s="2"/>
      <c r="U70" s="2" t="s">
        <v>32</v>
      </c>
      <c r="V70" s="2"/>
      <c r="W70" s="2"/>
      <c r="X70" s="2"/>
      <c r="Y70" s="2"/>
      <c r="Z70" s="2"/>
      <c r="AA70" s="2"/>
      <c r="AB70" s="28" t="s">
        <v>591</v>
      </c>
      <c r="AC70" s="25" t="s">
        <v>404</v>
      </c>
      <c r="AD70" s="28" t="s">
        <v>592</v>
      </c>
      <c r="AE70" s="25" t="s">
        <v>405</v>
      </c>
      <c r="AF70" s="28" t="s">
        <v>600</v>
      </c>
      <c r="AG70" s="25" t="s">
        <v>406</v>
      </c>
      <c r="AH70" s="28"/>
      <c r="AI70" s="25"/>
      <c r="AJ70" s="28"/>
      <c r="AK70" s="25"/>
      <c r="AL70" s="28"/>
      <c r="AM70" s="25"/>
      <c r="AN70" s="28"/>
      <c r="AO70" s="25"/>
      <c r="AP70" s="28"/>
      <c r="AQ70" s="25"/>
      <c r="AR70" s="28"/>
      <c r="AS70" s="25"/>
      <c r="AT70" s="28"/>
      <c r="AU70" s="25"/>
      <c r="AV70" s="28"/>
      <c r="AW70" s="25"/>
      <c r="AX70" s="28"/>
      <c r="AY70" s="25"/>
      <c r="AZ70" s="28"/>
      <c r="BA70" s="25"/>
      <c r="BB70" s="28"/>
      <c r="BC70" s="25"/>
      <c r="BD70" s="28"/>
      <c r="BE70" s="25"/>
      <c r="BF70" s="28"/>
      <c r="BG70" s="25"/>
      <c r="BH70" s="28"/>
      <c r="BI70" s="25"/>
      <c r="BJ70" s="28"/>
      <c r="BK70" s="25"/>
      <c r="BL70" s="28"/>
      <c r="BM70" s="25"/>
      <c r="BN70" s="28"/>
      <c r="BO70" s="25"/>
      <c r="BP70" s="28"/>
      <c r="BQ70" s="25"/>
      <c r="BR70" s="28"/>
      <c r="BS70" s="25"/>
      <c r="BT70" s="28"/>
      <c r="BU70" s="25"/>
      <c r="BV70" s="28"/>
      <c r="BW70" s="25"/>
      <c r="BX70" s="28"/>
      <c r="BY70" s="25"/>
      <c r="CA70" s="1" t="str">
        <f t="shared" si="47"/>
        <v>delete from sscd_mast where sscd_idcd = 'stot_type_KOR_common'  and site_idcd = 'common';</v>
      </c>
      <c r="CB70" s="5" t="str">
        <f>IF(E70&lt;&gt;"",CREATE_QUERY($B$1,A$2:AA$2,A70:AA70),"")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('stot_type_KOR_common', 'KOR', 'common', 'stot_type', '결제유형', 'gb', '', '[["1000","현금(카드)"],["2000","월마감"],["3000","정산"]]', '1000:현금(카드) 2000:월마감 3000:정산', '', '1000=현금(카드)|2000=월마감|3000=정산', '', '0', '0', '0', '0', 'stot_type 결제유형 [["1000","현금(카드)"],["2000","월마감"],["3000","정산"]]', ' ', '', '', ' ', '', '', '', '', '', '');</v>
      </c>
    </row>
    <row r="71" spans="1:80" ht="17">
      <c r="A71" s="26" t="str">
        <f t="shared" si="48"/>
        <v>marr_dvcd_KOR_common</v>
      </c>
      <c r="B71" s="25" t="s">
        <v>27</v>
      </c>
      <c r="C71" s="25" t="str">
        <f t="shared" si="54"/>
        <v>common</v>
      </c>
      <c r="D71" s="25" t="s">
        <v>244</v>
      </c>
      <c r="E71" s="25" t="s">
        <v>111</v>
      </c>
      <c r="F71" s="25" t="str">
        <f t="shared" si="50"/>
        <v>gb</v>
      </c>
      <c r="G71" s="25"/>
      <c r="H71" s="35" t="str">
        <f t="shared" si="55"/>
        <v>[["1000","기혼"],["2000","미혼"]]</v>
      </c>
      <c r="I71" s="35" t="str">
        <f t="shared" si="45"/>
        <v>1000:기혼 2000:미혼</v>
      </c>
      <c r="J71" s="35"/>
      <c r="K71" s="35" t="str">
        <f t="shared" si="51"/>
        <v>1000=기혼|2000=미혼</v>
      </c>
      <c r="L71" s="2"/>
      <c r="M71" s="36">
        <v>0</v>
      </c>
      <c r="N71" s="36">
        <v>0</v>
      </c>
      <c r="O71" s="36" t="s">
        <v>31</v>
      </c>
      <c r="P71" s="36" t="s">
        <v>31</v>
      </c>
      <c r="Q71" s="35" t="str">
        <f t="shared" si="56"/>
        <v>marr_dvcd 결혼여부 [["1000","기혼"],["2000","미혼"]]</v>
      </c>
      <c r="R71" s="2" t="s">
        <v>921</v>
      </c>
      <c r="S71" s="2"/>
      <c r="T71" s="2"/>
      <c r="U71" s="2" t="s">
        <v>32</v>
      </c>
      <c r="V71" s="2"/>
      <c r="W71" s="2"/>
      <c r="X71" s="2"/>
      <c r="Y71" s="2"/>
      <c r="Z71" s="2"/>
      <c r="AA71" s="2"/>
      <c r="AB71" s="28" t="s">
        <v>591</v>
      </c>
      <c r="AC71" s="25" t="s">
        <v>662</v>
      </c>
      <c r="AD71" s="28" t="s">
        <v>592</v>
      </c>
      <c r="AE71" s="25" t="s">
        <v>565</v>
      </c>
      <c r="AF71" s="28"/>
      <c r="AG71" s="25"/>
      <c r="AH71" s="28"/>
      <c r="AI71" s="25"/>
      <c r="AJ71" s="28"/>
      <c r="AK71" s="25"/>
      <c r="AL71" s="28"/>
      <c r="AM71" s="25"/>
      <c r="AN71" s="28"/>
      <c r="AO71" s="25"/>
      <c r="AP71" s="28"/>
      <c r="AQ71" s="25"/>
      <c r="AR71" s="28"/>
      <c r="AS71" s="25"/>
      <c r="AT71" s="28"/>
      <c r="AU71" s="25"/>
      <c r="AV71" s="28"/>
      <c r="AW71" s="25"/>
      <c r="AX71" s="28"/>
      <c r="AY71" s="25"/>
      <c r="AZ71" s="28"/>
      <c r="BA71" s="25"/>
      <c r="BB71" s="28"/>
      <c r="BC71" s="25"/>
      <c r="BD71" s="28"/>
      <c r="BE71" s="25"/>
      <c r="BF71" s="28"/>
      <c r="BG71" s="25"/>
      <c r="BH71" s="28"/>
      <c r="BI71" s="25"/>
      <c r="BJ71" s="28"/>
      <c r="BK71" s="25"/>
      <c r="BL71" s="28"/>
      <c r="BM71" s="25"/>
      <c r="BN71" s="28"/>
      <c r="BO71" s="25"/>
      <c r="BP71" s="28"/>
      <c r="BQ71" s="25"/>
      <c r="BR71" s="28"/>
      <c r="BS71" s="25"/>
      <c r="BT71" s="28"/>
      <c r="BU71" s="25"/>
      <c r="BV71" s="28"/>
      <c r="BW71" s="25"/>
      <c r="BX71" s="28"/>
      <c r="BY71" s="25"/>
      <c r="CA71" s="1" t="str">
        <f t="shared" si="47"/>
        <v>delete from sscd_mast where sscd_idcd = 'marr_dvcd_KOR_common'  and site_idcd = 'common';</v>
      </c>
      <c r="CB71" s="5" t="str">
        <f>IF(E71&lt;&gt;"",CREATE_QUERY($B$1,A$2:AA$2,A71:AA71),"")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('marr_dvcd_KOR_common', 'KOR', 'common', 'marr_dvcd', '결혼여부', 'gb', '', '[["1000","기혼"],["2000","미혼"]]', '1000:기혼 2000:미혼', '', '1000=기혼|2000=미혼', '', '0', '0', '0', '0', 'marr_dvcd 결혼여부 [["1000","기혼"],["2000","미혼"]]', ' ', '', '', ' ', '', '', '', '', '', '');</v>
      </c>
    </row>
    <row r="72" spans="1:80" ht="17">
      <c r="A72" s="26" t="str">
        <f t="shared" si="48"/>
        <v>txbl_dvcd_KOR_common</v>
      </c>
      <c r="B72" s="25" t="s">
        <v>27</v>
      </c>
      <c r="C72" s="25" t="str">
        <f t="shared" si="54"/>
        <v>common</v>
      </c>
      <c r="D72" s="25" t="s">
        <v>245</v>
      </c>
      <c r="E72" s="25" t="s">
        <v>56</v>
      </c>
      <c r="F72" s="25" t="str">
        <f t="shared" si="50"/>
        <v>gb</v>
      </c>
      <c r="G72" s="25"/>
      <c r="H72" s="35" t="str">
        <f t="shared" si="55"/>
        <v>[["1000","일반세금계산서"],["2000","전자세금계산서"],["3000","eSero발행"]]</v>
      </c>
      <c r="I72" s="35" t="str">
        <f t="shared" si="45"/>
        <v>1000:일반세금계산서 2000:전자세금계산서 3000:eSero발행</v>
      </c>
      <c r="J72" s="35"/>
      <c r="K72" s="35" t="str">
        <f t="shared" si="51"/>
        <v>1000=일반세금계산서|2000=전자세금계산서|3000=eSero발행</v>
      </c>
      <c r="L72" s="2"/>
      <c r="M72" s="36">
        <v>0</v>
      </c>
      <c r="N72" s="36">
        <v>0</v>
      </c>
      <c r="O72" s="36" t="s">
        <v>31</v>
      </c>
      <c r="P72" s="36" t="s">
        <v>31</v>
      </c>
      <c r="Q72" s="35" t="str">
        <f t="shared" si="56"/>
        <v>txbl_dvcd 계산서 구분 코드 [["1000","일반세금계산서"],["2000","전자세금계산서"],["3000","eSero발행"]]</v>
      </c>
      <c r="R72" s="2" t="s">
        <v>921</v>
      </c>
      <c r="S72" s="2"/>
      <c r="T72" s="2"/>
      <c r="U72" s="2" t="s">
        <v>32</v>
      </c>
      <c r="V72" s="2"/>
      <c r="W72" s="2"/>
      <c r="X72" s="2"/>
      <c r="Y72" s="2"/>
      <c r="Z72" s="2"/>
      <c r="AA72" s="2"/>
      <c r="AB72" s="28" t="s">
        <v>591</v>
      </c>
      <c r="AC72" s="25" t="s">
        <v>408</v>
      </c>
      <c r="AD72" s="28" t="s">
        <v>592</v>
      </c>
      <c r="AE72" s="25" t="s">
        <v>409</v>
      </c>
      <c r="AF72" s="28" t="s">
        <v>600</v>
      </c>
      <c r="AG72" s="25" t="s">
        <v>589</v>
      </c>
      <c r="AH72" s="28"/>
      <c r="AI72" s="25"/>
      <c r="AJ72" s="28"/>
      <c r="AK72" s="25"/>
      <c r="AL72" s="28"/>
      <c r="AM72" s="25"/>
      <c r="AN72" s="28"/>
      <c r="AO72" s="25"/>
      <c r="AP72" s="28"/>
      <c r="AQ72" s="25"/>
      <c r="AR72" s="28"/>
      <c r="AS72" s="25"/>
      <c r="AT72" s="28"/>
      <c r="AU72" s="25"/>
      <c r="AV72" s="28"/>
      <c r="AW72" s="25"/>
      <c r="AX72" s="28"/>
      <c r="AY72" s="25"/>
      <c r="AZ72" s="28"/>
      <c r="BA72" s="25"/>
      <c r="BB72" s="28"/>
      <c r="BC72" s="25"/>
      <c r="BD72" s="28"/>
      <c r="BE72" s="25"/>
      <c r="BF72" s="28"/>
      <c r="BG72" s="25"/>
      <c r="BH72" s="28"/>
      <c r="BI72" s="25"/>
      <c r="BJ72" s="28"/>
      <c r="BK72" s="25"/>
      <c r="BL72" s="28"/>
      <c r="BM72" s="25"/>
      <c r="BN72" s="28"/>
      <c r="BO72" s="25"/>
      <c r="BP72" s="28"/>
      <c r="BQ72" s="25"/>
      <c r="BR72" s="28"/>
      <c r="BS72" s="25"/>
      <c r="BT72" s="28"/>
      <c r="BU72" s="25"/>
      <c r="BV72" s="28"/>
      <c r="BW72" s="25"/>
      <c r="BX72" s="28"/>
      <c r="BY72" s="25"/>
      <c r="CA72" s="1" t="str">
        <f t="shared" si="47"/>
        <v>delete from sscd_mast where sscd_idcd = 'txbl_dvcd_KOR_common'  and site_idcd = 'common';</v>
      </c>
      <c r="CB72" s="5" t="str">
        <f>IF(E72&lt;&gt;"",CREATE_QUERY($B$1,A$2:AA$2,A72:AA72),"")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('txbl_dvcd_KOR_common', 'KOR', 'common', 'txbl_dvcd', '계산서 구분 코드', 'gb', '', '[["1000","일반세금계산서"],["2000","전자세금계산서"],["3000","eSero발행"]]', '1000:일반세금계산서 2000:전자세금계산서 3000:eSero발행', '', '1000=일반세금계산서|2000=전자세금계산서|3000=eSero발행', '', '0', '0', '0', '0', 'txbl_dvcd 계산서 구분 코드 [["1000","일반세금계산서"],["2000","전자세금계산서"],["3000","eSero발행"]]', ' ', '', '', ' ', '', '', '', '', '', '');</v>
      </c>
    </row>
    <row r="73" spans="1:80" ht="17">
      <c r="A73" s="26" t="str">
        <f t="shared" si="48"/>
        <v>txbl_date_dvcd_KOR_common</v>
      </c>
      <c r="B73" s="25" t="s">
        <v>27</v>
      </c>
      <c r="C73" s="25" t="str">
        <f t="shared" si="54"/>
        <v>common</v>
      </c>
      <c r="D73" s="25" t="s">
        <v>246</v>
      </c>
      <c r="E73" s="25" t="s">
        <v>68</v>
      </c>
      <c r="F73" s="25" t="str">
        <f t="shared" si="50"/>
        <v>gb</v>
      </c>
      <c r="G73" s="25"/>
      <c r="H73" s="35" t="str">
        <f t="shared" si="55"/>
        <v>[["1","발행일자"],["2","작성일자"]]</v>
      </c>
      <c r="I73" s="35" t="str">
        <f t="shared" si="45"/>
        <v>1:발행일자 2:작성일자</v>
      </c>
      <c r="J73" s="35"/>
      <c r="K73" s="35" t="str">
        <f t="shared" si="51"/>
        <v>1=발행일자|2=작성일자</v>
      </c>
      <c r="L73" s="2"/>
      <c r="M73" s="36">
        <v>0</v>
      </c>
      <c r="N73" s="36">
        <v>0</v>
      </c>
      <c r="O73" s="36" t="s">
        <v>31</v>
      </c>
      <c r="P73" s="36" t="s">
        <v>31</v>
      </c>
      <c r="Q73" s="35" t="str">
        <f t="shared" si="56"/>
        <v>txbl_date_dvcd 계산서 일자 구분 [["1","발행일자"],["2","작성일자"]]</v>
      </c>
      <c r="R73" s="2" t="s">
        <v>921</v>
      </c>
      <c r="S73" s="2"/>
      <c r="T73" s="2"/>
      <c r="U73" s="2" t="s">
        <v>32</v>
      </c>
      <c r="V73" s="2"/>
      <c r="W73" s="2"/>
      <c r="X73" s="2"/>
      <c r="Y73" s="2"/>
      <c r="Z73" s="2"/>
      <c r="AA73" s="2"/>
      <c r="AB73" s="29" t="s">
        <v>370</v>
      </c>
      <c r="AC73" s="25" t="s">
        <v>410</v>
      </c>
      <c r="AD73" s="29">
        <v>2</v>
      </c>
      <c r="AE73" s="25" t="s">
        <v>411</v>
      </c>
      <c r="AF73" s="29"/>
      <c r="AG73" s="25"/>
      <c r="AH73" s="29"/>
      <c r="AI73" s="25"/>
      <c r="AJ73" s="29"/>
      <c r="AK73" s="25"/>
      <c r="AL73" s="29"/>
      <c r="AM73" s="25"/>
      <c r="AN73" s="29"/>
      <c r="AO73" s="25"/>
      <c r="AP73" s="29"/>
      <c r="AQ73" s="25"/>
      <c r="AR73" s="29"/>
      <c r="AS73" s="25"/>
      <c r="AT73" s="29"/>
      <c r="AU73" s="25"/>
      <c r="AV73" s="29"/>
      <c r="AW73" s="25"/>
      <c r="AX73" s="29"/>
      <c r="AY73" s="25"/>
      <c r="AZ73" s="29"/>
      <c r="BA73" s="25"/>
      <c r="BB73" s="29"/>
      <c r="BC73" s="25"/>
      <c r="BD73" s="29"/>
      <c r="BE73" s="25"/>
      <c r="BF73" s="29"/>
      <c r="BG73" s="25"/>
      <c r="BH73" s="29"/>
      <c r="BI73" s="25"/>
      <c r="BJ73" s="29"/>
      <c r="BK73" s="25"/>
      <c r="BL73" s="29"/>
      <c r="BM73" s="25"/>
      <c r="BN73" s="29"/>
      <c r="BO73" s="25"/>
      <c r="BP73" s="29"/>
      <c r="BQ73" s="25"/>
      <c r="BR73" s="29"/>
      <c r="BS73" s="25"/>
      <c r="BT73" s="29"/>
      <c r="BU73" s="25"/>
      <c r="BV73" s="29"/>
      <c r="BW73" s="25"/>
      <c r="BX73" s="29"/>
      <c r="BY73" s="25"/>
      <c r="CA73" s="1" t="str">
        <f t="shared" si="47"/>
        <v>delete from sscd_mast where sscd_idcd = 'txbl_date_dvcd_KOR_common'  and site_idcd = 'common';</v>
      </c>
      <c r="CB73" s="5" t="str">
        <f>IF(E73&lt;&gt;"",CREATE_QUERY($B$1,A$2:AA$2,A73:AA73),"")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('txbl_date_dvcd_KOR_common', 'KOR', 'common', 'txbl_date_dvcd', '계산서 일자 구분', 'gb', '', '[["1","발행일자"],["2","작성일자"]]', '1:발행일자 2:작성일자', '', '1=발행일자|2=작성일자', '', '0', '0', '0', '0', 'txbl_date_dvcd 계산서 일자 구분 [["1","발행일자"],["2","작성일자"]]', ' ', '', '', ' ', '', '', '', '', '', '');</v>
      </c>
    </row>
    <row r="74" spans="1:80" ht="17">
      <c r="A74" s="26" t="str">
        <f t="shared" si="48"/>
        <v>acct_dvcd_KOR_common</v>
      </c>
      <c r="B74" s="25" t="s">
        <v>27</v>
      </c>
      <c r="C74" s="25" t="str">
        <f t="shared" si="54"/>
        <v>common</v>
      </c>
      <c r="D74" s="25" t="s">
        <v>128</v>
      </c>
      <c r="E74" s="25" t="s">
        <v>74</v>
      </c>
      <c r="F74" s="25" t="str">
        <f t="shared" si="50"/>
        <v>gb</v>
      </c>
      <c r="G74" s="25"/>
      <c r="H74" s="35" t="str">
        <f t="shared" si="55"/>
        <v>[["1001","원재료"],["1002","부재료"],["1003","소모품"],["2001","재공품"],["2002","반제품"],["3000","제품"],["4000","상품"],["5000","집기비품"],["6000","공구기구"]]</v>
      </c>
      <c r="I74" s="35" t="str">
        <f t="shared" si="45"/>
        <v>1001:원재료 1002:부재료 1003:소모품 2001:재공품 2002:반제품 3000:제품 4000:상품 5000:집기비품 6000:공구기구</v>
      </c>
      <c r="J74" s="35"/>
      <c r="K74" s="35" t="str">
        <f t="shared" si="51"/>
        <v>1001=원재료|1002=부재료|1003=소모품|2001=재공품|2002=반제품|3000=제품|4000=상품|5000=집기비품|6000=공구기구</v>
      </c>
      <c r="L74" s="2"/>
      <c r="M74" s="36">
        <v>0</v>
      </c>
      <c r="N74" s="36">
        <v>0</v>
      </c>
      <c r="O74" s="36" t="s">
        <v>31</v>
      </c>
      <c r="P74" s="36" t="s">
        <v>31</v>
      </c>
      <c r="Q74" s="35" t="str">
        <f t="shared" si="56"/>
        <v>acct_dvcd 계정구분 [["1001","원재료"],["1002","부재료"],["1003","소모품"],["2001","재공품"],["2002","반제품"],["3000","제품"],["4000","상품"],["5000","집기비품"],["6000","공구기구"]]</v>
      </c>
      <c r="R74" s="2" t="s">
        <v>921</v>
      </c>
      <c r="S74" s="2"/>
      <c r="T74" s="2"/>
      <c r="U74" s="2" t="s">
        <v>32</v>
      </c>
      <c r="V74" s="2"/>
      <c r="W74" s="2"/>
      <c r="X74" s="2"/>
      <c r="Y74" s="2"/>
      <c r="Z74" s="2"/>
      <c r="AA74" s="2"/>
      <c r="AB74" s="28" t="s">
        <v>654</v>
      </c>
      <c r="AC74" s="25" t="s">
        <v>413</v>
      </c>
      <c r="AD74" s="28" t="s">
        <v>655</v>
      </c>
      <c r="AE74" s="25" t="s">
        <v>2362</v>
      </c>
      <c r="AF74" s="28" t="s">
        <v>656</v>
      </c>
      <c r="AG74" s="25" t="s">
        <v>2357</v>
      </c>
      <c r="AH74" s="28" t="s">
        <v>692</v>
      </c>
      <c r="AI74" s="25" t="s">
        <v>2358</v>
      </c>
      <c r="AJ74" s="28" t="s">
        <v>693</v>
      </c>
      <c r="AK74" s="25" t="s">
        <v>2359</v>
      </c>
      <c r="AL74" s="28" t="s">
        <v>600</v>
      </c>
      <c r="AM74" s="25" t="s">
        <v>2360</v>
      </c>
      <c r="AN74" s="28" t="s">
        <v>601</v>
      </c>
      <c r="AO74" s="25" t="s">
        <v>2361</v>
      </c>
      <c r="AP74" s="28" t="s">
        <v>626</v>
      </c>
      <c r="AQ74" s="25" t="s">
        <v>2363</v>
      </c>
      <c r="AR74" s="28" t="s">
        <v>628</v>
      </c>
      <c r="AS74" s="25" t="s">
        <v>2364</v>
      </c>
      <c r="AT74" s="28"/>
      <c r="AU74" s="25"/>
      <c r="AV74" s="28"/>
      <c r="AW74" s="25"/>
      <c r="AX74" s="28"/>
      <c r="AY74" s="25"/>
      <c r="AZ74" s="28"/>
      <c r="BA74" s="25"/>
      <c r="BB74" s="28"/>
      <c r="BC74" s="25"/>
      <c r="BD74" s="28"/>
      <c r="BE74" s="25"/>
      <c r="BF74" s="28"/>
      <c r="BG74" s="25"/>
      <c r="BH74" s="28"/>
      <c r="BI74" s="25"/>
      <c r="BJ74" s="28"/>
      <c r="BK74" s="25"/>
      <c r="BL74" s="28"/>
      <c r="BM74" s="25"/>
      <c r="BN74" s="28"/>
      <c r="BO74" s="25"/>
      <c r="BP74" s="28"/>
      <c r="BQ74" s="25"/>
      <c r="BR74" s="28"/>
      <c r="BS74" s="25"/>
      <c r="BT74" s="28"/>
      <c r="BU74" s="25"/>
      <c r="BV74" s="28"/>
      <c r="BW74" s="25"/>
      <c r="BX74" s="28"/>
      <c r="BY74" s="25"/>
      <c r="CA74" s="1" t="str">
        <f t="shared" si="47"/>
        <v>delete from sscd_mast where sscd_idcd = 'acct_dvcd_KOR_common'  and site_idcd = 'common';</v>
      </c>
      <c r="CB74" s="5" t="str">
        <f>IF(E74&lt;&gt;"",CREATE_QUERY($B$1,A$2:AA$2,A74:AA74),"")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('acct_dvcd_KOR_common', 'KOR', 'common', 'acct_dvcd', '계정구분', 'gb', '', '[["1001","원재료"],["1002","부재료"],["1003","소모품"],["2001","재공품"],["2002","반제품"],["3000","제품"],["4000","상품"],["5000","집기비품"],["6000","공구기구"]]', '1001:원재료 1002:부재료 1003:소모품 2001:재공품 2002:반제품 3000:제품 4000:상품 5000:집기비품 6000:공구기구', '', '1001=원재료|1002=부재료|1003=소모품|2001=재공품|2002=반제품|3000=제품|4000=상품|5000=집기비품|6000=공구기구', '', '0', '0', '0', '0', 'acct_dvcd 계정구분 [["1001","원재료"],["1002","부재료"],["1003","소모품"],["2001","재공품"],["2002","반제품"],["3000","제품"],["4000","상품"],["5000","집기비품"],["6000","공구기구"]]', ' ', '', '', ' ', '', '', '', '', '', '');</v>
      </c>
    </row>
    <row r="75" spans="1:80" ht="17">
      <c r="A75" s="26" t="str">
        <f t="shared" si="48"/>
        <v>admn_dvcd_KOR_common</v>
      </c>
      <c r="B75" s="25" t="s">
        <v>27</v>
      </c>
      <c r="C75" s="25" t="str">
        <f t="shared" si="54"/>
        <v>common</v>
      </c>
      <c r="D75" s="25" t="s">
        <v>248</v>
      </c>
      <c r="E75" s="25" t="s">
        <v>121</v>
      </c>
      <c r="F75" s="25" t="str">
        <f t="shared" si="50"/>
        <v>gb</v>
      </c>
      <c r="G75" s="25"/>
      <c r="H75" s="35" t="str">
        <f t="shared" si="55"/>
        <v>[["0","일반사용자"],["1","부서관리자"],["2","회사관리자"]]</v>
      </c>
      <c r="I75" s="35" t="str">
        <f t="shared" si="45"/>
        <v>0:일반사용자 1:부서관리자 2:회사관리자</v>
      </c>
      <c r="J75" s="35"/>
      <c r="K75" s="35" t="str">
        <f t="shared" si="51"/>
        <v>0=일반사용자|1=부서관리자|2=회사관리자</v>
      </c>
      <c r="L75" s="2"/>
      <c r="M75" s="36">
        <v>0</v>
      </c>
      <c r="N75" s="36">
        <v>0</v>
      </c>
      <c r="O75" s="36" t="s">
        <v>31</v>
      </c>
      <c r="P75" s="36" t="s">
        <v>31</v>
      </c>
      <c r="Q75" s="35" t="str">
        <f t="shared" si="56"/>
        <v>admn_dvcd 관리자구분 [["0","일반사용자"],["1","부서관리자"],["2","회사관리자"]]</v>
      </c>
      <c r="R75" s="2" t="s">
        <v>921</v>
      </c>
      <c r="S75" s="2"/>
      <c r="T75" s="2"/>
      <c r="U75" s="2" t="s">
        <v>32</v>
      </c>
      <c r="V75" s="2"/>
      <c r="W75" s="2"/>
      <c r="X75" s="2"/>
      <c r="Y75" s="2"/>
      <c r="Z75" s="2"/>
      <c r="AA75" s="2"/>
      <c r="AB75" s="29" t="s">
        <v>31</v>
      </c>
      <c r="AC75" s="25" t="s">
        <v>415</v>
      </c>
      <c r="AD75" s="29">
        <v>1</v>
      </c>
      <c r="AE75" s="25" t="s">
        <v>416</v>
      </c>
      <c r="AF75" s="29">
        <v>2</v>
      </c>
      <c r="AG75" s="25" t="s">
        <v>417</v>
      </c>
      <c r="AH75" s="29"/>
      <c r="AI75" s="25"/>
      <c r="AJ75" s="29"/>
      <c r="AK75" s="25"/>
      <c r="AL75" s="29"/>
      <c r="AM75" s="25"/>
      <c r="AN75" s="29"/>
      <c r="AO75" s="25"/>
      <c r="AP75" s="29"/>
      <c r="AQ75" s="25"/>
      <c r="AR75" s="29"/>
      <c r="AS75" s="25"/>
      <c r="AT75" s="29"/>
      <c r="AU75" s="25"/>
      <c r="AV75" s="29"/>
      <c r="AW75" s="25"/>
      <c r="AX75" s="29"/>
      <c r="AY75" s="25"/>
      <c r="AZ75" s="29"/>
      <c r="BA75" s="25"/>
      <c r="BB75" s="29"/>
      <c r="BC75" s="25"/>
      <c r="BD75" s="29"/>
      <c r="BE75" s="25"/>
      <c r="BF75" s="29"/>
      <c r="BG75" s="25"/>
      <c r="BH75" s="29"/>
      <c r="BI75" s="25"/>
      <c r="BJ75" s="29"/>
      <c r="BK75" s="25"/>
      <c r="BL75" s="29"/>
      <c r="BM75" s="25"/>
      <c r="BN75" s="29"/>
      <c r="BO75" s="25"/>
      <c r="BP75" s="29"/>
      <c r="BQ75" s="25"/>
      <c r="BR75" s="29"/>
      <c r="BS75" s="25"/>
      <c r="BT75" s="29"/>
      <c r="BU75" s="25"/>
      <c r="BV75" s="29"/>
      <c r="BW75" s="25"/>
      <c r="BX75" s="29"/>
      <c r="BY75" s="25"/>
      <c r="CA75" s="1" t="str">
        <f t="shared" si="47"/>
        <v>delete from sscd_mast where sscd_idcd = 'admn_dvcd_KOR_common'  and site_idcd = 'common';</v>
      </c>
      <c r="CB75" s="5" t="str">
        <f>IF(E75&lt;&gt;"",CREATE_QUERY($B$1,A$2:AA$2,A75:AA75),"")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('admn_dvcd_KOR_common', 'KOR', 'common', 'admn_dvcd', '관리자구분', 'gb', '', '[["0","일반사용자"],["1","부서관리자"],["2","회사관리자"]]', '0:일반사용자 1:부서관리자 2:회사관리자', '', '0=일반사용자|1=부서관리자|2=회사관리자', '', '0', '0', '0', '0', 'admn_dvcd 관리자구분 [["0","일반사용자"],["1","부서관리자"],["2","회사관리자"]]', ' ', '', '', ' ', '', '', '', '', '', '');</v>
      </c>
    </row>
    <row r="76" spans="1:80" ht="17">
      <c r="A76" s="26" t="str">
        <f t="shared" si="48"/>
        <v>mngt_wrhs_dvcd_KOR_common</v>
      </c>
      <c r="B76" s="25" t="s">
        <v>27</v>
      </c>
      <c r="C76" s="25" t="str">
        <f t="shared" si="54"/>
        <v>common</v>
      </c>
      <c r="D76" s="25" t="s">
        <v>280</v>
      </c>
      <c r="E76" s="25" t="s">
        <v>166</v>
      </c>
      <c r="F76" s="25" t="str">
        <f t="shared" si="50"/>
        <v>gb</v>
      </c>
      <c r="G76" s="25"/>
      <c r="H76" s="35" t="str">
        <f t="shared" si="55"/>
        <v>[["0001","자재창고"],["0002","제품창고"],["1001","수입검사대기"],["1002","출하검사대기"],["2001","공정재고"],["3000","적송창고"],["4000","수탁창고"],["5000","위탁창고"],["6000","금형창고"]]</v>
      </c>
      <c r="I76" s="35" t="str">
        <f t="shared" si="45"/>
        <v>0001:자재창고 0002:제품창고 1001:수입검사대기 1002:출하검사대기 2001:공정재고 3000:적송창고 4000:수탁창고 5000:위탁창고 6000:금형창고</v>
      </c>
      <c r="J76" s="35"/>
      <c r="K76" s="35" t="str">
        <f t="shared" si="51"/>
        <v>0001=자재창고|0002=제품창고|1001=수입검사대기|1002=출하검사대기|2001=공정재고|3000=적송창고|4000=수탁창고|5000=위탁창고|6000=금형창고</v>
      </c>
      <c r="L76" s="2"/>
      <c r="M76" s="36">
        <v>0</v>
      </c>
      <c r="N76" s="36">
        <v>0</v>
      </c>
      <c r="O76" s="36" t="s">
        <v>31</v>
      </c>
      <c r="P76" s="36" t="s">
        <v>31</v>
      </c>
      <c r="Q76" s="35" t="str">
        <f t="shared" si="56"/>
        <v>mngt_wrhs_dvcd 관리창고구분코드 [["0001","자재창고"],["0002","제품창고"],["1001","수입검사대기"],["1002","출하검사대기"],["2001","공정재고"],["3000","적송창고"],["4000","수탁창고"],["5000","위탁창고"],["6000","금형창고"]]</v>
      </c>
      <c r="R76" s="2" t="s">
        <v>921</v>
      </c>
      <c r="S76" s="2"/>
      <c r="T76" s="2"/>
      <c r="U76" s="2"/>
      <c r="V76" s="2"/>
      <c r="W76" s="2"/>
      <c r="X76" s="2"/>
      <c r="Y76" s="2"/>
      <c r="Z76" s="2"/>
      <c r="AA76" s="2"/>
      <c r="AB76" s="28" t="s">
        <v>2834</v>
      </c>
      <c r="AC76" s="25" t="s">
        <v>2935</v>
      </c>
      <c r="AD76" s="28" t="s">
        <v>2936</v>
      </c>
      <c r="AE76" s="25" t="s">
        <v>2937</v>
      </c>
      <c r="AF76" s="28" t="s">
        <v>654</v>
      </c>
      <c r="AG76" s="25" t="s">
        <v>708</v>
      </c>
      <c r="AH76" s="28" t="s">
        <v>655</v>
      </c>
      <c r="AI76" s="25" t="s">
        <v>709</v>
      </c>
      <c r="AJ76" s="28" t="s">
        <v>692</v>
      </c>
      <c r="AK76" s="25" t="s">
        <v>710</v>
      </c>
      <c r="AL76" s="28" t="s">
        <v>600</v>
      </c>
      <c r="AM76" s="25" t="s">
        <v>711</v>
      </c>
      <c r="AN76" s="28" t="s">
        <v>601</v>
      </c>
      <c r="AO76" s="25" t="s">
        <v>712</v>
      </c>
      <c r="AP76" s="28" t="s">
        <v>626</v>
      </c>
      <c r="AQ76" s="25" t="s">
        <v>713</v>
      </c>
      <c r="AR76" s="28" t="s">
        <v>628</v>
      </c>
      <c r="AS76" s="25" t="s">
        <v>2463</v>
      </c>
      <c r="AT76" s="28"/>
      <c r="AU76" s="25"/>
      <c r="AV76" s="28"/>
      <c r="AW76" s="25"/>
      <c r="AX76" s="28"/>
      <c r="AY76" s="25"/>
      <c r="AZ76" s="28"/>
      <c r="BA76" s="25"/>
      <c r="BB76" s="28"/>
      <c r="BC76" s="25"/>
      <c r="BD76" s="28"/>
      <c r="BE76" s="25"/>
      <c r="BF76" s="28"/>
      <c r="BG76" s="25"/>
      <c r="BH76" s="28"/>
      <c r="BI76" s="25"/>
      <c r="BJ76" s="28"/>
      <c r="BK76" s="25"/>
      <c r="BL76" s="28"/>
      <c r="BM76" s="25"/>
      <c r="BN76" s="28"/>
      <c r="BO76" s="25"/>
      <c r="BP76" s="28"/>
      <c r="BQ76" s="25"/>
      <c r="BR76" s="28"/>
      <c r="BS76" s="25"/>
      <c r="BT76" s="28"/>
      <c r="BU76" s="25"/>
      <c r="BV76" s="28"/>
      <c r="BW76" s="25"/>
      <c r="BX76" s="28"/>
      <c r="BY76" s="25"/>
      <c r="CA76" s="1" t="str">
        <f t="shared" si="47"/>
        <v>delete from sscd_mast where sscd_idcd = 'mngt_wrhs_dvcd_KOR_common'  and site_idcd = 'common';</v>
      </c>
      <c r="CB76" s="5" t="str">
        <f>IF(E76&lt;&gt;"",CREATE_QUERY($B$1,A$2:AA$2,A76:AA76),"")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('mngt_wrhs_dvcd_KOR_common', 'KOR', 'common', 'mngt_wrhs_dvcd', '관리창고구분코드', 'gb', '', '[["0001","자재창고"],["0002","제품창고"],["1001","수입검사대기"],["1002","출하검사대기"],["2001","공정재고"],["3000","적송창고"],["4000","수탁창고"],["5000","위탁창고"],["6000","금형창고"]]', '0001:자재창고 0002:제품창고 1001:수입검사대기 1002:출하검사대기 2001:공정재고 3000:적송창고 4000:수탁창고 5000:위탁창고 6000:금형창고', '', '0001=자재창고|0002=제품창고|1001=수입검사대기|1002=출하검사대기|2001=공정재고|3000=적송창고|4000=수탁창고|5000=위탁창고|6000=금형창고', '', '0', '0', '0', '0', 'mngt_wrhs_dvcd 관리창고구분코드 [["0001","자재창고"],["0002","제품창고"],["1001","수입검사대기"],["1002","출하검사대기"],["2001","공정재고"],["3000","적송창고"],["4000","수탁창고"],["5000","위탁창고"],["6000","금형창고"]]', ' ', '', '', '', '', '', '', '', '', '');</v>
      </c>
    </row>
    <row r="77" spans="1:80" ht="17">
      <c r="A77" s="26" t="str">
        <f t="shared" si="48"/>
        <v>puch_reqt_dvcd_KOR_common</v>
      </c>
      <c r="B77" s="25" t="s">
        <v>27</v>
      </c>
      <c r="C77" s="25" t="str">
        <f t="shared" si="54"/>
        <v>common</v>
      </c>
      <c r="D77" s="25" t="s">
        <v>334</v>
      </c>
      <c r="E77" s="25" t="s">
        <v>222</v>
      </c>
      <c r="F77" s="25" t="str">
        <f t="shared" si="50"/>
        <v>gb</v>
      </c>
      <c r="G77" s="25"/>
      <c r="H77" s="35" t="str">
        <f t="shared" si="55"/>
        <v>[["1000","생산소요"],["2000","사내소비"],["3000","생산부자재"],["9000","기타"]]</v>
      </c>
      <c r="I77" s="35" t="str">
        <f t="shared" si="45"/>
        <v>1000:생산소요 2000:사내소비 3000:생산부자재 9000:기타</v>
      </c>
      <c r="J77" s="35"/>
      <c r="K77" s="35" t="str">
        <f t="shared" si="51"/>
        <v>1000=생산소요|2000=사내소비|3000=생산부자재|9000=기타</v>
      </c>
      <c r="L77" s="2"/>
      <c r="M77" s="36">
        <v>0</v>
      </c>
      <c r="N77" s="36">
        <v>0</v>
      </c>
      <c r="O77" s="36" t="s">
        <v>31</v>
      </c>
      <c r="P77" s="36" t="s">
        <v>31</v>
      </c>
      <c r="Q77" s="35" t="str">
        <f t="shared" si="56"/>
        <v>puch_reqt_dvcd 구매요청구분코드 [["1000","생산소요"],["2000","사내소비"],["3000","생산부자재"],["9000","기타"]]</v>
      </c>
      <c r="R77" s="2" t="s">
        <v>921</v>
      </c>
      <c r="S77" s="2"/>
      <c r="T77" s="2"/>
      <c r="U77" s="2"/>
      <c r="V77" s="2"/>
      <c r="W77" s="2"/>
      <c r="X77" s="2"/>
      <c r="Y77" s="2"/>
      <c r="Z77" s="2"/>
      <c r="AA77" s="2"/>
      <c r="AB77" s="28" t="s">
        <v>591</v>
      </c>
      <c r="AC77" s="25" t="s">
        <v>714</v>
      </c>
      <c r="AD77" s="28" t="s">
        <v>592</v>
      </c>
      <c r="AE77" s="25" t="s">
        <v>715</v>
      </c>
      <c r="AF77" s="28" t="s">
        <v>600</v>
      </c>
      <c r="AG77" s="25" t="s">
        <v>716</v>
      </c>
      <c r="AH77" s="28" t="s">
        <v>661</v>
      </c>
      <c r="AI77" s="25" t="s">
        <v>667</v>
      </c>
      <c r="AJ77" s="28"/>
      <c r="AK77" s="25"/>
      <c r="AL77" s="28"/>
      <c r="AM77" s="25"/>
      <c r="AN77" s="28"/>
      <c r="AO77" s="25"/>
      <c r="AP77" s="28"/>
      <c r="AQ77" s="25"/>
      <c r="AR77" s="28"/>
      <c r="AS77" s="25"/>
      <c r="AT77" s="28"/>
      <c r="AU77" s="25"/>
      <c r="AV77" s="28"/>
      <c r="AW77" s="25"/>
      <c r="AX77" s="28"/>
      <c r="AY77" s="25"/>
      <c r="AZ77" s="28"/>
      <c r="BA77" s="25"/>
      <c r="BB77" s="28"/>
      <c r="BC77" s="25"/>
      <c r="BD77" s="28"/>
      <c r="BE77" s="25"/>
      <c r="BF77" s="28"/>
      <c r="BG77" s="25"/>
      <c r="BH77" s="28"/>
      <c r="BI77" s="25"/>
      <c r="BJ77" s="28"/>
      <c r="BK77" s="25"/>
      <c r="BL77" s="28"/>
      <c r="BM77" s="25"/>
      <c r="BN77" s="28"/>
      <c r="BO77" s="25"/>
      <c r="BP77" s="28"/>
      <c r="BQ77" s="25"/>
      <c r="BR77" s="28"/>
      <c r="BS77" s="25"/>
      <c r="BT77" s="28"/>
      <c r="BU77" s="25"/>
      <c r="BV77" s="28"/>
      <c r="BW77" s="25"/>
      <c r="BX77" s="28"/>
      <c r="BY77" s="25"/>
      <c r="CA77" s="1" t="str">
        <f t="shared" si="47"/>
        <v>delete from sscd_mast where sscd_idcd = 'puch_reqt_dvcd_KOR_common'  and site_idcd = 'common';</v>
      </c>
      <c r="CB77" s="5" t="str">
        <f>IF(E77&lt;&gt;"",CREATE_QUERY($B$1,A$2:AA$2,A77:AA77),"")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('puch_reqt_dvcd_KOR_common', 'KOR', 'common', 'puch_reqt_dvcd', '구매요청구분코드', 'gb', '', '[["1000","생산소요"],["2000","사내소비"],["3000","생산부자재"],["9000","기타"]]', '1000:생산소요 2000:사내소비 3000:생산부자재 9000:기타', '', '1000=생산소요|2000=사내소비|3000=생산부자재|9000=기타', '', '0', '0', '0', '0', 'puch_reqt_dvcd 구매요청구분코드 [["1000","생산소요"],["2000","사내소비"],["3000","생산부자재"],["9000","기타"]]', ' ', '', '', '', '', '', '', '', '', '');</v>
      </c>
    </row>
    <row r="78" spans="1:80" ht="17">
      <c r="A78" s="26" t="str">
        <f t="shared" si="48"/>
        <v>cnio_dvcd_KOR_common</v>
      </c>
      <c r="B78" s="25" t="s">
        <v>27</v>
      </c>
      <c r="C78" s="25" t="str">
        <f t="shared" si="54"/>
        <v>common</v>
      </c>
      <c r="D78" s="25" t="s">
        <v>300</v>
      </c>
      <c r="E78" s="25" t="s">
        <v>186</v>
      </c>
      <c r="F78" s="25" t="str">
        <f t="shared" si="50"/>
        <v>gb</v>
      </c>
      <c r="G78" s="25"/>
      <c r="H78" s="35" t="str">
        <f t="shared" si="55"/>
        <v>[["D","국내"],["E","해외"]]</v>
      </c>
      <c r="I78" s="35" t="str">
        <f t="shared" si="45"/>
        <v>D:국내 E:해외</v>
      </c>
      <c r="J78" s="35"/>
      <c r="K78" s="35" t="str">
        <f t="shared" si="51"/>
        <v>D=국내|E=해외</v>
      </c>
      <c r="L78" s="2"/>
      <c r="M78" s="36">
        <v>0</v>
      </c>
      <c r="N78" s="36">
        <v>0</v>
      </c>
      <c r="O78" s="36" t="s">
        <v>31</v>
      </c>
      <c r="P78" s="36" t="s">
        <v>31</v>
      </c>
      <c r="Q78" s="35" t="str">
        <f t="shared" si="56"/>
        <v>cnio_dvcd 국내외구분코드 [["D","국내"],["E","해외"]]</v>
      </c>
      <c r="R78" s="2" t="s">
        <v>921</v>
      </c>
      <c r="S78" s="2"/>
      <c r="T78" s="2"/>
      <c r="U78" s="2"/>
      <c r="V78" s="2"/>
      <c r="W78" s="2"/>
      <c r="X78" s="2"/>
      <c r="Y78" s="2"/>
      <c r="Z78" s="2"/>
      <c r="AA78" s="2"/>
      <c r="AB78" s="29" t="s">
        <v>398</v>
      </c>
      <c r="AC78" s="25" t="s">
        <v>418</v>
      </c>
      <c r="AD78" s="29" t="s">
        <v>419</v>
      </c>
      <c r="AE78" s="25" t="s">
        <v>420</v>
      </c>
      <c r="AF78" s="29"/>
      <c r="AG78" s="25"/>
      <c r="AH78" s="29"/>
      <c r="AI78" s="25"/>
      <c r="AJ78" s="29"/>
      <c r="AK78" s="25"/>
      <c r="AL78" s="29"/>
      <c r="AM78" s="25"/>
      <c r="AN78" s="29"/>
      <c r="AO78" s="25"/>
      <c r="AP78" s="29"/>
      <c r="AQ78" s="25"/>
      <c r="AR78" s="29"/>
      <c r="AS78" s="25"/>
      <c r="AT78" s="29"/>
      <c r="AU78" s="25"/>
      <c r="AV78" s="29"/>
      <c r="AW78" s="25"/>
      <c r="AX78" s="29"/>
      <c r="AY78" s="25"/>
      <c r="AZ78" s="29"/>
      <c r="BA78" s="25"/>
      <c r="BB78" s="29"/>
      <c r="BC78" s="25"/>
      <c r="BD78" s="29"/>
      <c r="BE78" s="25"/>
      <c r="BF78" s="29"/>
      <c r="BG78" s="25"/>
      <c r="BH78" s="29"/>
      <c r="BI78" s="25"/>
      <c r="BJ78" s="29"/>
      <c r="BK78" s="25"/>
      <c r="BL78" s="29"/>
      <c r="BM78" s="25"/>
      <c r="BN78" s="29"/>
      <c r="BO78" s="25"/>
      <c r="BP78" s="29"/>
      <c r="BQ78" s="25"/>
      <c r="BR78" s="29"/>
      <c r="BS78" s="25"/>
      <c r="BT78" s="29"/>
      <c r="BU78" s="25"/>
      <c r="BV78" s="29"/>
      <c r="BW78" s="25"/>
      <c r="BX78" s="29"/>
      <c r="BY78" s="25"/>
      <c r="CA78" s="1" t="str">
        <f t="shared" si="47"/>
        <v>delete from sscd_mast where sscd_idcd = 'cnio_dvcd_KOR_common'  and site_idcd = 'common';</v>
      </c>
      <c r="CB78" s="5" t="str">
        <f>IF(E78&lt;&gt;"",CREATE_QUERY($B$1,A$2:AA$2,A78:AA78),"")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('cnio_dvcd_KOR_common', 'KOR', 'common', 'cnio_dvcd', '국내외구분코드', 'gb', '', '[["D","국내"],["E","해외"]]', 'D:국내 E:해외', '', 'D=국내|E=해외', '', '0', '0', '0', '0', 'cnio_dvcd 국내외구분코드 [["D","국내"],["E","해외"]]', ' ', '', '', '', '', '', '', '', '', '');</v>
      </c>
    </row>
    <row r="79" spans="1:80" ht="17">
      <c r="A79" s="26" t="str">
        <f t="shared" si="48"/>
        <v>dstr_dvcd_KOR_common</v>
      </c>
      <c r="B79" s="25" t="s">
        <v>27</v>
      </c>
      <c r="C79" s="25" t="str">
        <f t="shared" si="54"/>
        <v>common</v>
      </c>
      <c r="D79" s="25" t="s">
        <v>283</v>
      </c>
      <c r="E79" s="25" t="s">
        <v>169</v>
      </c>
      <c r="F79" s="25" t="str">
        <f t="shared" si="50"/>
        <v>gb</v>
      </c>
      <c r="G79" s="25"/>
      <c r="H79" s="35" t="str">
        <f t="shared" si="55"/>
        <v>[["0",""],["1","미정","red"]]</v>
      </c>
      <c r="I79" s="35" t="str">
        <f t="shared" si="45"/>
        <v>0: 1:미정:red</v>
      </c>
      <c r="J79" s="35"/>
      <c r="K79" s="35" t="str">
        <f t="shared" si="51"/>
        <v>0=|1=미정:red</v>
      </c>
      <c r="L79" s="2"/>
      <c r="M79" s="36">
        <v>0</v>
      </c>
      <c r="N79" s="36">
        <v>0</v>
      </c>
      <c r="O79" s="36" t="s">
        <v>31</v>
      </c>
      <c r="P79" s="36" t="s">
        <v>31</v>
      </c>
      <c r="Q79" s="35" t="str">
        <f t="shared" si="56"/>
        <v>dstr_dvcd 권역구분코드 [["0",""],["1","미정","red"]]</v>
      </c>
      <c r="R79" s="2" t="s">
        <v>921</v>
      </c>
      <c r="S79" s="2"/>
      <c r="T79" s="2"/>
      <c r="U79" s="2"/>
      <c r="V79" s="2"/>
      <c r="W79" s="2"/>
      <c r="X79" s="2"/>
      <c r="Y79" s="2"/>
      <c r="Z79" s="2"/>
      <c r="AA79" s="2"/>
      <c r="AB79" s="29" t="s">
        <v>31</v>
      </c>
      <c r="AC79" s="25"/>
      <c r="AD79" s="29">
        <v>1</v>
      </c>
      <c r="AE79" s="25" t="s">
        <v>574</v>
      </c>
      <c r="AF79" s="29"/>
      <c r="AG79" s="25"/>
      <c r="AH79" s="29"/>
      <c r="AI79" s="25"/>
      <c r="AJ79" s="29"/>
      <c r="AK79" s="25"/>
      <c r="AL79" s="29"/>
      <c r="AM79" s="25"/>
      <c r="AN79" s="29"/>
      <c r="AO79" s="25"/>
      <c r="AP79" s="29"/>
      <c r="AQ79" s="25"/>
      <c r="AR79" s="29"/>
      <c r="AS79" s="25"/>
      <c r="AT79" s="29"/>
      <c r="AU79" s="25"/>
      <c r="AV79" s="29"/>
      <c r="AW79" s="25"/>
      <c r="AX79" s="29"/>
      <c r="AY79" s="25"/>
      <c r="AZ79" s="29"/>
      <c r="BA79" s="25"/>
      <c r="BB79" s="29"/>
      <c r="BC79" s="25"/>
      <c r="BD79" s="29"/>
      <c r="BE79" s="25"/>
      <c r="BF79" s="29"/>
      <c r="BG79" s="25"/>
      <c r="BH79" s="29"/>
      <c r="BI79" s="25"/>
      <c r="BJ79" s="29"/>
      <c r="BK79" s="25"/>
      <c r="BL79" s="29"/>
      <c r="BM79" s="25"/>
      <c r="BN79" s="29"/>
      <c r="BO79" s="25"/>
      <c r="BP79" s="29"/>
      <c r="BQ79" s="25"/>
      <c r="BR79" s="29"/>
      <c r="BS79" s="25"/>
      <c r="BT79" s="29"/>
      <c r="BU79" s="25"/>
      <c r="BV79" s="29"/>
      <c r="BW79" s="25"/>
      <c r="BX79" s="29"/>
      <c r="BY79" s="25"/>
      <c r="CA79" s="1" t="str">
        <f t="shared" si="47"/>
        <v>delete from sscd_mast where sscd_idcd = 'dstr_dvcd_KOR_common'  and site_idcd = 'common';</v>
      </c>
      <c r="CB79" s="5" t="str">
        <f>IF(E79&lt;&gt;"",CREATE_QUERY($B$1,A$2:AA$2,A79:AA79),"")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('dstr_dvcd_KOR_common', 'KOR', 'common', 'dstr_dvcd', '권역구분코드', 'gb', '', '[["0",""],["1","미정","red"]]', '0: 1:미정:red', '', '0=|1=미정:red', '', '0', '0', '0', '0', 'dstr_dvcd 권역구분코드 [["0",""],["1","미정","red"]]', ' ', '', '', '', '', '', '', '', '', '');</v>
      </c>
    </row>
    <row r="80" spans="1:80" ht="17">
      <c r="A80" s="26" t="str">
        <f t="shared" si="48"/>
        <v>work_dvcd_KOR_common</v>
      </c>
      <c r="B80" s="25" t="s">
        <v>27</v>
      </c>
      <c r="C80" s="25" t="str">
        <f t="shared" si="54"/>
        <v>common</v>
      </c>
      <c r="D80" s="25" t="s">
        <v>127</v>
      </c>
      <c r="E80" s="25" t="s">
        <v>2676</v>
      </c>
      <c r="F80" s="25" t="str">
        <f t="shared" si="50"/>
        <v>gb</v>
      </c>
      <c r="G80" s="25"/>
      <c r="H80" s="35" t="str">
        <f t="shared" si="55"/>
        <v>[["1","주간"],["2","야간"]]</v>
      </c>
      <c r="I80" s="35" t="str">
        <f t="shared" si="45"/>
        <v>1:주간 2:야간</v>
      </c>
      <c r="J80" s="35"/>
      <c r="K80" s="35" t="str">
        <f t="shared" si="51"/>
        <v>1=주간|2=야간</v>
      </c>
      <c r="L80" s="2"/>
      <c r="M80" s="36">
        <v>0</v>
      </c>
      <c r="N80" s="36">
        <v>0</v>
      </c>
      <c r="O80" s="36" t="s">
        <v>31</v>
      </c>
      <c r="P80" s="36" t="s">
        <v>31</v>
      </c>
      <c r="Q80" s="35" t="str">
        <f t="shared" si="56"/>
        <v>work_dvcd 근무구분코드 [["1","주간"],["2","야간"]]</v>
      </c>
      <c r="R80" s="2" t="s">
        <v>921</v>
      </c>
      <c r="S80" s="2"/>
      <c r="T80" s="2"/>
      <c r="U80" s="2" t="s">
        <v>32</v>
      </c>
      <c r="V80" s="2"/>
      <c r="W80" s="2"/>
      <c r="X80" s="2"/>
      <c r="Y80" s="2"/>
      <c r="Z80" s="2"/>
      <c r="AA80" s="2"/>
      <c r="AB80" s="29" t="s">
        <v>370</v>
      </c>
      <c r="AC80" s="25" t="s">
        <v>866</v>
      </c>
      <c r="AD80" s="29">
        <v>2</v>
      </c>
      <c r="AE80" s="25" t="s">
        <v>2462</v>
      </c>
      <c r="AF80" s="29"/>
      <c r="AG80" s="25"/>
      <c r="AH80" s="29"/>
      <c r="AI80" s="25"/>
      <c r="AJ80" s="29"/>
      <c r="AK80" s="25"/>
      <c r="AL80" s="29"/>
      <c r="AM80" s="25"/>
      <c r="AN80" s="29"/>
      <c r="AO80" s="25"/>
      <c r="AP80" s="29"/>
      <c r="AQ80" s="25"/>
      <c r="AR80" s="29"/>
      <c r="AS80" s="25"/>
      <c r="AT80" s="29"/>
      <c r="AU80" s="25"/>
      <c r="AV80" s="29"/>
      <c r="AW80" s="25"/>
      <c r="AX80" s="29"/>
      <c r="AY80" s="25"/>
      <c r="AZ80" s="29"/>
      <c r="BA80" s="25"/>
      <c r="BB80" s="29"/>
      <c r="BC80" s="25"/>
      <c r="BD80" s="29"/>
      <c r="BE80" s="25"/>
      <c r="BF80" s="29"/>
      <c r="BG80" s="25"/>
      <c r="BH80" s="29"/>
      <c r="BI80" s="25"/>
      <c r="BJ80" s="29"/>
      <c r="BK80" s="25"/>
      <c r="BL80" s="29"/>
      <c r="BM80" s="25"/>
      <c r="BN80" s="29"/>
      <c r="BO80" s="25"/>
      <c r="BP80" s="29"/>
      <c r="BQ80" s="25"/>
      <c r="BR80" s="29"/>
      <c r="BS80" s="25"/>
      <c r="BT80" s="29"/>
      <c r="BU80" s="25"/>
      <c r="BV80" s="29"/>
      <c r="BW80" s="25"/>
      <c r="BX80" s="29"/>
      <c r="BY80" s="25"/>
      <c r="CA80" s="1" t="str">
        <f t="shared" si="47"/>
        <v>delete from sscd_mast where sscd_idcd = 'work_dvcd_KOR_common'  and site_idcd = 'common';</v>
      </c>
      <c r="CB80" s="5" t="str">
        <f>IF(E80&lt;&gt;"",CREATE_QUERY($B$1,A$2:AA$2,A80:AA80),"")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('work_dvcd_KOR_common', 'KOR', 'common', 'work_dvcd', '근무구분코드', 'gb', '', '[["1","주간"],["2","야간"]]', '1:주간 2:야간', '', '1=주간|2=야간', '', '0', '0', '0', '0', 'work_dvcd 근무구분코드 [["1","주간"],["2","야간"]]', ' ', '', '', ' ', '', '', '', '', '', '');</v>
      </c>
    </row>
    <row r="81" spans="1:80" ht="17">
      <c r="A81" s="26" t="str">
        <f t="shared" si="48"/>
        <v>work_para_dvcd_KOR_common</v>
      </c>
      <c r="B81" s="25" t="s">
        <v>27</v>
      </c>
      <c r="C81" s="25" t="str">
        <f t="shared" si="54"/>
        <v>common</v>
      </c>
      <c r="D81" s="25" t="s">
        <v>318</v>
      </c>
      <c r="E81" s="25" t="s">
        <v>204</v>
      </c>
      <c r="F81" s="25" t="str">
        <f t="shared" si="50"/>
        <v>gb</v>
      </c>
      <c r="G81" s="25"/>
      <c r="H81" s="35" t="str">
        <f t="shared" si="55"/>
        <v>[["1","1조"],["2","2조"],["3","3조"],["4","4조"],["5","야간근무"]]</v>
      </c>
      <c r="I81" s="35" t="str">
        <f t="shared" si="45"/>
        <v>1:1조 2:2조 3:3조 4:4조 5:야간근무</v>
      </c>
      <c r="J81" s="35"/>
      <c r="K81" s="35" t="str">
        <f t="shared" si="51"/>
        <v>1=1조|2=2조|3=3조|4=4조|5=야간근무</v>
      </c>
      <c r="L81" s="2"/>
      <c r="M81" s="36">
        <v>0</v>
      </c>
      <c r="N81" s="36">
        <v>0</v>
      </c>
      <c r="O81" s="36" t="s">
        <v>31</v>
      </c>
      <c r="P81" s="36" t="s">
        <v>31</v>
      </c>
      <c r="Q81" s="35" t="str">
        <f t="shared" si="56"/>
        <v>work_para_dvcd 근무조구분코드 [["1","1조"],["2","2조"],["3","3조"],["4","4조"],["5","야간근무"]]</v>
      </c>
      <c r="R81" s="2" t="s">
        <v>921</v>
      </c>
      <c r="S81" s="2"/>
      <c r="T81" s="2"/>
      <c r="U81" s="2"/>
      <c r="V81" s="2"/>
      <c r="W81" s="2"/>
      <c r="X81" s="2"/>
      <c r="Y81" s="2"/>
      <c r="Z81" s="2"/>
      <c r="AA81" s="2"/>
      <c r="AB81" s="28" t="s">
        <v>684</v>
      </c>
      <c r="AC81" s="25" t="s">
        <v>717</v>
      </c>
      <c r="AD81" s="28" t="s">
        <v>685</v>
      </c>
      <c r="AE81" s="25" t="s">
        <v>718</v>
      </c>
      <c r="AF81" s="28" t="s">
        <v>687</v>
      </c>
      <c r="AG81" s="25" t="s">
        <v>719</v>
      </c>
      <c r="AH81" s="28" t="s">
        <v>688</v>
      </c>
      <c r="AI81" s="25" t="s">
        <v>720</v>
      </c>
      <c r="AJ81" s="28" t="s">
        <v>576</v>
      </c>
      <c r="AK81" s="25" t="s">
        <v>721</v>
      </c>
      <c r="AL81" s="28"/>
      <c r="AM81" s="25"/>
      <c r="AN81" s="28"/>
      <c r="AO81" s="25"/>
      <c r="AP81" s="28"/>
      <c r="AQ81" s="25"/>
      <c r="AR81" s="28"/>
      <c r="AS81" s="25"/>
      <c r="AT81" s="28"/>
      <c r="AU81" s="25"/>
      <c r="AV81" s="28"/>
      <c r="AW81" s="25"/>
      <c r="AX81" s="28"/>
      <c r="AY81" s="25"/>
      <c r="AZ81" s="28"/>
      <c r="BA81" s="25"/>
      <c r="BB81" s="28"/>
      <c r="BC81" s="25"/>
      <c r="BD81" s="28"/>
      <c r="BE81" s="25"/>
      <c r="BF81" s="28"/>
      <c r="BG81" s="25"/>
      <c r="BH81" s="28"/>
      <c r="BI81" s="25"/>
      <c r="BJ81" s="28"/>
      <c r="BK81" s="25"/>
      <c r="BL81" s="28"/>
      <c r="BM81" s="25"/>
      <c r="BN81" s="28"/>
      <c r="BO81" s="25"/>
      <c r="BP81" s="28"/>
      <c r="BQ81" s="25"/>
      <c r="BR81" s="28"/>
      <c r="BS81" s="25"/>
      <c r="BT81" s="28"/>
      <c r="BU81" s="25"/>
      <c r="BV81" s="28"/>
      <c r="BW81" s="25"/>
      <c r="BX81" s="28"/>
      <c r="BY81" s="25"/>
      <c r="CA81" s="1" t="str">
        <f t="shared" si="47"/>
        <v>delete from sscd_mast where sscd_idcd = 'work_para_dvcd_KOR_common'  and site_idcd = 'common';</v>
      </c>
      <c r="CB81" s="5" t="str">
        <f>IF(E81&lt;&gt;"",CREATE_QUERY($B$1,A$2:AA$2,A81:AA81),"")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('work_para_dvcd_KOR_common', 'KOR', 'common', 'work_para_dvcd', '근무조구분코드', 'gb', '', '[["1","1조"],["2","2조"],["3","3조"],["4","4조"],["5","야간근무"]]', '1:1조 2:2조 3:3조 4:4조 5:야간근무', '', '1=1조|2=2조|3=3조|4=4조|5=야간근무', '', '0', '0', '0', '0', 'work_para_dvcd 근무조구분코드 [["1","1조"],["2","2조"],["3","3조"],["4","4조"],["5","야간근무"]]', ' ', '', '', '', '', '', '', '', '', '');</v>
      </c>
    </row>
    <row r="82" spans="1:80" ht="17">
      <c r="A82" s="26" t="str">
        <f t="shared" si="48"/>
        <v>mold_stat_dvcd_KOR_common</v>
      </c>
      <c r="B82" s="25" t="s">
        <v>27</v>
      </c>
      <c r="C82" s="25" t="str">
        <f t="shared" si="54"/>
        <v>common</v>
      </c>
      <c r="D82" s="25" t="s">
        <v>312</v>
      </c>
      <c r="E82" s="25" t="s">
        <v>198</v>
      </c>
      <c r="F82" s="25" t="str">
        <f t="shared" si="50"/>
        <v>gb</v>
      </c>
      <c r="G82" s="25"/>
      <c r="H82" s="35" t="str">
        <f t="shared" si="55"/>
        <v>[["1000","정상"],["2000","수리대기"],["3000","점검대기"],["4000","이동대기"],["5000","외부보관"],["9000","폐기"]]</v>
      </c>
      <c r="I82" s="35" t="str">
        <f t="shared" si="45"/>
        <v>1000:정상 2000:수리대기 3000:점검대기 4000:이동대기 5000:외부보관 9000:폐기</v>
      </c>
      <c r="J82" s="35"/>
      <c r="K82" s="35" t="str">
        <f t="shared" si="51"/>
        <v>1000=정상|2000=수리대기|3000=점검대기|4000=이동대기|5000=외부보관|9000=폐기</v>
      </c>
      <c r="L82" s="2"/>
      <c r="M82" s="36">
        <v>0</v>
      </c>
      <c r="N82" s="36">
        <v>0</v>
      </c>
      <c r="O82" s="36" t="s">
        <v>31</v>
      </c>
      <c r="P82" s="36" t="s">
        <v>31</v>
      </c>
      <c r="Q82" s="35" t="str">
        <f t="shared" si="56"/>
        <v>mold_stat_dvcd 금형상태구분코드 [["1000","정상"],["2000","수리대기"],["3000","점검대기"],["4000","이동대기"],["5000","외부보관"],["9000","폐기"]]</v>
      </c>
      <c r="R82" s="2" t="s">
        <v>921</v>
      </c>
      <c r="S82" s="2"/>
      <c r="T82" s="2"/>
      <c r="U82" s="2"/>
      <c r="V82" s="2"/>
      <c r="W82" s="2"/>
      <c r="X82" s="2"/>
      <c r="Y82" s="2"/>
      <c r="Z82" s="2"/>
      <c r="AA82" s="2"/>
      <c r="AB82" s="28" t="s">
        <v>591</v>
      </c>
      <c r="AC82" s="25" t="s">
        <v>722</v>
      </c>
      <c r="AD82" s="28" t="s">
        <v>592</v>
      </c>
      <c r="AE82" s="25" t="s">
        <v>724</v>
      </c>
      <c r="AF82" s="28" t="s">
        <v>600</v>
      </c>
      <c r="AG82" s="25" t="s">
        <v>725</v>
      </c>
      <c r="AH82" s="28" t="s">
        <v>601</v>
      </c>
      <c r="AI82" s="25" t="s">
        <v>726</v>
      </c>
      <c r="AJ82" s="28" t="s">
        <v>626</v>
      </c>
      <c r="AK82" s="25" t="s">
        <v>727</v>
      </c>
      <c r="AL82" s="28" t="s">
        <v>661</v>
      </c>
      <c r="AM82" s="25" t="s">
        <v>728</v>
      </c>
      <c r="AN82" s="28"/>
      <c r="AO82" s="25"/>
      <c r="AP82" s="28"/>
      <c r="AQ82" s="25"/>
      <c r="AR82" s="28"/>
      <c r="AS82" s="25"/>
      <c r="AT82" s="28"/>
      <c r="AU82" s="25"/>
      <c r="AV82" s="28"/>
      <c r="AW82" s="25"/>
      <c r="AX82" s="28"/>
      <c r="AY82" s="25"/>
      <c r="AZ82" s="28"/>
      <c r="BA82" s="25"/>
      <c r="BB82" s="28"/>
      <c r="BC82" s="25"/>
      <c r="BD82" s="28"/>
      <c r="BE82" s="25"/>
      <c r="BF82" s="28"/>
      <c r="BG82" s="25"/>
      <c r="BH82" s="28"/>
      <c r="BI82" s="25"/>
      <c r="BJ82" s="28"/>
      <c r="BK82" s="25"/>
      <c r="BL82" s="28"/>
      <c r="BM82" s="25"/>
      <c r="BN82" s="28"/>
      <c r="BO82" s="25"/>
      <c r="BP82" s="28"/>
      <c r="BQ82" s="25"/>
      <c r="BR82" s="28"/>
      <c r="BS82" s="25"/>
      <c r="BT82" s="28"/>
      <c r="BU82" s="25"/>
      <c r="BV82" s="28"/>
      <c r="BW82" s="25"/>
      <c r="BX82" s="28"/>
      <c r="BY82" s="25"/>
      <c r="CA82" s="1" t="str">
        <f t="shared" si="47"/>
        <v>delete from sscd_mast where sscd_idcd = 'mold_stat_dvcd_KOR_common'  and site_idcd = 'common';</v>
      </c>
      <c r="CB82" s="5" t="str">
        <f>IF(E82&lt;&gt;"",CREATE_QUERY($B$1,A$2:AA$2,A82:AA82),"")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('mold_stat_dvcd_KOR_common', 'KOR', 'common', 'mold_stat_dvcd', '금형상태구분코드', 'gb', '', '[["1000","정상"],["2000","수리대기"],["3000","점검대기"],["4000","이동대기"],["5000","외부보관"],["9000","폐기"]]', '1000:정상 2000:수리대기 3000:점검대기 4000:이동대기 5000:외부보관 9000:폐기', '', '1000=정상|2000=수리대기|3000=점검대기|4000=이동대기|5000=외부보관|9000=폐기', '', '0', '0', '0', '0', 'mold_stat_dvcd 금형상태구분코드 [["1000","정상"],["2000","수리대기"],["3000","점검대기"],["4000","이동대기"],["5000","외부보관"],["9000","폐기"]]', ' ', '', '', '', '', '', '', '', '', '');</v>
      </c>
    </row>
    <row r="83" spans="1:80" ht="17">
      <c r="A83" s="26" t="str">
        <f t="shared" si="48"/>
        <v>coun_iout_dvcd_KOR_common</v>
      </c>
      <c r="B83" s="25" t="s">
        <v>27</v>
      </c>
      <c r="C83" s="25" t="str">
        <f t="shared" ref="C83:C126" si="57">IF(E83="","","common")</f>
        <v>common</v>
      </c>
      <c r="D83" s="25" t="s">
        <v>291</v>
      </c>
      <c r="E83" s="25" t="s">
        <v>177</v>
      </c>
      <c r="F83" s="25" t="str">
        <f t="shared" si="50"/>
        <v>gb</v>
      </c>
      <c r="G83" s="25"/>
      <c r="H83" s="35" t="str">
        <f t="shared" si="55"/>
        <v>[["D","내자"],["E","외자"]]</v>
      </c>
      <c r="I83" s="35" t="str">
        <f t="shared" si="45"/>
        <v>D:내자 E:외자</v>
      </c>
      <c r="J83" s="35"/>
      <c r="K83" s="35" t="str">
        <f t="shared" si="51"/>
        <v>D=내자|E=외자</v>
      </c>
      <c r="L83" s="2"/>
      <c r="M83" s="36">
        <v>0</v>
      </c>
      <c r="N83" s="36">
        <v>0</v>
      </c>
      <c r="O83" s="36" t="s">
        <v>31</v>
      </c>
      <c r="P83" s="36" t="s">
        <v>31</v>
      </c>
      <c r="Q83" s="35" t="str">
        <f t="shared" si="56"/>
        <v>coun_iout_dvcd 내외자구분코드 [["D","내자"],["E","외자"]]</v>
      </c>
      <c r="R83" s="2" t="s">
        <v>921</v>
      </c>
      <c r="S83" s="2"/>
      <c r="T83" s="2"/>
      <c r="U83" s="2"/>
      <c r="V83" s="2"/>
      <c r="W83" s="2"/>
      <c r="X83" s="2"/>
      <c r="Y83" s="2"/>
      <c r="Z83" s="2"/>
      <c r="AA83" s="2"/>
      <c r="AB83" s="29" t="s">
        <v>733</v>
      </c>
      <c r="AC83" s="25" t="s">
        <v>734</v>
      </c>
      <c r="AD83" s="29" t="s">
        <v>735</v>
      </c>
      <c r="AE83" s="25" t="s">
        <v>736</v>
      </c>
      <c r="AF83" s="29"/>
      <c r="AG83" s="25"/>
      <c r="AH83" s="29"/>
      <c r="AI83" s="25"/>
      <c r="AJ83" s="29"/>
      <c r="AK83" s="25"/>
      <c r="AL83" s="29"/>
      <c r="AM83" s="25"/>
      <c r="AN83" s="29"/>
      <c r="AO83" s="25"/>
      <c r="AP83" s="29"/>
      <c r="AQ83" s="25"/>
      <c r="AR83" s="29"/>
      <c r="AS83" s="25"/>
      <c r="AT83" s="29"/>
      <c r="AU83" s="25"/>
      <c r="AV83" s="29"/>
      <c r="AW83" s="25"/>
      <c r="AX83" s="29"/>
      <c r="AY83" s="25"/>
      <c r="AZ83" s="29"/>
      <c r="BA83" s="25"/>
      <c r="BB83" s="29"/>
      <c r="BC83" s="25"/>
      <c r="BD83" s="29"/>
      <c r="BE83" s="25"/>
      <c r="BF83" s="29"/>
      <c r="BG83" s="25"/>
      <c r="BH83" s="29"/>
      <c r="BI83" s="25"/>
      <c r="BJ83" s="29"/>
      <c r="BK83" s="25"/>
      <c r="BL83" s="29"/>
      <c r="BM83" s="25"/>
      <c r="BN83" s="29"/>
      <c r="BO83" s="25"/>
      <c r="BP83" s="29"/>
      <c r="BQ83" s="25"/>
      <c r="BR83" s="29"/>
      <c r="BS83" s="25"/>
      <c r="BT83" s="29"/>
      <c r="BU83" s="25"/>
      <c r="BV83" s="29"/>
      <c r="BW83" s="25"/>
      <c r="BX83" s="29"/>
      <c r="BY83" s="25"/>
      <c r="CA83" s="1" t="str">
        <f t="shared" si="47"/>
        <v>delete from sscd_mast where sscd_idcd = 'coun_iout_dvcd_KOR_common'  and site_idcd = 'common';</v>
      </c>
      <c r="CB83" s="5" t="str">
        <f>IF(E83&lt;&gt;"",CREATE_QUERY($B$1,A$2:AA$2,A83:AA83),"")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('coun_iout_dvcd_KOR_common', 'KOR', 'common', 'coun_iout_dvcd', '내외자구분코드', 'gb', '', '[["D","내자"],["E","외자"]]', 'D:내자 E:외자', '', 'D=내자|E=외자', '', '0', '0', '0', '0', 'coun_iout_dvcd 내외자구분코드 [["D","내자"],["E","외자"]]', ' ', '', '', '', '', '', '', '', '', '');</v>
      </c>
    </row>
    <row r="84" spans="1:80" ht="17">
      <c r="A84" s="26" t="str">
        <f t="shared" si="48"/>
        <v>abty_dvcd_KOR_common</v>
      </c>
      <c r="B84" s="25" t="s">
        <v>27</v>
      </c>
      <c r="C84" s="25" t="str">
        <f t="shared" si="57"/>
        <v>common</v>
      </c>
      <c r="D84" s="25" t="s">
        <v>316</v>
      </c>
      <c r="E84" s="25" t="s">
        <v>202</v>
      </c>
      <c r="F84" s="25" t="str">
        <f t="shared" si="50"/>
        <v>gb</v>
      </c>
      <c r="G84" s="25"/>
      <c r="H84" s="35" t="str">
        <f t="shared" si="55"/>
        <v>[["1000","숙련공"],["2000","일반"],["3000","인턴"],["4000","비전공"],["9000","기타"]]</v>
      </c>
      <c r="I84" s="35" t="str">
        <f t="shared" si="45"/>
        <v>1000:숙련공 2000:일반 3000:인턴 4000:비전공 9000:기타</v>
      </c>
      <c r="J84" s="35"/>
      <c r="K84" s="35" t="str">
        <f t="shared" si="51"/>
        <v>1000=숙련공|2000=일반|3000=인턴|4000=비전공|9000=기타</v>
      </c>
      <c r="L84" s="2"/>
      <c r="M84" s="36">
        <v>0</v>
      </c>
      <c r="N84" s="36">
        <v>0</v>
      </c>
      <c r="O84" s="36" t="s">
        <v>31</v>
      </c>
      <c r="P84" s="36" t="s">
        <v>31</v>
      </c>
      <c r="Q84" s="35" t="str">
        <f t="shared" si="56"/>
        <v>abty_dvcd 능력구분코드 [["1000","숙련공"],["2000","일반"],["3000","인턴"],["4000","비전공"],["9000","기타"]]</v>
      </c>
      <c r="R84" s="2" t="s">
        <v>921</v>
      </c>
      <c r="S84" s="2"/>
      <c r="T84" s="2"/>
      <c r="U84" s="2"/>
      <c r="V84" s="2"/>
      <c r="W84" s="2"/>
      <c r="X84" s="2"/>
      <c r="Y84" s="2"/>
      <c r="Z84" s="2"/>
      <c r="AA84" s="2"/>
      <c r="AB84" s="28" t="s">
        <v>591</v>
      </c>
      <c r="AC84" s="25" t="s">
        <v>737</v>
      </c>
      <c r="AD84" s="28" t="s">
        <v>592</v>
      </c>
      <c r="AE84" s="25" t="s">
        <v>738</v>
      </c>
      <c r="AF84" s="28" t="s">
        <v>600</v>
      </c>
      <c r="AG84" s="25" t="s">
        <v>739</v>
      </c>
      <c r="AH84" s="28" t="s">
        <v>601</v>
      </c>
      <c r="AI84" s="25" t="s">
        <v>740</v>
      </c>
      <c r="AJ84" s="28" t="s">
        <v>661</v>
      </c>
      <c r="AK84" s="25" t="s">
        <v>667</v>
      </c>
      <c r="AL84" s="28"/>
      <c r="AM84" s="25"/>
      <c r="AN84" s="28"/>
      <c r="AO84" s="25"/>
      <c r="AP84" s="28"/>
      <c r="AQ84" s="25"/>
      <c r="AR84" s="28"/>
      <c r="AS84" s="25"/>
      <c r="AT84" s="28"/>
      <c r="AU84" s="25"/>
      <c r="AV84" s="28"/>
      <c r="AW84" s="25"/>
      <c r="AX84" s="28"/>
      <c r="AY84" s="25"/>
      <c r="AZ84" s="28"/>
      <c r="BA84" s="25"/>
      <c r="BB84" s="28"/>
      <c r="BC84" s="25"/>
      <c r="BD84" s="28"/>
      <c r="BE84" s="25"/>
      <c r="BF84" s="28"/>
      <c r="BG84" s="25"/>
      <c r="BH84" s="28"/>
      <c r="BI84" s="25"/>
      <c r="BJ84" s="28"/>
      <c r="BK84" s="25"/>
      <c r="BL84" s="28"/>
      <c r="BM84" s="25"/>
      <c r="BN84" s="28"/>
      <c r="BO84" s="25"/>
      <c r="BP84" s="28"/>
      <c r="BQ84" s="25"/>
      <c r="BR84" s="28"/>
      <c r="BS84" s="25"/>
      <c r="BT84" s="28"/>
      <c r="BU84" s="25"/>
      <c r="BV84" s="28"/>
      <c r="BW84" s="25"/>
      <c r="BX84" s="28"/>
      <c r="BY84" s="25"/>
      <c r="CA84" s="1" t="str">
        <f t="shared" si="47"/>
        <v>delete from sscd_mast where sscd_idcd = 'abty_dvcd_KOR_common'  and site_idcd = 'common';</v>
      </c>
      <c r="CB84" s="5" t="str">
        <f>IF(E84&lt;&gt;"",CREATE_QUERY($B$1,A$2:AA$2,A84:AA84),"")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('abty_dvcd_KOR_common', 'KOR', 'common', 'abty_dvcd', '능력구분코드', 'gb', '', '[["1000","숙련공"],["2000","일반"],["3000","인턴"],["4000","비전공"],["9000","기타"]]', '1000:숙련공 2000:일반 3000:인턴 4000:비전공 9000:기타', '', '1000=숙련공|2000=일반|3000=인턴|4000=비전공|9000=기타', '', '0', '0', '0', '0', 'abty_dvcd 능력구분코드 [["1000","숙련공"],["2000","일반"],["3000","인턴"],["4000","비전공"],["9000","기타"]]', ' ', '', '', '', '', '', '', '', '', '');</v>
      </c>
    </row>
    <row r="85" spans="1:80" ht="17">
      <c r="A85" s="26" t="str">
        <f t="shared" si="48"/>
        <v>drtr_dvcd_KOR_common</v>
      </c>
      <c r="B85" s="25" t="s">
        <v>27</v>
      </c>
      <c r="C85" s="25" t="str">
        <f t="shared" si="57"/>
        <v>common</v>
      </c>
      <c r="D85" s="25" t="s">
        <v>301</v>
      </c>
      <c r="E85" s="25" t="s">
        <v>187</v>
      </c>
      <c r="F85" s="25" t="str">
        <f t="shared" si="50"/>
        <v>gb</v>
      </c>
      <c r="G85" s="25"/>
      <c r="H85" s="35" t="str">
        <f t="shared" si="55"/>
        <v>[["1000","영업관리"],["2000","생산관리"],["3001","생산_조립"],["3002","생산_사출"],["3003","생산_품질"],["4000","구매"],["9000","Admin"]]</v>
      </c>
      <c r="I85" s="35" t="str">
        <f t="shared" si="45"/>
        <v>1000:영업관리 2000:생산관리 3001:생산_조립 3002:생산_사출 3003:생산_품질 4000:구매 9000:Admin</v>
      </c>
      <c r="J85" s="35"/>
      <c r="K85" s="35" t="str">
        <f t="shared" si="51"/>
        <v>1000=영업관리|2000=생산관리|3001=생산_조립|3002=생산_사출|3003=생산_품질|4000=구매|9000=Admin</v>
      </c>
      <c r="L85" s="2"/>
      <c r="M85" s="36">
        <v>0</v>
      </c>
      <c r="N85" s="36">
        <v>0</v>
      </c>
      <c r="O85" s="36" t="s">
        <v>31</v>
      </c>
      <c r="P85" s="36" t="s">
        <v>31</v>
      </c>
      <c r="Q85" s="35" t="str">
        <f t="shared" si="56"/>
        <v>drtr_dvcd 담당자구분코드 [["1000","영업관리"],["2000","생산관리"],["3001","생산_조립"],["3002","생산_사출"],["3003","생산_품질"],["4000","구매"],["9000","Admin"]]</v>
      </c>
      <c r="R85" s="2" t="s">
        <v>921</v>
      </c>
      <c r="S85" s="2"/>
      <c r="T85" s="2"/>
      <c r="U85" s="2"/>
      <c r="V85" s="2"/>
      <c r="W85" s="2"/>
      <c r="X85" s="2"/>
      <c r="Y85" s="2"/>
      <c r="Z85" s="2"/>
      <c r="AA85" s="2"/>
      <c r="AB85" s="28" t="s">
        <v>591</v>
      </c>
      <c r="AC85" s="25" t="s">
        <v>742</v>
      </c>
      <c r="AD85" s="28" t="s">
        <v>592</v>
      </c>
      <c r="AE85" s="25" t="s">
        <v>743</v>
      </c>
      <c r="AF85" s="28" t="s">
        <v>745</v>
      </c>
      <c r="AG85" s="25" t="s">
        <v>746</v>
      </c>
      <c r="AH85" s="28" t="s">
        <v>747</v>
      </c>
      <c r="AI85" s="25" t="s">
        <v>748</v>
      </c>
      <c r="AJ85" s="28" t="s">
        <v>749</v>
      </c>
      <c r="AK85" s="25" t="s">
        <v>750</v>
      </c>
      <c r="AL85" s="28" t="s">
        <v>601</v>
      </c>
      <c r="AM85" s="25" t="s">
        <v>751</v>
      </c>
      <c r="AN85" s="28" t="s">
        <v>661</v>
      </c>
      <c r="AO85" s="25" t="s">
        <v>744</v>
      </c>
      <c r="AP85" s="28"/>
      <c r="AQ85" s="25"/>
      <c r="AR85" s="28"/>
      <c r="AS85" s="25"/>
      <c r="AT85" s="28"/>
      <c r="AU85" s="25"/>
      <c r="AV85" s="28"/>
      <c r="AW85" s="25"/>
      <c r="AX85" s="28"/>
      <c r="AY85" s="25"/>
      <c r="AZ85" s="28"/>
      <c r="BA85" s="25"/>
      <c r="BB85" s="28"/>
      <c r="BC85" s="25"/>
      <c r="BD85" s="28"/>
      <c r="BE85" s="25"/>
      <c r="BF85" s="28"/>
      <c r="BG85" s="25"/>
      <c r="BH85" s="28"/>
      <c r="BI85" s="25"/>
      <c r="BJ85" s="28"/>
      <c r="BK85" s="25"/>
      <c r="BL85" s="28"/>
      <c r="BM85" s="25"/>
      <c r="BN85" s="28"/>
      <c r="BO85" s="25"/>
      <c r="BP85" s="28"/>
      <c r="BQ85" s="25"/>
      <c r="BR85" s="28"/>
      <c r="BS85" s="25"/>
      <c r="BT85" s="28"/>
      <c r="BU85" s="25"/>
      <c r="BV85" s="28"/>
      <c r="BW85" s="25"/>
      <c r="BX85" s="28"/>
      <c r="BY85" s="25"/>
      <c r="CA85" s="1" t="str">
        <f t="shared" si="47"/>
        <v>delete from sscd_mast where sscd_idcd = 'drtr_dvcd_KOR_common'  and site_idcd = 'common';</v>
      </c>
      <c r="CB85" s="5" t="str">
        <f>IF(E85&lt;&gt;"",CREATE_QUERY($B$1,A$2:AA$2,A85:AA85),"")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('drtr_dvcd_KOR_common', 'KOR', 'common', 'drtr_dvcd', '담당자구분코드', 'gb', '', '[["1000","영업관리"],["2000","생산관리"],["3001","생산_조립"],["3002","생산_사출"],["3003","생산_품질"],["4000","구매"],["9000","Admin"]]', '1000:영업관리 2000:생산관리 3001:생산_조립 3002:생산_사출 3003:생산_품질 4000:구매 9000:Admin', '', '1000=영업관리|2000=생산관리|3001=생산_조립|3002=생산_사출|3003=생산_품질|4000=구매|9000=Admin', '', '0', '0', '0', '0', 'drtr_dvcd 담당자구분코드 [["1000","영업관리"],["2000","생산관리"],["3001","생산_조립"],["3002","생산_사출"],["3003","생산_품질"],["4000","구매"],["9000","Admin"]]', ' ', '', '', '', '', '', '', '', '', '');</v>
      </c>
    </row>
    <row r="86" spans="1:80" ht="17">
      <c r="A86" s="26" t="str">
        <f t="shared" si="48"/>
        <v>grad_dvcd_KOR_common</v>
      </c>
      <c r="B86" s="25" t="s">
        <v>27</v>
      </c>
      <c r="C86" s="25" t="str">
        <f t="shared" si="57"/>
        <v>common</v>
      </c>
      <c r="D86" s="25" t="s">
        <v>314</v>
      </c>
      <c r="E86" s="25" t="s">
        <v>200</v>
      </c>
      <c r="F86" s="25" t="str">
        <f t="shared" si="50"/>
        <v>gb</v>
      </c>
      <c r="G86" s="25"/>
      <c r="H86" s="35" t="str">
        <f t="shared" si="55"/>
        <v>[["1001","A급"],["1002","B급"],["1003","C급"],["1004","D급"]]</v>
      </c>
      <c r="I86" s="35" t="str">
        <f t="shared" ref="I86:I129" si="58">IF(AB86="","",AB86&amp;":"&amp;AC86)&amp;
IF(AD86="",""," "&amp;AD86&amp;":"&amp;AE86)&amp;
IF(AF86="",""," "&amp;AF86&amp;":"&amp;AG86)&amp;
IF(AH86="",""," "&amp;AH86&amp;":"&amp;AI86)&amp;
IF(AJ86="",""," "&amp;AJ86&amp;":"&amp;AK86)&amp;
IF(AL86="",""," "&amp;AL86&amp;":"&amp;AM86)&amp;
IF(AN86="",""," "&amp;AN86&amp;":"&amp;AO86)&amp;
IF(AP86="",""," "&amp;AP86&amp;":"&amp;AQ86)&amp;
IF(AR86="",""," "&amp;AR86&amp;":"&amp;AS86)&amp;
IF(AT86="",""," "&amp;AT86&amp;":"&amp;AU86)&amp;
IF(AV86="",""," "&amp;AV86&amp;":"&amp;AW86)&amp;
IF(AX86="",""," "&amp;AX86&amp;":"&amp;AY86)&amp;
IF(AZ86="",""," "&amp;AZ86&amp;":"&amp;BA86)&amp;
IF(BB86="",""," "&amp;BB86&amp;":"&amp;BC86)&amp;
IF(BD86="",""," "&amp;BD86&amp;":"&amp;BE86)&amp;
IF(BF86="",""," "&amp;BF86&amp;":"&amp;BG86)&amp;
IF(BH86="",""," "&amp;BH86&amp;":"&amp;BI86)&amp;
IF(BJ86="",""," "&amp;BJ86&amp;":"&amp;BK86)&amp;
IF(BL86="",""," "&amp;BL86&amp;":"&amp;BM86)&amp;
IF(BN86="",""," "&amp;BN86&amp;":"&amp;BO86)&amp;
IF(BP86="",""," "&amp;BP86&amp;":"&amp;BS86)&amp;
IF(BZ86="",""," "&amp;BZ86&amp;":"&amp;CA86)</f>
        <v>1001:A급 1002:B급 1003:C급 1004:D급</v>
      </c>
      <c r="J86" s="35"/>
      <c r="K86" s="35" t="str">
        <f t="shared" ref="K86:K130" si="59">IF(AB86="","",AB86&amp;"="&amp;AC86)&amp;
IF(AD86="","","|"&amp;AD86&amp;"="&amp;AE86)&amp;
IF(AF86="","","|"&amp;AF86&amp;"="&amp;AG86)&amp;
IF(AH86="","","|"&amp;AH86&amp;"="&amp;AI86)&amp;
IF(AJ86="","","|"&amp;AJ86&amp;"="&amp;AK86)&amp;
IF(AL86="","","|"&amp;AL86&amp;"="&amp;AM86)&amp;
IF(AN86="","","|"&amp;AN86&amp;"="&amp;AO86)&amp;
IF(AP86="","","|"&amp;AP86&amp;"="&amp;AQ86)&amp;
IF(AR86="","","|"&amp;AR86&amp;"="&amp;AS86)&amp;
IF(AT86="","","|"&amp;AT86&amp;"="&amp;AU86)&amp;
IF(AV86="","","|"&amp;AV86&amp;"="&amp;AW86)&amp;
IF(AX86="","","|"&amp;AX86&amp;"="&amp;AY86)&amp;
IF(AZ86="","","|"&amp;AZ86&amp;"="&amp;BA86)&amp;
IF(BB86="","","|"&amp;BB86&amp;"="&amp;BC86)&amp;
IF(BD86="","","|"&amp;BD86&amp;"="&amp;BE86)&amp;
IF(BF86="","","|"&amp;BF86&amp;"="&amp;BG86)&amp;
IF(BH86="","","|"&amp;BH86&amp;"="&amp;BI86)&amp;
IF(BJ86="","","|"&amp;BJ86&amp;"="&amp;BK86)&amp;
IF(BL86="","","|"&amp;BL86&amp;"="&amp;BM86)&amp;
IF(BN86="","","|"&amp;BN86&amp;"="&amp;BO86)&amp;
IF(BP86="","","|"&amp;BP86&amp;"="&amp;BQ86)&amp;
IF(BR86="","","|"&amp;BR86&amp;"="&amp;BS86)&amp;
IF(BT86="","","|"&amp;BT86&amp;"="&amp;BU86)&amp;
IF(BV86="","","|"&amp;BV86&amp;"="&amp;BW86)&amp;
IF(BX86="","","|"&amp;BX86&amp;"="&amp;BY86)</f>
        <v>1001=A급|1002=B급|1003=C급|1004=D급</v>
      </c>
      <c r="L86" s="2"/>
      <c r="M86" s="36">
        <v>0</v>
      </c>
      <c r="N86" s="36">
        <v>0</v>
      </c>
      <c r="O86" s="36" t="s">
        <v>31</v>
      </c>
      <c r="P86" s="36" t="s">
        <v>31</v>
      </c>
      <c r="Q86" s="35" t="str">
        <f t="shared" si="56"/>
        <v>grad_dvcd 등급구분코드 [["1001","A급"],["1002","B급"],["1003","C급"],["1004","D급"]]</v>
      </c>
      <c r="R86" s="2" t="s">
        <v>921</v>
      </c>
      <c r="S86" s="2"/>
      <c r="T86" s="2"/>
      <c r="U86" s="2"/>
      <c r="V86" s="2"/>
      <c r="W86" s="2"/>
      <c r="X86" s="2"/>
      <c r="Y86" s="2"/>
      <c r="Z86" s="2"/>
      <c r="AA86" s="2"/>
      <c r="AB86" s="28" t="s">
        <v>654</v>
      </c>
      <c r="AC86" s="25" t="s">
        <v>3162</v>
      </c>
      <c r="AD86" s="28" t="s">
        <v>655</v>
      </c>
      <c r="AE86" s="25" t="s">
        <v>3163</v>
      </c>
      <c r="AF86" s="28" t="s">
        <v>656</v>
      </c>
      <c r="AG86" s="25" t="s">
        <v>3164</v>
      </c>
      <c r="AH86" s="28" t="s">
        <v>657</v>
      </c>
      <c r="AI86" s="25" t="s">
        <v>3165</v>
      </c>
      <c r="AJ86" s="28"/>
      <c r="AK86" s="25"/>
      <c r="AL86" s="28"/>
      <c r="AM86" s="25"/>
      <c r="AN86" s="28"/>
      <c r="AO86" s="25"/>
      <c r="AP86" s="28"/>
      <c r="AQ86" s="25"/>
      <c r="AR86" s="28"/>
      <c r="AS86" s="25"/>
      <c r="AT86" s="28"/>
      <c r="AU86" s="25"/>
      <c r="AV86" s="28"/>
      <c r="AW86" s="25"/>
      <c r="AX86" s="28"/>
      <c r="AY86" s="25"/>
      <c r="AZ86" s="28"/>
      <c r="BA86" s="25"/>
      <c r="BB86" s="28"/>
      <c r="BC86" s="25"/>
      <c r="BD86" s="28"/>
      <c r="BE86" s="25"/>
      <c r="BF86" s="28"/>
      <c r="BG86" s="25"/>
      <c r="BH86" s="28"/>
      <c r="BI86" s="25"/>
      <c r="BJ86" s="28"/>
      <c r="BK86" s="25"/>
      <c r="BL86" s="28"/>
      <c r="BM86" s="25"/>
      <c r="BN86" s="28"/>
      <c r="BO86" s="25"/>
      <c r="BP86" s="28"/>
      <c r="BQ86" s="25"/>
      <c r="BR86" s="28"/>
      <c r="BS86" s="25"/>
      <c r="BT86" s="28"/>
      <c r="BU86" s="25"/>
      <c r="BV86" s="28"/>
      <c r="BW86" s="25"/>
      <c r="BX86" s="28"/>
      <c r="BY86" s="25"/>
      <c r="CA86" s="1" t="str">
        <f t="shared" ref="CA86:CA129" si="60">IF(A86="","","delete from sscd_mast where sscd_idcd = '"&amp;A86&amp;"'  and site_idcd = '"&amp;C86&amp;"';")</f>
        <v>delete from sscd_mast where sscd_idcd = 'grad_dvcd_KOR_common'  and site_idcd = 'common';</v>
      </c>
      <c r="CB86" s="5" t="str">
        <f>IF(E86&lt;&gt;"",CREATE_QUERY($B$1,A$2:AA$2,A86:AA86),"")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('grad_dvcd_KOR_common', 'KOR', 'common', 'grad_dvcd', '등급구분코드', 'gb', '', '[["1001","A급"],["1002","B급"],["1003","C급"],["1004","D급"]]', '1001:A급 1002:B급 1003:C급 1004:D급', '', '1001=A급|1002=B급|1003=C급|1004=D급', '', '0', '0', '0', '0', 'grad_dvcd 등급구분코드 [["1001","A급"],["1002","B급"],["1003","C급"],["1004","D급"]]', ' ', '', '', '', '', '', '', '', '', '');</v>
      </c>
    </row>
    <row r="87" spans="1:80" ht="17">
      <c r="A87" s="26" t="str">
        <f t="shared" si="48"/>
        <v>vend_dvcd_KOR_common</v>
      </c>
      <c r="B87" s="25" t="s">
        <v>27</v>
      </c>
      <c r="C87" s="25" t="str">
        <f t="shared" si="57"/>
        <v>common</v>
      </c>
      <c r="D87" s="25" t="s">
        <v>145</v>
      </c>
      <c r="E87" s="25" t="s">
        <v>70</v>
      </c>
      <c r="F87" s="25" t="str">
        <f t="shared" si="50"/>
        <v>gb</v>
      </c>
      <c r="G87" s="25"/>
      <c r="H87" s="35" t="str">
        <f t="shared" si="55"/>
        <v>[["1","일반거래"],["2","직납거래"]]</v>
      </c>
      <c r="I87" s="35" t="str">
        <f t="shared" si="58"/>
        <v>1:일반거래 2:직납거래</v>
      </c>
      <c r="J87" s="35"/>
      <c r="K87" s="35" t="str">
        <f t="shared" si="59"/>
        <v>1=일반거래|2=직납거래</v>
      </c>
      <c r="L87" s="2"/>
      <c r="M87" s="36">
        <v>0</v>
      </c>
      <c r="N87" s="36">
        <v>0</v>
      </c>
      <c r="O87" s="36" t="s">
        <v>31</v>
      </c>
      <c r="P87" s="36" t="s">
        <v>31</v>
      </c>
      <c r="Q87" s="35" t="str">
        <f t="shared" si="56"/>
        <v>vend_dvcd 매입사 구분(거래형태) [["1","일반거래"],["2","직납거래"]]</v>
      </c>
      <c r="R87" s="2" t="s">
        <v>921</v>
      </c>
      <c r="S87" s="2"/>
      <c r="T87" s="2"/>
      <c r="U87" s="2" t="s">
        <v>32</v>
      </c>
      <c r="V87" s="2"/>
      <c r="W87" s="2"/>
      <c r="X87" s="2"/>
      <c r="Y87" s="2"/>
      <c r="Z87" s="2"/>
      <c r="AA87" s="2"/>
      <c r="AB87" s="29" t="s">
        <v>370</v>
      </c>
      <c r="AC87" s="25" t="s">
        <v>423</v>
      </c>
      <c r="AD87" s="29">
        <v>2</v>
      </c>
      <c r="AE87" s="25" t="s">
        <v>424</v>
      </c>
      <c r="AF87" s="29"/>
      <c r="AG87" s="25"/>
      <c r="AH87" s="29"/>
      <c r="AI87" s="25"/>
      <c r="AJ87" s="29"/>
      <c r="AK87" s="25"/>
      <c r="AL87" s="29"/>
      <c r="AM87" s="25"/>
      <c r="AN87" s="29"/>
      <c r="AO87" s="25"/>
      <c r="AP87" s="29"/>
      <c r="AQ87" s="25"/>
      <c r="AR87" s="29"/>
      <c r="AS87" s="25"/>
      <c r="AT87" s="29"/>
      <c r="AU87" s="25"/>
      <c r="AV87" s="29"/>
      <c r="AW87" s="25"/>
      <c r="AX87" s="29"/>
      <c r="AY87" s="25"/>
      <c r="AZ87" s="29"/>
      <c r="BA87" s="25"/>
      <c r="BB87" s="29"/>
      <c r="BC87" s="25"/>
      <c r="BD87" s="29"/>
      <c r="BE87" s="25"/>
      <c r="BF87" s="29"/>
      <c r="BG87" s="25"/>
      <c r="BH87" s="29"/>
      <c r="BI87" s="25"/>
      <c r="BJ87" s="29"/>
      <c r="BK87" s="25"/>
      <c r="BL87" s="29"/>
      <c r="BM87" s="25"/>
      <c r="BN87" s="29"/>
      <c r="BO87" s="25"/>
      <c r="BP87" s="29"/>
      <c r="BQ87" s="25"/>
      <c r="BR87" s="29"/>
      <c r="BS87" s="25"/>
      <c r="BT87" s="29"/>
      <c r="BU87" s="25"/>
      <c r="BV87" s="29"/>
      <c r="BW87" s="25"/>
      <c r="BX87" s="29"/>
      <c r="BY87" s="25"/>
      <c r="CA87" s="1" t="str">
        <f t="shared" si="60"/>
        <v>delete from sscd_mast where sscd_idcd = 'vend_dvcd_KOR_common'  and site_idcd = 'common';</v>
      </c>
      <c r="CB87" s="5" t="str">
        <f>IF(E87&lt;&gt;"",CREATE_QUERY($B$1,A$2:AA$2,A87:AA87),"")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('vend_dvcd_KOR_common', 'KOR', 'common', 'vend_dvcd', '매입사 구분(거래형태)', 'gb', '', '[["1","일반거래"],["2","직납거래"]]', '1:일반거래 2:직납거래', '', '1=일반거래|2=직납거래', '', '0', '0', '0', '0', 'vend_dvcd 매입사 구분(거래형태) [["1","일반거래"],["2","직납거래"]]', ' ', '', '', ' ', '', '', '', '', '', '');</v>
      </c>
    </row>
    <row r="88" spans="1:80" ht="17">
      <c r="A88" s="26" t="str">
        <f t="shared" si="48"/>
        <v>sale_acct_dvcd_KOR_common</v>
      </c>
      <c r="B88" s="25" t="s">
        <v>27</v>
      </c>
      <c r="C88" s="25" t="str">
        <f t="shared" si="57"/>
        <v>common</v>
      </c>
      <c r="D88" s="25" t="s">
        <v>250</v>
      </c>
      <c r="E88" s="25" t="s">
        <v>61</v>
      </c>
      <c r="F88" s="25" t="str">
        <f t="shared" si="50"/>
        <v>gb</v>
      </c>
      <c r="G88" s="25"/>
      <c r="H88" s="35" t="str">
        <f t="shared" si="55"/>
        <v>[["0","일반매출관리"],["1","매출계정관리"]]</v>
      </c>
      <c r="I88" s="35" t="str">
        <f t="shared" si="58"/>
        <v>0:일반매출관리 1:매출계정관리</v>
      </c>
      <c r="J88" s="35"/>
      <c r="K88" s="35" t="str">
        <f t="shared" si="59"/>
        <v>0=일반매출관리|1=매출계정관리</v>
      </c>
      <c r="L88" s="2"/>
      <c r="M88" s="36">
        <v>0</v>
      </c>
      <c r="N88" s="36">
        <v>0</v>
      </c>
      <c r="O88" s="36" t="s">
        <v>31</v>
      </c>
      <c r="P88" s="36" t="s">
        <v>31</v>
      </c>
      <c r="Q88" s="35" t="str">
        <f t="shared" si="56"/>
        <v>sale_acct_dvcd 매출계정구분 [["0","일반매출관리"],["1","매출계정관리"]]</v>
      </c>
      <c r="R88" s="2" t="s">
        <v>921</v>
      </c>
      <c r="S88" s="2"/>
      <c r="T88" s="2"/>
      <c r="U88" s="2" t="s">
        <v>32</v>
      </c>
      <c r="V88" s="2"/>
      <c r="W88" s="2"/>
      <c r="X88" s="2"/>
      <c r="Y88" s="2"/>
      <c r="Z88" s="2"/>
      <c r="AA88" s="2"/>
      <c r="AB88" s="29" t="s">
        <v>31</v>
      </c>
      <c r="AC88" s="25" t="s">
        <v>425</v>
      </c>
      <c r="AD88" s="29">
        <v>1</v>
      </c>
      <c r="AE88" s="25" t="s">
        <v>426</v>
      </c>
      <c r="AF88" s="29"/>
      <c r="AG88" s="25"/>
      <c r="AH88" s="29"/>
      <c r="AI88" s="25"/>
      <c r="AJ88" s="29"/>
      <c r="AK88" s="25"/>
      <c r="AL88" s="29"/>
      <c r="AM88" s="25"/>
      <c r="AN88" s="29"/>
      <c r="AO88" s="25"/>
      <c r="AP88" s="29"/>
      <c r="AQ88" s="25"/>
      <c r="AR88" s="29"/>
      <c r="AS88" s="25"/>
      <c r="AT88" s="29"/>
      <c r="AU88" s="25"/>
      <c r="AV88" s="29"/>
      <c r="AW88" s="25"/>
      <c r="AX88" s="29"/>
      <c r="AY88" s="25"/>
      <c r="AZ88" s="29"/>
      <c r="BA88" s="25"/>
      <c r="BB88" s="29"/>
      <c r="BC88" s="25"/>
      <c r="BD88" s="29"/>
      <c r="BE88" s="25"/>
      <c r="BF88" s="29"/>
      <c r="BG88" s="25"/>
      <c r="BH88" s="29"/>
      <c r="BI88" s="25"/>
      <c r="BJ88" s="29"/>
      <c r="BK88" s="25"/>
      <c r="BL88" s="29"/>
      <c r="BM88" s="25"/>
      <c r="BN88" s="29"/>
      <c r="BO88" s="25"/>
      <c r="BP88" s="29"/>
      <c r="BQ88" s="25"/>
      <c r="BR88" s="29"/>
      <c r="BS88" s="25"/>
      <c r="BT88" s="29"/>
      <c r="BU88" s="25"/>
      <c r="BV88" s="29"/>
      <c r="BW88" s="25"/>
      <c r="BX88" s="29"/>
      <c r="BY88" s="25"/>
      <c r="CA88" s="1" t="str">
        <f t="shared" si="60"/>
        <v>delete from sscd_mast where sscd_idcd = 'sale_acct_dvcd_KOR_common'  and site_idcd = 'common';</v>
      </c>
      <c r="CB88" s="5" t="str">
        <f>IF(E88&lt;&gt;"",CREATE_QUERY($B$1,A$2:AA$2,A88:AA88),"")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('sale_acct_dvcd_KOR_common', 'KOR', 'common', 'sale_acct_dvcd', '매출계정구분', 'gb', '', '[["0","일반매출관리"],["1","매출계정관리"]]', '0:일반매출관리 1:매출계정관리', '', '0=일반매출관리|1=매출계정관리', '', '0', '0', '0', '0', 'sale_acct_dvcd 매출계정구분 [["0","일반매출관리"],["1","매출계정관리"]]', ' ', '', '', ' ', '', '', '', '', '', '');</v>
      </c>
    </row>
    <row r="89" spans="1:80" ht="17">
      <c r="A89" s="26" t="str">
        <f t="shared" si="48"/>
        <v>rund_dvcd_KOR_common</v>
      </c>
      <c r="B89" s="25" t="s">
        <v>27</v>
      </c>
      <c r="C89" s="25" t="str">
        <f t="shared" si="57"/>
        <v>common</v>
      </c>
      <c r="D89" s="25" t="s">
        <v>251</v>
      </c>
      <c r="E89" s="25" t="s">
        <v>116</v>
      </c>
      <c r="F89" s="25" t="str">
        <f t="shared" si="50"/>
        <v>gb</v>
      </c>
      <c r="G89" s="25"/>
      <c r="H89" s="35" t="str">
        <f t="shared" si="55"/>
        <v>[["1","없음"],["2","소수2번째"]]</v>
      </c>
      <c r="I89" s="35" t="str">
        <f t="shared" si="58"/>
        <v>1:없음 2:소수2번째</v>
      </c>
      <c r="J89" s="35"/>
      <c r="K89" s="35" t="str">
        <f t="shared" si="59"/>
        <v>1=없음|2=소수2번째</v>
      </c>
      <c r="L89" s="2"/>
      <c r="M89" s="36">
        <v>0</v>
      </c>
      <c r="N89" s="36">
        <v>0</v>
      </c>
      <c r="O89" s="36" t="s">
        <v>31</v>
      </c>
      <c r="P89" s="36" t="s">
        <v>31</v>
      </c>
      <c r="Q89" s="35" t="str">
        <f t="shared" si="56"/>
        <v>rund_dvcd 반올림구분 [["1","없음"],["2","소수2번째"]]</v>
      </c>
      <c r="R89" s="2" t="s">
        <v>921</v>
      </c>
      <c r="S89" s="2"/>
      <c r="T89" s="2"/>
      <c r="U89" s="2" t="s">
        <v>32</v>
      </c>
      <c r="V89" s="2"/>
      <c r="W89" s="2"/>
      <c r="X89" s="2"/>
      <c r="Y89" s="2"/>
      <c r="Z89" s="2"/>
      <c r="AA89" s="2"/>
      <c r="AB89" s="29" t="s">
        <v>370</v>
      </c>
      <c r="AC89" s="25" t="s">
        <v>386</v>
      </c>
      <c r="AD89" s="29">
        <v>2</v>
      </c>
      <c r="AE89" s="25" t="s">
        <v>427</v>
      </c>
      <c r="AF89" s="29"/>
      <c r="AG89" s="25"/>
      <c r="AH89" s="29"/>
      <c r="AI89" s="25"/>
      <c r="AJ89" s="29"/>
      <c r="AK89" s="25"/>
      <c r="AL89" s="29"/>
      <c r="AM89" s="25"/>
      <c r="AN89" s="29"/>
      <c r="AO89" s="25"/>
      <c r="AP89" s="29"/>
      <c r="AQ89" s="25"/>
      <c r="AR89" s="29"/>
      <c r="AS89" s="25"/>
      <c r="AT89" s="29"/>
      <c r="AU89" s="25"/>
      <c r="AV89" s="29"/>
      <c r="AW89" s="25"/>
      <c r="AX89" s="29"/>
      <c r="AY89" s="25"/>
      <c r="AZ89" s="29"/>
      <c r="BA89" s="25"/>
      <c r="BB89" s="29"/>
      <c r="BC89" s="25"/>
      <c r="BD89" s="29"/>
      <c r="BE89" s="25"/>
      <c r="BF89" s="29"/>
      <c r="BG89" s="25"/>
      <c r="BH89" s="29"/>
      <c r="BI89" s="25"/>
      <c r="BJ89" s="29"/>
      <c r="BK89" s="25"/>
      <c r="BL89" s="29"/>
      <c r="BM89" s="25"/>
      <c r="BN89" s="29"/>
      <c r="BO89" s="25"/>
      <c r="BP89" s="29"/>
      <c r="BQ89" s="25"/>
      <c r="BR89" s="29"/>
      <c r="BS89" s="25"/>
      <c r="BT89" s="29"/>
      <c r="BU89" s="25"/>
      <c r="BV89" s="29"/>
      <c r="BW89" s="25"/>
      <c r="BX89" s="29"/>
      <c r="BY89" s="25"/>
      <c r="CA89" s="1" t="str">
        <f t="shared" si="60"/>
        <v>delete from sscd_mast where sscd_idcd = 'rund_dvcd_KOR_common'  and site_idcd = 'common';</v>
      </c>
      <c r="CB89" s="5" t="str">
        <f>IF(E89&lt;&gt;"",CREATE_QUERY($B$1,A$2:AA$2,A89:AA89),"")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('rund_dvcd_KOR_common', 'KOR', 'common', 'rund_dvcd', '반올림구분', 'gb', '', '[["1","없음"],["2","소수2번째"]]', '1:없음 2:소수2번째', '', '1=없음|2=소수2번째', '', '0', '0', '0', '0', 'rund_dvcd 반올림구분 [["1","없음"],["2","소수2번째"]]', ' ', '', '', ' ', '', '', '', '', '', '');</v>
      </c>
    </row>
    <row r="90" spans="1:80" ht="17">
      <c r="A90" s="26" t="str">
        <f t="shared" si="48"/>
        <v>purc_dvcd_KOR_common</v>
      </c>
      <c r="B90" s="25" t="s">
        <v>27</v>
      </c>
      <c r="C90" s="25" t="str">
        <f t="shared" si="57"/>
        <v>common</v>
      </c>
      <c r="D90" s="25" t="s">
        <v>252</v>
      </c>
      <c r="E90" s="25" t="s">
        <v>106</v>
      </c>
      <c r="F90" s="25" t="str">
        <f t="shared" si="50"/>
        <v>gb</v>
      </c>
      <c r="G90" s="25"/>
      <c r="H90" s="35" t="str">
        <f t="shared" si="55"/>
        <v>[["1","일반발주"],["2","통합발주"],["3","직납발주"]]</v>
      </c>
      <c r="I90" s="35" t="str">
        <f t="shared" si="58"/>
        <v>1:일반발주 2:통합발주 3:직납발주</v>
      </c>
      <c r="J90" s="35"/>
      <c r="K90" s="35" t="str">
        <f t="shared" si="59"/>
        <v>1=일반발주|2=통합발주|3=직납발주</v>
      </c>
      <c r="L90" s="2"/>
      <c r="M90" s="36">
        <v>0</v>
      </c>
      <c r="N90" s="36">
        <v>0</v>
      </c>
      <c r="O90" s="36" t="s">
        <v>31</v>
      </c>
      <c r="P90" s="36" t="s">
        <v>31</v>
      </c>
      <c r="Q90" s="35" t="str">
        <f t="shared" si="56"/>
        <v>purc_dvcd 발주 구분 [["1","일반발주"],["2","통합발주"],["3","직납발주"]]</v>
      </c>
      <c r="R90" s="2" t="s">
        <v>921</v>
      </c>
      <c r="S90" s="2"/>
      <c r="T90" s="2"/>
      <c r="U90" s="2" t="s">
        <v>32</v>
      </c>
      <c r="V90" s="2"/>
      <c r="W90" s="2"/>
      <c r="X90" s="2"/>
      <c r="Y90" s="2"/>
      <c r="Z90" s="2"/>
      <c r="AA90" s="2"/>
      <c r="AB90" s="29" t="s">
        <v>370</v>
      </c>
      <c r="AC90" s="25" t="s">
        <v>428</v>
      </c>
      <c r="AD90" s="29">
        <v>2</v>
      </c>
      <c r="AE90" s="25" t="s">
        <v>429</v>
      </c>
      <c r="AF90" s="29">
        <v>3</v>
      </c>
      <c r="AG90" s="25" t="s">
        <v>430</v>
      </c>
      <c r="AH90" s="29"/>
      <c r="AI90" s="25"/>
      <c r="AJ90" s="29"/>
      <c r="AK90" s="25"/>
      <c r="AL90" s="29"/>
      <c r="AM90" s="25"/>
      <c r="AN90" s="29"/>
      <c r="AO90" s="25"/>
      <c r="AP90" s="29"/>
      <c r="AQ90" s="25"/>
      <c r="AR90" s="29"/>
      <c r="AS90" s="25"/>
      <c r="AT90" s="29"/>
      <c r="AU90" s="25"/>
      <c r="AV90" s="29"/>
      <c r="AW90" s="25"/>
      <c r="AX90" s="29"/>
      <c r="AY90" s="25"/>
      <c r="AZ90" s="29"/>
      <c r="BA90" s="25"/>
      <c r="BB90" s="29"/>
      <c r="BC90" s="25"/>
      <c r="BD90" s="29"/>
      <c r="BE90" s="25"/>
      <c r="BF90" s="29"/>
      <c r="BG90" s="25"/>
      <c r="BH90" s="29"/>
      <c r="BI90" s="25"/>
      <c r="BJ90" s="29"/>
      <c r="BK90" s="25"/>
      <c r="BL90" s="29"/>
      <c r="BM90" s="25"/>
      <c r="BN90" s="29"/>
      <c r="BO90" s="25"/>
      <c r="BP90" s="29"/>
      <c r="BQ90" s="25"/>
      <c r="BR90" s="29"/>
      <c r="BS90" s="25"/>
      <c r="BT90" s="29"/>
      <c r="BU90" s="25"/>
      <c r="BV90" s="29"/>
      <c r="BW90" s="25"/>
      <c r="BX90" s="29"/>
      <c r="BY90" s="25"/>
      <c r="CA90" s="1" t="str">
        <f t="shared" si="60"/>
        <v>delete from sscd_mast where sscd_idcd = 'purc_dvcd_KOR_common'  and site_idcd = 'common';</v>
      </c>
      <c r="CB90" s="5" t="str">
        <f>IF(E90&lt;&gt;"",CREATE_QUERY($B$1,A$2:AA$2,A90:AA90),"")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('purc_dvcd_KOR_common', 'KOR', 'common', 'purc_dvcd', '발주 구분', 'gb', '', '[["1","일반발주"],["2","통합발주"],["3","직납발주"]]', '1:일반발주 2:통합발주 3:직납발주', '', '1=일반발주|2=통합발주|3=직납발주', '', '0', '0', '0', '0', 'purc_dvcd 발주 구분 [["1","일반발주"],["2","통합발주"],["3","직납발주"]]', ' ', '', '', ' ', '', '', '', '', '', '');</v>
      </c>
    </row>
    <row r="91" spans="1:80" ht="17">
      <c r="A91" s="26" t="str">
        <f t="shared" si="48"/>
        <v>purc_stat_KOR_common</v>
      </c>
      <c r="B91" s="25" t="s">
        <v>27</v>
      </c>
      <c r="C91" s="25" t="str">
        <f t="shared" si="57"/>
        <v>common</v>
      </c>
      <c r="D91" s="25" t="s">
        <v>253</v>
      </c>
      <c r="E91" s="25" t="s">
        <v>34</v>
      </c>
      <c r="F91" s="25" t="str">
        <f t="shared" si="50"/>
        <v>gb</v>
      </c>
      <c r="G91" s="25"/>
      <c r="H91" s="35" t="str">
        <f t="shared" si="55"/>
        <v>[["0010","승인대기"],["0200","발주승인"],["0400","발주승인"],["0500","발주승인"]]</v>
      </c>
      <c r="I91" s="35" t="str">
        <f t="shared" si="58"/>
        <v>0010:승인대기 0200:발주승인 0400:발주승인 0500:발주승인</v>
      </c>
      <c r="J91" s="35"/>
      <c r="K91" s="35" t="str">
        <f t="shared" si="59"/>
        <v>0010=승인대기|0200=발주승인|0400=발주승인|0500=발주승인</v>
      </c>
      <c r="L91" s="2"/>
      <c r="M91" s="36">
        <v>0</v>
      </c>
      <c r="N91" s="36">
        <v>0</v>
      </c>
      <c r="O91" s="36" t="s">
        <v>31</v>
      </c>
      <c r="P91" s="36" t="s">
        <v>31</v>
      </c>
      <c r="Q91" s="35" t="str">
        <f t="shared" si="56"/>
        <v>purc_stat 발주 상태 코드 [["0010","승인대기"],["0200","발주승인"],["0400","발주승인"],["0500","발주승인"]]</v>
      </c>
      <c r="R91" s="2" t="s">
        <v>921</v>
      </c>
      <c r="S91" s="2"/>
      <c r="T91" s="2"/>
      <c r="U91" s="2" t="s">
        <v>32</v>
      </c>
      <c r="V91" s="2"/>
      <c r="W91" s="2"/>
      <c r="X91" s="2"/>
      <c r="Y91" s="2"/>
      <c r="Z91" s="2"/>
      <c r="AA91" s="2"/>
      <c r="AB91" s="29" t="s">
        <v>2457</v>
      </c>
      <c r="AC91" s="25" t="s">
        <v>431</v>
      </c>
      <c r="AD91" s="29" t="s">
        <v>584</v>
      </c>
      <c r="AE91" s="25" t="s">
        <v>432</v>
      </c>
      <c r="AF91" s="29" t="s">
        <v>567</v>
      </c>
      <c r="AG91" s="25" t="s">
        <v>432</v>
      </c>
      <c r="AH91" s="29" t="s">
        <v>568</v>
      </c>
      <c r="AI91" s="25" t="s">
        <v>432</v>
      </c>
      <c r="AJ91" s="29"/>
      <c r="AK91" s="25"/>
      <c r="AL91" s="29"/>
      <c r="AM91" s="25"/>
      <c r="AN91" s="29"/>
      <c r="AO91" s="25"/>
      <c r="AP91" s="29"/>
      <c r="AQ91" s="25"/>
      <c r="AR91" s="29"/>
      <c r="AS91" s="25"/>
      <c r="AT91" s="29"/>
      <c r="AU91" s="25"/>
      <c r="AV91" s="29"/>
      <c r="AW91" s="25"/>
      <c r="AX91" s="29"/>
      <c r="AY91" s="25"/>
      <c r="AZ91" s="29"/>
      <c r="BA91" s="25"/>
      <c r="BB91" s="29"/>
      <c r="BC91" s="25"/>
      <c r="BD91" s="29"/>
      <c r="BE91" s="25"/>
      <c r="BF91" s="29"/>
      <c r="BG91" s="25"/>
      <c r="BH91" s="29"/>
      <c r="BI91" s="25"/>
      <c r="BJ91" s="29"/>
      <c r="BK91" s="25"/>
      <c r="BL91" s="29"/>
      <c r="BM91" s="25"/>
      <c r="BN91" s="29"/>
      <c r="BO91" s="25"/>
      <c r="BP91" s="29"/>
      <c r="BQ91" s="25"/>
      <c r="BR91" s="29"/>
      <c r="BS91" s="25"/>
      <c r="BT91" s="29"/>
      <c r="BU91" s="25"/>
      <c r="BV91" s="29"/>
      <c r="BW91" s="25"/>
      <c r="BX91" s="29"/>
      <c r="BY91" s="25"/>
      <c r="CA91" s="1" t="str">
        <f t="shared" si="60"/>
        <v>delete from sscd_mast where sscd_idcd = 'purc_stat_KOR_common'  and site_idcd = 'common';</v>
      </c>
      <c r="CB91" s="5" t="str">
        <f>IF(E91&lt;&gt;"",CREATE_QUERY($B$1,A$2:AA$2,A91:AA91),"")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('purc_stat_KOR_common', 'KOR', 'common', 'purc_stat', '발주 상태 코드', 'gb', '', '[["0010","승인대기"],["0200","발주승인"],["0400","발주승인"],["0500","발주승인"]]', '0010:승인대기 0200:발주승인 0400:발주승인 0500:발주승인', '', '0010=승인대기|0200=발주승인|0400=발주승인|0500=발주승인', '', '0', '0', '0', '0', 'purc_stat 발주 상태 코드 [["0010","승인대기"],["0200","발주승인"],["0400","발주승인"],["0500","발주승인"]]', ' ', '', '', ' ', '', '', '', '', '', '');</v>
      </c>
    </row>
    <row r="92" spans="1:80" ht="17">
      <c r="A92" s="26" t="str">
        <f t="shared" si="48"/>
        <v>dlvy_lcal_dvcd_KOR_common</v>
      </c>
      <c r="B92" s="25" t="s">
        <v>27</v>
      </c>
      <c r="C92" s="25" t="str">
        <f t="shared" si="57"/>
        <v>common</v>
      </c>
      <c r="D92" s="25" t="s">
        <v>304</v>
      </c>
      <c r="E92" s="25" t="s">
        <v>190</v>
      </c>
      <c r="F92" s="25" t="str">
        <f t="shared" si="50"/>
        <v>gb</v>
      </c>
      <c r="G92" s="25"/>
      <c r="H92" s="35" t="str">
        <f t="shared" ref="H92:H114" si="61">"[["""&amp;
SUBSTITUTE(SUBSTITUTE(I92,":",""",""")," ","""],[""")
&amp;"""]]"</f>
        <v>[["1001","도심_1일권역"],["1002","농어촌_1일권역"],["1003","도서_1일권역"],["2001","도심_2일권역"],["2002","농어촌_2일권역"],["2003","도서_2일권역"],["3001","도심_3일권역"],["3002","농어촌_3일권역"],["3003","도서_3일권역"]]</v>
      </c>
      <c r="I92" s="35" t="str">
        <f t="shared" si="58"/>
        <v>1001:도심_1일권역 1002:농어촌_1일권역 1003:도서_1일권역 2001:도심_2일권역 2002:농어촌_2일권역 2003:도서_2일권역 3001:도심_3일권역 3002:농어촌_3일권역 3003:도서_3일권역</v>
      </c>
      <c r="J92" s="35"/>
      <c r="K92" s="35" t="str">
        <f t="shared" si="59"/>
        <v>1001=도심_1일권역|1002=농어촌_1일권역|1003=도서_1일권역|2001=도심_2일권역|2002=농어촌_2일권역|2003=도서_2일권역|3001=도심_3일권역|3002=농어촌_3일권역|3003=도서_3일권역</v>
      </c>
      <c r="L92" s="2"/>
      <c r="M92" s="36">
        <v>0</v>
      </c>
      <c r="N92" s="36">
        <v>0</v>
      </c>
      <c r="O92" s="36" t="s">
        <v>31</v>
      </c>
      <c r="P92" s="36" t="s">
        <v>31</v>
      </c>
      <c r="Q92" s="35" t="str">
        <f t="shared" ref="Q92:Q114" si="62">IF(D92="","",D92&amp;" "&amp;E92&amp;" "&amp;H92)</f>
        <v>dlvy_lcal_dvcd 배송지역구분코드 [["1001","도심_1일권역"],["1002","농어촌_1일권역"],["1003","도서_1일권역"],["2001","도심_2일권역"],["2002","농어촌_2일권역"],["2003","도서_2일권역"],["3001","도심_3일권역"],["3002","농어촌_3일권역"],["3003","도서_3일권역"]]</v>
      </c>
      <c r="R92" s="2" t="s">
        <v>921</v>
      </c>
      <c r="S92" s="2"/>
      <c r="T92" s="2"/>
      <c r="U92" s="2"/>
      <c r="V92" s="2"/>
      <c r="W92" s="2"/>
      <c r="X92" s="2"/>
      <c r="Y92" s="2"/>
      <c r="Z92" s="2"/>
      <c r="AA92" s="2"/>
      <c r="AB92" s="28" t="s">
        <v>654</v>
      </c>
      <c r="AC92" s="25" t="s">
        <v>753</v>
      </c>
      <c r="AD92" s="28" t="s">
        <v>655</v>
      </c>
      <c r="AE92" s="25" t="s">
        <v>754</v>
      </c>
      <c r="AF92" s="28" t="s">
        <v>656</v>
      </c>
      <c r="AG92" s="25" t="s">
        <v>755</v>
      </c>
      <c r="AH92" s="28" t="s">
        <v>692</v>
      </c>
      <c r="AI92" s="25" t="s">
        <v>756</v>
      </c>
      <c r="AJ92" s="28" t="s">
        <v>693</v>
      </c>
      <c r="AK92" s="25" t="s">
        <v>757</v>
      </c>
      <c r="AL92" s="28" t="s">
        <v>731</v>
      </c>
      <c r="AM92" s="25" t="s">
        <v>758</v>
      </c>
      <c r="AN92" s="28" t="s">
        <v>745</v>
      </c>
      <c r="AO92" s="25" t="s">
        <v>759</v>
      </c>
      <c r="AP92" s="28" t="s">
        <v>747</v>
      </c>
      <c r="AQ92" s="25" t="s">
        <v>760</v>
      </c>
      <c r="AR92" s="28" t="s">
        <v>749</v>
      </c>
      <c r="AS92" s="25" t="s">
        <v>761</v>
      </c>
      <c r="AT92" s="28"/>
      <c r="AU92" s="25"/>
      <c r="AV92" s="28"/>
      <c r="AW92" s="25"/>
      <c r="AX92" s="28"/>
      <c r="AY92" s="25"/>
      <c r="AZ92" s="28"/>
      <c r="BA92" s="25"/>
      <c r="BB92" s="28"/>
      <c r="BC92" s="25"/>
      <c r="BD92" s="28"/>
      <c r="BE92" s="25"/>
      <c r="BF92" s="28"/>
      <c r="BG92" s="25"/>
      <c r="BH92" s="28"/>
      <c r="BI92" s="25"/>
      <c r="BJ92" s="28"/>
      <c r="BK92" s="25"/>
      <c r="BL92" s="28"/>
      <c r="BM92" s="25"/>
      <c r="BN92" s="28"/>
      <c r="BO92" s="25"/>
      <c r="BP92" s="28"/>
      <c r="BQ92" s="25"/>
      <c r="BR92" s="28"/>
      <c r="BS92" s="25"/>
      <c r="BT92" s="28"/>
      <c r="BU92" s="25"/>
      <c r="BV92" s="28"/>
      <c r="BW92" s="25"/>
      <c r="BX92" s="28"/>
      <c r="BY92" s="25"/>
      <c r="CA92" s="1" t="str">
        <f t="shared" si="60"/>
        <v>delete from sscd_mast where sscd_idcd = 'dlvy_lcal_dvcd_KOR_common'  and site_idcd = 'common';</v>
      </c>
      <c r="CB92" s="5" t="str">
        <f>IF(E92&lt;&gt;"",CREATE_QUERY($B$1,A$2:AA$2,A92:AA92),"")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('dlvy_lcal_dvcd_KOR_common', 'KOR', 'common', 'dlvy_lcal_dvcd', '배송지역구분코드', 'gb', '', '[["1001","도심_1일권역"],["1002","농어촌_1일권역"],["1003","도서_1일권역"],["2001","도심_2일권역"],["2002","농어촌_2일권역"],["2003","도서_2일권역"],["3001","도심_3일권역"],["3002","농어촌_3일권역"],["3003","도서_3일권역"]]', '1001:도심_1일권역 1002:농어촌_1일권역 1003:도서_1일권역 2001:도심_2일권역 2002:농어촌_2일권역 2003:도서_2일권역 3001:도심_3일권역 3002:농어촌_3일권역 3003:도서_3일권역', '', '1001=도심_1일권역|1002=농어촌_1일권역|1003=도서_1일권역|2001=도심_2일권역|2002=농어촌_2일권역|2003=도서_2일권역|3001=도심_3일권역|3002=농어촌_3일권역|3003=도서_3일권역', '', '0', '0', '0', '0', 'dlvy_lcal_dvcd 배송지역구분코드 [["1001","도심_1일권역"],["1002","농어촌_1일권역"],["1003","도서_1일권역"],["2001","도심_2일권역"],["2002","농어촌_2일권역"],["2003","도서_2일권역"],["3001","도심_3일권역"],["3002","농어촌_3일권역"],["3003","도서_3일권역"]]', ' ', '', '', '', '', '', '', '', '', '');</v>
      </c>
    </row>
    <row r="93" spans="1:80" ht="17">
      <c r="A93" s="26" t="str">
        <f t="shared" si="48"/>
        <v>corp_dvcd_KOR_common</v>
      </c>
      <c r="B93" s="25" t="s">
        <v>27</v>
      </c>
      <c r="C93" s="25" t="str">
        <f t="shared" si="57"/>
        <v>common</v>
      </c>
      <c r="D93" s="25" t="s">
        <v>299</v>
      </c>
      <c r="E93" s="25" t="s">
        <v>185</v>
      </c>
      <c r="F93" s="25" t="str">
        <f t="shared" si="50"/>
        <v>gb</v>
      </c>
      <c r="G93" s="25"/>
      <c r="H93" s="35" t="str">
        <f t="shared" si="61"/>
        <v>[["1","법인"],["2","개인"],["9","기타"]]</v>
      </c>
      <c r="I93" s="35" t="str">
        <f t="shared" si="58"/>
        <v>1:법인 2:개인 9:기타</v>
      </c>
      <c r="J93" s="35"/>
      <c r="K93" s="35" t="str">
        <f t="shared" si="59"/>
        <v>1=법인|2=개인|9=기타</v>
      </c>
      <c r="L93" s="2"/>
      <c r="M93" s="36">
        <v>0</v>
      </c>
      <c r="N93" s="36">
        <v>0</v>
      </c>
      <c r="O93" s="36" t="s">
        <v>31</v>
      </c>
      <c r="P93" s="36" t="s">
        <v>31</v>
      </c>
      <c r="Q93" s="35" t="str">
        <f t="shared" si="62"/>
        <v>corp_dvcd 법인구분코드 [["1","법인"],["2","개인"],["9","기타"]]</v>
      </c>
      <c r="R93" s="2" t="s">
        <v>921</v>
      </c>
      <c r="S93" s="2"/>
      <c r="T93" s="2"/>
      <c r="U93" s="2"/>
      <c r="V93" s="2"/>
      <c r="W93" s="2"/>
      <c r="X93" s="2"/>
      <c r="Y93" s="2"/>
      <c r="Z93" s="2"/>
      <c r="AA93" s="2"/>
      <c r="AB93" s="28" t="s">
        <v>684</v>
      </c>
      <c r="AC93" s="25" t="s">
        <v>762</v>
      </c>
      <c r="AD93" s="28" t="s">
        <v>685</v>
      </c>
      <c r="AE93" s="25" t="s">
        <v>763</v>
      </c>
      <c r="AF93" s="28" t="s">
        <v>570</v>
      </c>
      <c r="AG93" s="25" t="s">
        <v>764</v>
      </c>
      <c r="AH93" s="28"/>
      <c r="AI93" s="25"/>
      <c r="AJ93" s="28"/>
      <c r="AK93" s="25"/>
      <c r="AL93" s="28"/>
      <c r="AM93" s="25"/>
      <c r="AN93" s="28"/>
      <c r="AO93" s="25"/>
      <c r="AP93" s="28"/>
      <c r="AQ93" s="25"/>
      <c r="AR93" s="28"/>
      <c r="AS93" s="25"/>
      <c r="AT93" s="28"/>
      <c r="AU93" s="25"/>
      <c r="AV93" s="28"/>
      <c r="AW93" s="25"/>
      <c r="AX93" s="28"/>
      <c r="AY93" s="25"/>
      <c r="AZ93" s="28"/>
      <c r="BA93" s="25"/>
      <c r="BB93" s="28"/>
      <c r="BC93" s="25"/>
      <c r="BD93" s="28"/>
      <c r="BE93" s="25"/>
      <c r="BF93" s="28"/>
      <c r="BG93" s="25"/>
      <c r="BH93" s="28"/>
      <c r="BI93" s="25"/>
      <c r="BJ93" s="28"/>
      <c r="BK93" s="25"/>
      <c r="BL93" s="28"/>
      <c r="BM93" s="25"/>
      <c r="BN93" s="28"/>
      <c r="BO93" s="25"/>
      <c r="BP93" s="28"/>
      <c r="BQ93" s="25"/>
      <c r="BR93" s="28"/>
      <c r="BS93" s="25"/>
      <c r="BT93" s="28"/>
      <c r="BU93" s="25"/>
      <c r="BV93" s="28"/>
      <c r="BW93" s="25"/>
      <c r="BX93" s="28"/>
      <c r="BY93" s="25"/>
      <c r="CA93" s="1" t="str">
        <f t="shared" si="60"/>
        <v>delete from sscd_mast where sscd_idcd = 'corp_dvcd_KOR_common'  and site_idcd = 'common';</v>
      </c>
      <c r="CB93" s="5" t="str">
        <f>IF(E93&lt;&gt;"",CREATE_QUERY($B$1,A$2:AA$2,A93:AA93),"")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('corp_dvcd_KOR_common', 'KOR', 'common', 'corp_dvcd', '법인구분코드', 'gb', '', '[["1","법인"],["2","개인"],["9","기타"]]', '1:법인 2:개인 9:기타', '', '1=법인|2=개인|9=기타', '', '0', '0', '0', '0', 'corp_dvcd 법인구분코드 [["1","법인"],["2","개인"],["9","기타"]]', ' ', '', '', '', '', '', '', '', '', '');</v>
      </c>
    </row>
    <row r="94" spans="1:80" ht="17">
      <c r="A94" s="26" t="str">
        <f t="shared" ref="A94:A140" si="63">IF(D94="","",D94&amp;"_"&amp;B94&amp;"_"&amp;C94)</f>
        <v>chge_resn_dvcd_KOR_common</v>
      </c>
      <c r="B94" s="25" t="s">
        <v>27</v>
      </c>
      <c r="C94" s="25" t="str">
        <f t="shared" si="57"/>
        <v>common</v>
      </c>
      <c r="D94" s="25" t="s">
        <v>296</v>
      </c>
      <c r="E94" s="25" t="s">
        <v>182</v>
      </c>
      <c r="F94" s="25" t="str">
        <f t="shared" ref="F94:F140" si="64">IF(A94="","","gb")</f>
        <v>gb</v>
      </c>
      <c r="G94" s="25"/>
      <c r="H94" s="35" t="str">
        <f t="shared" si="61"/>
        <v>[["0000","신규등록"],["1000","고객요청"],["2001","생산능력"],["2002","근무변경"],["2003","설비고장"],["3001","자재결품"],["9000","기타"]]</v>
      </c>
      <c r="I94" s="35" t="str">
        <f t="shared" si="58"/>
        <v>0000:신규등록 1000:고객요청 2001:생산능력 2002:근무변경 2003:설비고장 3001:자재결품 9000:기타</v>
      </c>
      <c r="J94" s="35"/>
      <c r="K94" s="35" t="str">
        <f t="shared" si="59"/>
        <v>0000=신규등록|1000=고객요청|2001=생산능력|2002=근무변경|2003=설비고장|3001=자재결품|9000=기타</v>
      </c>
      <c r="L94" s="2"/>
      <c r="M94" s="36">
        <v>0</v>
      </c>
      <c r="N94" s="36">
        <v>0</v>
      </c>
      <c r="O94" s="36" t="s">
        <v>31</v>
      </c>
      <c r="P94" s="36" t="s">
        <v>31</v>
      </c>
      <c r="Q94" s="35" t="str">
        <f t="shared" si="62"/>
        <v>chge_resn_dvcd 변경사유구분코드 [["0000","신규등록"],["1000","고객요청"],["2001","생산능력"],["2002","근무변경"],["2003","설비고장"],["3001","자재결품"],["9000","기타"]]</v>
      </c>
      <c r="R94" s="2" t="s">
        <v>921</v>
      </c>
      <c r="S94" s="2"/>
      <c r="T94" s="2"/>
      <c r="U94" s="2"/>
      <c r="V94" s="2"/>
      <c r="W94" s="2"/>
      <c r="X94" s="2"/>
      <c r="Y94" s="2"/>
      <c r="Z94" s="2"/>
      <c r="AA94" s="2"/>
      <c r="AB94" s="28" t="s">
        <v>776</v>
      </c>
      <c r="AC94" s="25" t="s">
        <v>2934</v>
      </c>
      <c r="AD94" s="28" t="s">
        <v>591</v>
      </c>
      <c r="AE94" s="25" t="s">
        <v>765</v>
      </c>
      <c r="AF94" s="28" t="s">
        <v>692</v>
      </c>
      <c r="AG94" s="25" t="s">
        <v>766</v>
      </c>
      <c r="AH94" s="28" t="s">
        <v>693</v>
      </c>
      <c r="AI94" s="25" t="s">
        <v>767</v>
      </c>
      <c r="AJ94" s="28" t="s">
        <v>731</v>
      </c>
      <c r="AK94" s="25" t="s">
        <v>768</v>
      </c>
      <c r="AL94" s="28" t="s">
        <v>745</v>
      </c>
      <c r="AM94" s="25" t="s">
        <v>769</v>
      </c>
      <c r="AN94" s="28" t="s">
        <v>661</v>
      </c>
      <c r="AO94" s="25" t="s">
        <v>612</v>
      </c>
      <c r="AP94" s="28"/>
      <c r="AQ94" s="25"/>
      <c r="AR94" s="28"/>
      <c r="AS94" s="25"/>
      <c r="AT94" s="28"/>
      <c r="AU94" s="25"/>
      <c r="AV94" s="28"/>
      <c r="AW94" s="25"/>
      <c r="AX94" s="28"/>
      <c r="AY94" s="25"/>
      <c r="AZ94" s="28"/>
      <c r="BA94" s="25"/>
      <c r="BB94" s="28"/>
      <c r="BC94" s="25"/>
      <c r="BD94" s="28"/>
      <c r="BE94" s="25"/>
      <c r="BF94" s="28"/>
      <c r="BG94" s="25"/>
      <c r="BH94" s="28"/>
      <c r="BI94" s="25"/>
      <c r="BJ94" s="28"/>
      <c r="BK94" s="25"/>
      <c r="BL94" s="28"/>
      <c r="BM94" s="25"/>
      <c r="BN94" s="28"/>
      <c r="BO94" s="25"/>
      <c r="BP94" s="28"/>
      <c r="BQ94" s="25"/>
      <c r="BR94" s="28"/>
      <c r="BS94" s="25"/>
      <c r="BT94" s="28"/>
      <c r="BU94" s="25"/>
      <c r="BV94" s="28"/>
      <c r="BW94" s="25"/>
      <c r="BX94" s="28"/>
      <c r="BY94" s="25"/>
      <c r="CA94" s="1" t="str">
        <f t="shared" si="60"/>
        <v>delete from sscd_mast where sscd_idcd = 'chge_resn_dvcd_KOR_common'  and site_idcd = 'common';</v>
      </c>
      <c r="CB94" s="5" t="str">
        <f>IF(E94&lt;&gt;"",CREATE_QUERY($B$1,A$2:AA$2,A94:AA94),"")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('chge_resn_dvcd_KOR_common', 'KOR', 'common', 'chge_resn_dvcd', '변경사유구분코드', 'gb', '', '[["0000","신규등록"],["1000","고객요청"],["2001","생산능력"],["2002","근무변경"],["2003","설비고장"],["3001","자재결품"],["9000","기타"]]', '0000:신규등록 1000:고객요청 2001:생산능력 2002:근무변경 2003:설비고장 3001:자재결품 9000:기타', '', '0000=신규등록|1000=고객요청|2001=생산능력|2002=근무변경|2003=설비고장|3001=자재결품|9000=기타', '', '0', '0', '0', '0', 'chge_resn_dvcd 변경사유구분코드 [["0000","신규등록"],["1000","고객요청"],["2001","생산능력"],["2002","근무변경"],["2003","설비고장"],["3001","자재결품"],["9000","기타"]]', ' ', '', '', '', '', '', '', '', '', '');</v>
      </c>
    </row>
    <row r="95" spans="1:80" ht="17">
      <c r="A95" s="26" t="str">
        <f t="shared" si="63"/>
        <v>chge_optn_dvcd_KOR_common</v>
      </c>
      <c r="B95" s="25" t="s">
        <v>27</v>
      </c>
      <c r="C95" s="25" t="str">
        <f t="shared" si="57"/>
        <v>common</v>
      </c>
      <c r="D95" s="25" t="s">
        <v>305</v>
      </c>
      <c r="E95" s="25" t="s">
        <v>191</v>
      </c>
      <c r="F95" s="25" t="str">
        <f t="shared" si="64"/>
        <v>gb</v>
      </c>
      <c r="G95" s="25"/>
      <c r="H95" s="35" t="str">
        <f t="shared" si="61"/>
        <v>[["1","필수"],["2","고려"],["3","확인필요"],["9","없음"]]</v>
      </c>
      <c r="I95" s="35" t="str">
        <f t="shared" si="58"/>
        <v>1:필수 2:고려 3:확인필요 9:없음</v>
      </c>
      <c r="J95" s="35"/>
      <c r="K95" s="35" t="str">
        <f t="shared" si="59"/>
        <v>1=필수|2=고려|3=확인필요|9=없음</v>
      </c>
      <c r="L95" s="2"/>
      <c r="M95" s="36">
        <v>0</v>
      </c>
      <c r="N95" s="36">
        <v>0</v>
      </c>
      <c r="O95" s="36" t="s">
        <v>31</v>
      </c>
      <c r="P95" s="36" t="s">
        <v>31</v>
      </c>
      <c r="Q95" s="35" t="str">
        <f t="shared" si="62"/>
        <v>chge_optn_dvcd 변경옵션구분코드 [["1","필수"],["2","고려"],["3","확인필요"],["9","없음"]]</v>
      </c>
      <c r="R95" s="2" t="s">
        <v>921</v>
      </c>
      <c r="S95" s="2"/>
      <c r="T95" s="2"/>
      <c r="U95" s="2"/>
      <c r="V95" s="2"/>
      <c r="W95" s="2"/>
      <c r="X95" s="2"/>
      <c r="Y95" s="2"/>
      <c r="Z95" s="2"/>
      <c r="AA95" s="2"/>
      <c r="AB95" s="28" t="s">
        <v>684</v>
      </c>
      <c r="AC95" s="25" t="s">
        <v>902</v>
      </c>
      <c r="AD95" s="28" t="s">
        <v>685</v>
      </c>
      <c r="AE95" s="25" t="s">
        <v>903</v>
      </c>
      <c r="AF95" s="28" t="s">
        <v>687</v>
      </c>
      <c r="AG95" s="25" t="s">
        <v>904</v>
      </c>
      <c r="AH95" s="28" t="s">
        <v>570</v>
      </c>
      <c r="AI95" s="25" t="s">
        <v>2482</v>
      </c>
      <c r="AJ95" s="28"/>
      <c r="AK95" s="25"/>
      <c r="AL95" s="28"/>
      <c r="AM95" s="25"/>
      <c r="AN95" s="28"/>
      <c r="AO95" s="25"/>
      <c r="AP95" s="28"/>
      <c r="AQ95" s="25"/>
      <c r="AR95" s="28"/>
      <c r="AS95" s="25"/>
      <c r="AT95" s="28"/>
      <c r="AU95" s="25"/>
      <c r="AV95" s="28"/>
      <c r="AW95" s="25"/>
      <c r="AX95" s="28"/>
      <c r="AY95" s="25"/>
      <c r="AZ95" s="28"/>
      <c r="BA95" s="25"/>
      <c r="BB95" s="28"/>
      <c r="BC95" s="25"/>
      <c r="BD95" s="28"/>
      <c r="BE95" s="25"/>
      <c r="BF95" s="28"/>
      <c r="BG95" s="25"/>
      <c r="BH95" s="28"/>
      <c r="BI95" s="25"/>
      <c r="BJ95" s="28"/>
      <c r="BK95" s="25"/>
      <c r="BL95" s="28"/>
      <c r="BM95" s="25"/>
      <c r="BN95" s="28"/>
      <c r="BO95" s="25"/>
      <c r="BP95" s="28"/>
      <c r="BQ95" s="25"/>
      <c r="BR95" s="28"/>
      <c r="BS95" s="25"/>
      <c r="BT95" s="28"/>
      <c r="BU95" s="25"/>
      <c r="BV95" s="28"/>
      <c r="BW95" s="25"/>
      <c r="BX95" s="28"/>
      <c r="BY95" s="25"/>
      <c r="CA95" s="1" t="str">
        <f t="shared" si="60"/>
        <v>delete from sscd_mast where sscd_idcd = 'chge_optn_dvcd_KOR_common'  and site_idcd = 'common';</v>
      </c>
      <c r="CB95" s="5" t="str">
        <f>IF(E95&lt;&gt;"",CREATE_QUERY($B$1,A$2:AA$2,A95:AA95),"")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('chge_optn_dvcd_KOR_common', 'KOR', 'common', 'chge_optn_dvcd', '변경옵션구분코드', 'gb', '', '[["1","필수"],["2","고려"],["3","확인필요"],["9","없음"]]', '1:필수 2:고려 3:확인필요 9:없음', '', '1=필수|2=고려|3=확인필요|9=없음', '', '0', '0', '0', '0', 'chge_optn_dvcd 변경옵션구분코드 [["1","필수"],["2","고려"],["3","확인필요"],["9","없음"]]', ' ', '', '', '', '', '', '', '', '', '');</v>
      </c>
    </row>
    <row r="96" spans="1:80" ht="17">
      <c r="A96" s="26" t="str">
        <f t="shared" si="63"/>
        <v>insu_dvcd_KOR_common</v>
      </c>
      <c r="B96" s="25" t="s">
        <v>27</v>
      </c>
      <c r="C96" s="25" t="str">
        <f t="shared" si="57"/>
        <v>common</v>
      </c>
      <c r="D96" s="25" t="s">
        <v>125</v>
      </c>
      <c r="E96" s="25" t="s">
        <v>118</v>
      </c>
      <c r="F96" s="25" t="str">
        <f t="shared" si="64"/>
        <v>gb</v>
      </c>
      <c r="G96" s="25"/>
      <c r="H96" s="35" t="str">
        <f t="shared" si="61"/>
        <v>[["1","보험구분1"],["2","보험구분2"]]</v>
      </c>
      <c r="I96" s="35" t="str">
        <f t="shared" si="58"/>
        <v>1:보험구분1 2:보험구분2</v>
      </c>
      <c r="J96" s="35"/>
      <c r="K96" s="35" t="str">
        <f t="shared" si="59"/>
        <v>1=보험구분1|2=보험구분2</v>
      </c>
      <c r="L96" s="2"/>
      <c r="M96" s="36">
        <v>0</v>
      </c>
      <c r="N96" s="36">
        <v>0</v>
      </c>
      <c r="O96" s="36" t="s">
        <v>31</v>
      </c>
      <c r="P96" s="36" t="s">
        <v>31</v>
      </c>
      <c r="Q96" s="35" t="str">
        <f t="shared" si="62"/>
        <v>insu_dvcd 보험구분 [["1","보험구분1"],["2","보험구분2"]]</v>
      </c>
      <c r="R96" s="2" t="s">
        <v>921</v>
      </c>
      <c r="S96" s="2"/>
      <c r="T96" s="2"/>
      <c r="U96" s="2" t="s">
        <v>32</v>
      </c>
      <c r="V96" s="2"/>
      <c r="W96" s="2"/>
      <c r="X96" s="2"/>
      <c r="Y96" s="2"/>
      <c r="Z96" s="2"/>
      <c r="AA96" s="2"/>
      <c r="AB96" s="29" t="s">
        <v>370</v>
      </c>
      <c r="AC96" s="25" t="s">
        <v>434</v>
      </c>
      <c r="AD96" s="29">
        <v>2</v>
      </c>
      <c r="AE96" s="25" t="s">
        <v>435</v>
      </c>
      <c r="AF96" s="29"/>
      <c r="AG96" s="25"/>
      <c r="AH96" s="29"/>
      <c r="AI96" s="25"/>
      <c r="AJ96" s="29"/>
      <c r="AK96" s="25"/>
      <c r="AL96" s="29"/>
      <c r="AM96" s="25"/>
      <c r="AN96" s="29"/>
      <c r="AO96" s="25"/>
      <c r="AP96" s="29"/>
      <c r="AQ96" s="25"/>
      <c r="AR96" s="29"/>
      <c r="AS96" s="25"/>
      <c r="AT96" s="29"/>
      <c r="AU96" s="25"/>
      <c r="AV96" s="29"/>
      <c r="AW96" s="25"/>
      <c r="AX96" s="29"/>
      <c r="AY96" s="25"/>
      <c r="AZ96" s="29"/>
      <c r="BA96" s="25"/>
      <c r="BB96" s="29"/>
      <c r="BC96" s="25"/>
      <c r="BD96" s="29"/>
      <c r="BE96" s="25"/>
      <c r="BF96" s="29"/>
      <c r="BG96" s="25"/>
      <c r="BH96" s="29"/>
      <c r="BI96" s="25"/>
      <c r="BJ96" s="29"/>
      <c r="BK96" s="25"/>
      <c r="BL96" s="29"/>
      <c r="BM96" s="25"/>
      <c r="BN96" s="29"/>
      <c r="BO96" s="25"/>
      <c r="BP96" s="29"/>
      <c r="BQ96" s="25"/>
      <c r="BR96" s="29"/>
      <c r="BS96" s="25"/>
      <c r="BT96" s="29"/>
      <c r="BU96" s="25"/>
      <c r="BV96" s="29"/>
      <c r="BW96" s="25"/>
      <c r="BX96" s="29"/>
      <c r="BY96" s="25"/>
      <c r="CA96" s="1" t="str">
        <f t="shared" si="60"/>
        <v>delete from sscd_mast where sscd_idcd = 'insu_dvcd_KOR_common'  and site_idcd = 'common';</v>
      </c>
      <c r="CB96" s="5" t="str">
        <f>IF(E96&lt;&gt;"",CREATE_QUERY($B$1,A$2:AA$2,A96:AA96),"")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('insu_dvcd_KOR_common', 'KOR', 'common', 'insu_dvcd', '보험구분', 'gb', '', '[["1","보험구분1"],["2","보험구분2"]]', '1:보험구분1 2:보험구분2', '', '1=보험구분1|2=보험구분2', '', '0', '0', '0', '0', 'insu_dvcd 보험구분 [["1","보험구분1"],["2","보험구분2"]]', ' ', '', '', ' ', '', '', '', '', '', '');</v>
      </c>
    </row>
    <row r="97" spans="1:96" ht="17">
      <c r="A97" s="26" t="str">
        <f t="shared" si="63"/>
        <v>hqof_dvcd_KOR_common</v>
      </c>
      <c r="B97" s="25" t="s">
        <v>27</v>
      </c>
      <c r="C97" s="25" t="str">
        <f t="shared" si="57"/>
        <v>common</v>
      </c>
      <c r="D97" s="25" t="s">
        <v>254</v>
      </c>
      <c r="E97" s="25" t="s">
        <v>92</v>
      </c>
      <c r="F97" s="25" t="str">
        <f t="shared" si="64"/>
        <v>gb</v>
      </c>
      <c r="G97" s="25"/>
      <c r="H97" s="35" t="str">
        <f t="shared" si="61"/>
        <v>[["Y","프랜차이즈"],["N","단일사업장"],["S","단독점포형"],["X","로컬판매형"]]</v>
      </c>
      <c r="I97" s="35" t="str">
        <f t="shared" si="58"/>
        <v>Y:프랜차이즈 N:단일사업장 S:단독점포형 X:로컬판매형</v>
      </c>
      <c r="J97" s="35"/>
      <c r="K97" s="35" t="str">
        <f t="shared" si="59"/>
        <v>Y=프랜차이즈|N=단일사업장|S=단독점포형|X=로컬판매형</v>
      </c>
      <c r="L97" s="2"/>
      <c r="M97" s="36">
        <v>0</v>
      </c>
      <c r="N97" s="36">
        <v>0</v>
      </c>
      <c r="O97" s="36" t="s">
        <v>31</v>
      </c>
      <c r="P97" s="36" t="s">
        <v>31</v>
      </c>
      <c r="Q97" s="35" t="str">
        <f t="shared" si="62"/>
        <v>hqof_dvcd 본사구분 [["Y","프랜차이즈"],["N","단일사업장"],["S","단독점포형"],["X","로컬판매형"]]</v>
      </c>
      <c r="R97" s="2" t="s">
        <v>921</v>
      </c>
      <c r="S97" s="2"/>
      <c r="T97" s="2"/>
      <c r="U97" s="2" t="s">
        <v>32</v>
      </c>
      <c r="V97" s="2"/>
      <c r="W97" s="2"/>
      <c r="X97" s="2"/>
      <c r="Y97" s="2"/>
      <c r="Z97" s="2"/>
      <c r="AA97" s="2"/>
      <c r="AB97" s="29" t="s">
        <v>436</v>
      </c>
      <c r="AC97" s="25" t="s">
        <v>437</v>
      </c>
      <c r="AD97" s="29" t="s">
        <v>395</v>
      </c>
      <c r="AE97" s="25" t="s">
        <v>438</v>
      </c>
      <c r="AF97" s="29" t="s">
        <v>433</v>
      </c>
      <c r="AG97" s="25" t="s">
        <v>439</v>
      </c>
      <c r="AH97" s="29" t="s">
        <v>397</v>
      </c>
      <c r="AI97" s="25" t="s">
        <v>590</v>
      </c>
      <c r="AJ97" s="29"/>
      <c r="AK97" s="25"/>
      <c r="AL97" s="29"/>
      <c r="AM97" s="25"/>
      <c r="AN97" s="29"/>
      <c r="AO97" s="25"/>
      <c r="AP97" s="29"/>
      <c r="AQ97" s="25"/>
      <c r="AR97" s="29"/>
      <c r="AS97" s="25"/>
      <c r="AT97" s="29"/>
      <c r="AU97" s="25"/>
      <c r="AV97" s="29"/>
      <c r="AW97" s="25"/>
      <c r="AX97" s="29"/>
      <c r="AY97" s="25"/>
      <c r="AZ97" s="29"/>
      <c r="BA97" s="25"/>
      <c r="BB97" s="29"/>
      <c r="BC97" s="25"/>
      <c r="BD97" s="29"/>
      <c r="BE97" s="25"/>
      <c r="BF97" s="29"/>
      <c r="BG97" s="25"/>
      <c r="BH97" s="29"/>
      <c r="BI97" s="25"/>
      <c r="BJ97" s="29"/>
      <c r="BK97" s="25"/>
      <c r="BL97" s="29"/>
      <c r="BM97" s="25"/>
      <c r="BN97" s="29"/>
      <c r="BO97" s="25"/>
      <c r="BP97" s="29"/>
      <c r="BQ97" s="25"/>
      <c r="BR97" s="29"/>
      <c r="BS97" s="25"/>
      <c r="BT97" s="29"/>
      <c r="BU97" s="25"/>
      <c r="BV97" s="29"/>
      <c r="BW97" s="25"/>
      <c r="BX97" s="29"/>
      <c r="BY97" s="25"/>
      <c r="CA97" s="1" t="str">
        <f t="shared" si="60"/>
        <v>delete from sscd_mast where sscd_idcd = 'hqof_dvcd_KOR_common'  and site_idcd = 'common';</v>
      </c>
      <c r="CB97" s="5" t="str">
        <f>IF(E97&lt;&gt;"",CREATE_QUERY($B$1,A$2:AA$2,A97:AA97),"")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('hqof_dvcd_KOR_common', 'KOR', 'common', 'hqof_dvcd', '본사구분', 'gb', '', '[["Y","프랜차이즈"],["N","단일사업장"],["S","단독점포형"],["X","로컬판매형"]]', 'Y:프랜차이즈 N:단일사업장 S:단독점포형 X:로컬판매형', '', 'Y=프랜차이즈|N=단일사업장|S=단독점포형|X=로컬판매형', '', '0', '0', '0', '0', 'hqof_dvcd 본사구분 [["Y","프랜차이즈"],["N","단일사업장"],["S","단독점포형"],["X","로컬판매형"]]', ' ', '', '', ' ', '', '', '', '', '', '');</v>
      </c>
    </row>
    <row r="98" spans="1:96" ht="17">
      <c r="A98" s="26" t="str">
        <f t="shared" si="63"/>
        <v>vatx_dvcd_KOR_common</v>
      </c>
      <c r="B98" s="25" t="s">
        <v>27</v>
      </c>
      <c r="C98" s="25" t="str">
        <f t="shared" si="57"/>
        <v>common</v>
      </c>
      <c r="D98" s="25" t="s">
        <v>285</v>
      </c>
      <c r="E98" s="25" t="s">
        <v>171</v>
      </c>
      <c r="F98" s="25" t="str">
        <f t="shared" si="64"/>
        <v>gb</v>
      </c>
      <c r="G98" s="25"/>
      <c r="H98" s="35" t="str">
        <f t="shared" si="61"/>
        <v>[["1","과세"],["2","미과세"],["3","면세"]]</v>
      </c>
      <c r="I98" s="35" t="str">
        <f t="shared" si="58"/>
        <v>1:과세 2:미과세 3:면세</v>
      </c>
      <c r="J98" s="35"/>
      <c r="K98" s="35" t="str">
        <f t="shared" si="59"/>
        <v>1=과세|2=미과세|3=면세</v>
      </c>
      <c r="L98" s="2"/>
      <c r="M98" s="36">
        <v>0</v>
      </c>
      <c r="N98" s="36">
        <v>0</v>
      </c>
      <c r="O98" s="36" t="s">
        <v>31</v>
      </c>
      <c r="P98" s="36" t="s">
        <v>31</v>
      </c>
      <c r="Q98" s="35" t="str">
        <f t="shared" si="62"/>
        <v>vatx_dvcd 부가세구분코드 [["1","과세"],["2","미과세"],["3","면세"]]</v>
      </c>
      <c r="R98" s="2" t="s">
        <v>921</v>
      </c>
      <c r="S98" s="2"/>
      <c r="T98" s="2"/>
      <c r="U98" s="2"/>
      <c r="V98" s="2"/>
      <c r="W98" s="2"/>
      <c r="X98" s="2"/>
      <c r="Y98" s="2"/>
      <c r="Z98" s="2"/>
      <c r="AA98" s="2"/>
      <c r="AB98" s="28" t="s">
        <v>684</v>
      </c>
      <c r="AC98" s="25" t="s">
        <v>770</v>
      </c>
      <c r="AD98" s="28" t="s">
        <v>685</v>
      </c>
      <c r="AE98" s="25" t="s">
        <v>771</v>
      </c>
      <c r="AF98" s="28" t="s">
        <v>687</v>
      </c>
      <c r="AG98" s="25" t="s">
        <v>772</v>
      </c>
      <c r="AH98" s="28"/>
      <c r="AI98" s="25"/>
      <c r="AJ98" s="28"/>
      <c r="AK98" s="25"/>
      <c r="AL98" s="28"/>
      <c r="AM98" s="25"/>
      <c r="AN98" s="28"/>
      <c r="AO98" s="25"/>
      <c r="AP98" s="28"/>
      <c r="AQ98" s="25"/>
      <c r="AR98" s="28"/>
      <c r="AS98" s="25"/>
      <c r="AT98" s="28"/>
      <c r="AU98" s="25"/>
      <c r="AV98" s="28"/>
      <c r="AW98" s="25"/>
      <c r="AX98" s="28"/>
      <c r="AY98" s="25"/>
      <c r="AZ98" s="28"/>
      <c r="BA98" s="25"/>
      <c r="BB98" s="28"/>
      <c r="BC98" s="25"/>
      <c r="BD98" s="28"/>
      <c r="BE98" s="25"/>
      <c r="BF98" s="28"/>
      <c r="BG98" s="25"/>
      <c r="BH98" s="28"/>
      <c r="BI98" s="25"/>
      <c r="BJ98" s="28"/>
      <c r="BK98" s="25"/>
      <c r="BL98" s="28"/>
      <c r="BM98" s="25"/>
      <c r="BN98" s="28"/>
      <c r="BO98" s="25"/>
      <c r="BP98" s="28"/>
      <c r="BQ98" s="25"/>
      <c r="BR98" s="28"/>
      <c r="BS98" s="25"/>
      <c r="BT98" s="28"/>
      <c r="BU98" s="25"/>
      <c r="BV98" s="28"/>
      <c r="BW98" s="25"/>
      <c r="BX98" s="28"/>
      <c r="BY98" s="25"/>
      <c r="CA98" s="1" t="str">
        <f t="shared" si="60"/>
        <v>delete from sscd_mast where sscd_idcd = 'vatx_dvcd_KOR_common'  and site_idcd = 'common';</v>
      </c>
      <c r="CB98" s="5" t="str">
        <f>IF(E98&lt;&gt;"",CREATE_QUERY($B$1,A$2:AA$2,A98:AA98),"")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('vatx_dvcd_KOR_common', 'KOR', 'common', 'vatx_dvcd', '부가세구분코드', 'gb', '', '[["1","과세"],["2","미과세"],["3","면세"]]', '1:과세 2:미과세 3:면세', '', '1=과세|2=미과세|3=면세', '', '0', '0', '0', '0', 'vatx_dvcd 부가세구분코드 [["1","과세"],["2","미과세"],["3","면세"]]', ' ', '', '', '', '', '', '', '', '', '');</v>
      </c>
    </row>
    <row r="99" spans="1:96" ht="17">
      <c r="A99" s="26" t="str">
        <f t="shared" si="63"/>
        <v>vtax_incl_dvcd_KOR_common</v>
      </c>
      <c r="B99" s="25" t="s">
        <v>27</v>
      </c>
      <c r="C99" s="25" t="str">
        <f t="shared" si="57"/>
        <v>common</v>
      </c>
      <c r="D99" s="25" t="s">
        <v>344</v>
      </c>
      <c r="E99" s="25" t="s">
        <v>158</v>
      </c>
      <c r="F99" s="25" t="str">
        <f t="shared" si="64"/>
        <v>gb</v>
      </c>
      <c r="G99" s="25"/>
      <c r="H99" s="35" t="str">
        <f t="shared" si="61"/>
        <v>[["1","부가세포함"],["2","부가세별도"]]</v>
      </c>
      <c r="I99" s="35" t="str">
        <f t="shared" si="58"/>
        <v>1:부가세포함 2:부가세별도</v>
      </c>
      <c r="J99" s="35"/>
      <c r="K99" s="35" t="str">
        <f t="shared" si="59"/>
        <v>1=부가세포함|2=부가세별도</v>
      </c>
      <c r="L99" s="2"/>
      <c r="M99" s="36">
        <v>0</v>
      </c>
      <c r="N99" s="36">
        <v>0</v>
      </c>
      <c r="O99" s="36" t="s">
        <v>31</v>
      </c>
      <c r="P99" s="36" t="s">
        <v>31</v>
      </c>
      <c r="Q99" s="35" t="str">
        <f t="shared" si="62"/>
        <v>vtax_incl_dvcd 부가세포함여부 [["1","부가세포함"],["2","부가세별도"]]</v>
      </c>
      <c r="R99" s="2" t="s">
        <v>921</v>
      </c>
      <c r="S99" s="2"/>
      <c r="T99" s="2"/>
      <c r="U99" s="2" t="s">
        <v>32</v>
      </c>
      <c r="V99" s="2"/>
      <c r="W99" s="2"/>
      <c r="X99" s="2"/>
      <c r="Y99" s="2"/>
      <c r="Z99" s="2"/>
      <c r="AA99" s="2"/>
      <c r="AB99" s="28" t="s">
        <v>684</v>
      </c>
      <c r="AC99" s="25" t="s">
        <v>593</v>
      </c>
      <c r="AD99" s="28" t="s">
        <v>685</v>
      </c>
      <c r="AE99" s="25" t="s">
        <v>594</v>
      </c>
      <c r="AF99" s="28"/>
      <c r="AG99" s="25"/>
      <c r="AH99" s="28"/>
      <c r="AI99" s="25"/>
      <c r="AJ99" s="28"/>
      <c r="AK99" s="25"/>
      <c r="AL99" s="28"/>
      <c r="AM99" s="25"/>
      <c r="AN99" s="28"/>
      <c r="AO99" s="25"/>
      <c r="AP99" s="28"/>
      <c r="AQ99" s="25"/>
      <c r="AR99" s="28"/>
      <c r="AS99" s="25"/>
      <c r="AT99" s="28"/>
      <c r="AU99" s="25"/>
      <c r="AV99" s="28"/>
      <c r="AW99" s="25"/>
      <c r="AX99" s="28"/>
      <c r="AY99" s="25"/>
      <c r="AZ99" s="28"/>
      <c r="BA99" s="25"/>
      <c r="BB99" s="28"/>
      <c r="BC99" s="25"/>
      <c r="BD99" s="28"/>
      <c r="BE99" s="25"/>
      <c r="BF99" s="28"/>
      <c r="BG99" s="25"/>
      <c r="BH99" s="28"/>
      <c r="BI99" s="25"/>
      <c r="BJ99" s="28"/>
      <c r="BK99" s="25"/>
      <c r="BL99" s="28"/>
      <c r="BM99" s="25"/>
      <c r="BN99" s="28"/>
      <c r="BO99" s="25"/>
      <c r="BP99" s="28"/>
      <c r="BQ99" s="25"/>
      <c r="BR99" s="28"/>
      <c r="BS99" s="25"/>
      <c r="BT99" s="28"/>
      <c r="BU99" s="25"/>
      <c r="BV99" s="28"/>
      <c r="BW99" s="25"/>
      <c r="BX99" s="28"/>
      <c r="BY99" s="25"/>
      <c r="CA99" s="1" t="str">
        <f t="shared" si="60"/>
        <v>delete from sscd_mast where sscd_idcd = 'vtax_incl_dvcd_KOR_common'  and site_idcd = 'common';</v>
      </c>
      <c r="CB99" s="5" t="str">
        <f>IF(E99&lt;&gt;"",CREATE_QUERY($B$1,A$2:AA$2,A99:AA99),"")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('vtax_incl_dvcd_KOR_common', 'KOR', 'common', 'vtax_incl_dvcd', '부가세포함여부', 'gb', '', '[["1","부가세포함"],["2","부가세별도"]]', '1:부가세포함 2:부가세별도', '', '1=부가세포함|2=부가세별도', '', '0', '0', '0', '0', 'vtax_incl_dvcd 부가세포함여부 [["1","부가세포함"],["2","부가세별도"]]', ' ', '', '', ' ', '', '', '', '', '', '');</v>
      </c>
    </row>
    <row r="100" spans="1:96" ht="17">
      <c r="A100" s="26" t="str">
        <f t="shared" si="63"/>
        <v>dept_dvcd_KOR_common</v>
      </c>
      <c r="B100" s="25" t="s">
        <v>27</v>
      </c>
      <c r="C100" s="25" t="str">
        <f t="shared" si="57"/>
        <v>common</v>
      </c>
      <c r="D100" s="25" t="s">
        <v>277</v>
      </c>
      <c r="E100" s="25" t="s">
        <v>163</v>
      </c>
      <c r="F100" s="25" t="str">
        <f t="shared" si="64"/>
        <v>gb</v>
      </c>
      <c r="G100" s="25"/>
      <c r="H100" s="35" t="str">
        <f t="shared" si="61"/>
        <v>[["0000","일반"],["1000","영업"],["2000","구매"],["3000","생산관리"]]</v>
      </c>
      <c r="I100" s="35" t="str">
        <f t="shared" si="58"/>
        <v>0000:일반 1000:영업 2000:구매 3000:생산관리</v>
      </c>
      <c r="J100" s="35"/>
      <c r="K100" s="35" t="str">
        <f t="shared" si="59"/>
        <v>0000=일반|1000=영업|2000=구매|3000=생산관리</v>
      </c>
      <c r="L100" s="2"/>
      <c r="M100" s="36">
        <v>0</v>
      </c>
      <c r="N100" s="36">
        <v>0</v>
      </c>
      <c r="O100" s="36" t="s">
        <v>31</v>
      </c>
      <c r="P100" s="36" t="s">
        <v>31</v>
      </c>
      <c r="Q100" s="35" t="str">
        <f t="shared" si="62"/>
        <v>dept_dvcd 부서구분코드 [["0000","일반"],["1000","영업"],["2000","구매"],["3000","생산관리"]]</v>
      </c>
      <c r="R100" s="2" t="s">
        <v>921</v>
      </c>
      <c r="S100" s="2"/>
      <c r="T100" s="2"/>
      <c r="U100" s="2"/>
      <c r="V100" s="2"/>
      <c r="W100" s="2"/>
      <c r="X100" s="2"/>
      <c r="Y100" s="2"/>
      <c r="Z100" s="2"/>
      <c r="AA100" s="2"/>
      <c r="AB100" s="28" t="s">
        <v>776</v>
      </c>
      <c r="AC100" s="25" t="s">
        <v>777</v>
      </c>
      <c r="AD100" s="28" t="s">
        <v>591</v>
      </c>
      <c r="AE100" s="25" t="s">
        <v>773</v>
      </c>
      <c r="AF100" s="28" t="s">
        <v>592</v>
      </c>
      <c r="AG100" s="25" t="s">
        <v>774</v>
      </c>
      <c r="AH100" s="28" t="s">
        <v>600</v>
      </c>
      <c r="AI100" s="25" t="s">
        <v>775</v>
      </c>
      <c r="AJ100" s="28"/>
      <c r="AK100" s="25"/>
      <c r="AL100" s="28"/>
      <c r="AM100" s="25"/>
      <c r="AN100" s="28"/>
      <c r="AO100" s="25"/>
      <c r="AP100" s="28"/>
      <c r="AQ100" s="25"/>
      <c r="AR100" s="28"/>
      <c r="AS100" s="25"/>
      <c r="AT100" s="28"/>
      <c r="AU100" s="25"/>
      <c r="AV100" s="28"/>
      <c r="AW100" s="25"/>
      <c r="AX100" s="28"/>
      <c r="AY100" s="25"/>
      <c r="AZ100" s="28"/>
      <c r="BA100" s="25"/>
      <c r="BB100" s="28"/>
      <c r="BC100" s="25"/>
      <c r="BD100" s="28"/>
      <c r="BE100" s="25"/>
      <c r="BF100" s="28"/>
      <c r="BG100" s="25"/>
      <c r="BH100" s="28"/>
      <c r="BI100" s="25"/>
      <c r="BJ100" s="28"/>
      <c r="BK100" s="25"/>
      <c r="BL100" s="28"/>
      <c r="BM100" s="25"/>
      <c r="BN100" s="28"/>
      <c r="BO100" s="25"/>
      <c r="BP100" s="28"/>
      <c r="BQ100" s="25"/>
      <c r="BR100" s="28"/>
      <c r="BS100" s="25"/>
      <c r="BT100" s="28"/>
      <c r="BU100" s="25"/>
      <c r="BV100" s="28"/>
      <c r="BW100" s="25"/>
      <c r="BX100" s="28"/>
      <c r="BY100" s="25"/>
      <c r="CA100" s="1" t="str">
        <f t="shared" si="60"/>
        <v>delete from sscd_mast where sscd_idcd = 'dept_dvcd_KOR_common'  and site_idcd = 'common';</v>
      </c>
      <c r="CB100" s="5" t="str">
        <f>IF(E100&lt;&gt;"",CREATE_QUERY($B$1,A$2:AA$2,A100:AA100),"")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('dept_dvcd_KOR_common', 'KOR', 'common', 'dept_dvcd', '부서구분코드', 'gb', '', '[["0000","일반"],["1000","영업"],["2000","구매"],["3000","생산관리"]]', '0000:일반 1000:영업 2000:구매 3000:생산관리', '', '0000=일반|1000=영업|2000=구매|3000=생산관리', '', '0', '0', '0', '0', 'dept_dvcd 부서구분코드 [["0000","일반"],["1000","영업"],["2000","구매"],["3000","생산관리"]]', ' ', '', '', '', '', '', '', '', '', '');</v>
      </c>
    </row>
    <row r="101" spans="1:96" ht="17">
      <c r="A101" s="26" t="str">
        <f t="shared" si="63"/>
        <v>poor_caus_dvcd_KOR_common</v>
      </c>
      <c r="B101" s="25" t="s">
        <v>27</v>
      </c>
      <c r="C101" s="25" t="str">
        <f t="shared" si="57"/>
        <v>common</v>
      </c>
      <c r="D101" s="25" t="s">
        <v>336</v>
      </c>
      <c r="E101" s="25" t="s">
        <v>224</v>
      </c>
      <c r="F101" s="25" t="str">
        <f t="shared" si="64"/>
        <v>gb</v>
      </c>
      <c r="G101" s="25"/>
      <c r="H101" s="35" t="str">
        <f t="shared" si="61"/>
        <v>[["1","가공불량"],["2","자재불량"],["3","취급불량"],["4","보관불량"]]</v>
      </c>
      <c r="I101" s="35" t="str">
        <f t="shared" si="58"/>
        <v>1:가공불량 2:자재불량 3:취급불량 4:보관불량</v>
      </c>
      <c r="J101" s="35"/>
      <c r="K101" s="35" t="str">
        <f t="shared" si="59"/>
        <v>1=가공불량|2=자재불량|3=취급불량|4=보관불량</v>
      </c>
      <c r="L101" s="2"/>
      <c r="M101" s="36">
        <v>0</v>
      </c>
      <c r="N101" s="36">
        <v>0</v>
      </c>
      <c r="O101" s="36" t="s">
        <v>31</v>
      </c>
      <c r="P101" s="36" t="s">
        <v>31</v>
      </c>
      <c r="Q101" s="35" t="str">
        <f t="shared" si="62"/>
        <v>poor_caus_dvcd 불량원인구분코드 [["1","가공불량"],["2","자재불량"],["3","취급불량"],["4","보관불량"]]</v>
      </c>
      <c r="R101" s="2" t="s">
        <v>921</v>
      </c>
      <c r="S101" s="2"/>
      <c r="T101" s="2"/>
      <c r="U101" s="2"/>
      <c r="V101" s="2"/>
      <c r="W101" s="2"/>
      <c r="X101" s="2"/>
      <c r="Y101" s="2"/>
      <c r="Z101" s="2"/>
      <c r="AA101" s="2"/>
      <c r="AB101" s="28" t="s">
        <v>684</v>
      </c>
      <c r="AC101" s="25" t="s">
        <v>885</v>
      </c>
      <c r="AD101" s="28" t="s">
        <v>685</v>
      </c>
      <c r="AE101" s="25" t="s">
        <v>886</v>
      </c>
      <c r="AF101" s="28" t="s">
        <v>687</v>
      </c>
      <c r="AG101" s="25" t="s">
        <v>887</v>
      </c>
      <c r="AH101" s="28" t="s">
        <v>688</v>
      </c>
      <c r="AI101" s="25" t="s">
        <v>888</v>
      </c>
      <c r="AJ101" s="28"/>
      <c r="AK101" s="25"/>
      <c r="AL101" s="28"/>
      <c r="AM101" s="25"/>
      <c r="AN101" s="28"/>
      <c r="AO101" s="25"/>
      <c r="AP101" s="28"/>
      <c r="AQ101" s="25"/>
      <c r="AR101" s="28"/>
      <c r="AS101" s="25"/>
      <c r="AT101" s="28"/>
      <c r="AU101" s="25"/>
      <c r="AV101" s="28"/>
      <c r="AW101" s="25"/>
      <c r="AX101" s="28"/>
      <c r="AY101" s="25"/>
      <c r="AZ101" s="28"/>
      <c r="BA101" s="25"/>
      <c r="BB101" s="28"/>
      <c r="BC101" s="25"/>
      <c r="BD101" s="28"/>
      <c r="BE101" s="25"/>
      <c r="BF101" s="28"/>
      <c r="BG101" s="25"/>
      <c r="BH101" s="28"/>
      <c r="BI101" s="25"/>
      <c r="BJ101" s="28"/>
      <c r="BK101" s="25"/>
      <c r="BL101" s="28"/>
      <c r="BM101" s="25"/>
      <c r="BN101" s="28"/>
      <c r="BO101" s="25"/>
      <c r="BP101" s="28"/>
      <c r="BQ101" s="25"/>
      <c r="BR101" s="28"/>
      <c r="BS101" s="25"/>
      <c r="BT101" s="28"/>
      <c r="BU101" s="25"/>
      <c r="BV101" s="28"/>
      <c r="BW101" s="25"/>
      <c r="BX101" s="28"/>
      <c r="BY101" s="25"/>
      <c r="CA101" s="1" t="str">
        <f t="shared" si="60"/>
        <v>delete from sscd_mast where sscd_idcd = 'poor_caus_dvcd_KOR_common'  and site_idcd = 'common';</v>
      </c>
      <c r="CB101" s="5" t="str">
        <f>IF(E101&lt;&gt;"",CREATE_QUERY($B$1,A$2:AA$2,A101:AA101),"")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('poor_caus_dvcd_KOR_common', 'KOR', 'common', 'poor_caus_dvcd', '불량원인구분코드', 'gb', '', '[["1","가공불량"],["2","자재불량"],["3","취급불량"],["4","보관불량"]]', '1:가공불량 2:자재불량 3:취급불량 4:보관불량', '', '1=가공불량|2=자재불량|3=취급불량|4=보관불량', '', '0', '0', '0', '0', 'poor_caus_dvcd 불량원인구분코드 [["1","가공불량"],["2","자재불량"],["3","취급불량"],["4","보관불량"]]', ' ', '', '', '', '', '', '', '', '', '');</v>
      </c>
    </row>
    <row r="102" spans="1:96" ht="17">
      <c r="A102" s="26" t="str">
        <f t="shared" si="63"/>
        <v>poor_type_dvcd_KOR_common</v>
      </c>
      <c r="B102" s="25" t="s">
        <v>27</v>
      </c>
      <c r="C102" s="25" t="str">
        <f t="shared" si="57"/>
        <v>common</v>
      </c>
      <c r="D102" s="25" t="s">
        <v>343</v>
      </c>
      <c r="E102" s="25" t="s">
        <v>231</v>
      </c>
      <c r="F102" s="25" t="str">
        <f t="shared" si="64"/>
        <v>gb</v>
      </c>
      <c r="G102" s="25"/>
      <c r="H102" s="35" t="str">
        <f t="shared" si="61"/>
        <v>[["1000","치수오류"],["2000","품질"],["3000","사양불일치"],["4000","청결"],["5000","가공불량"],["6000","이물질"]]</v>
      </c>
      <c r="I102" s="35" t="str">
        <f t="shared" si="58"/>
        <v>1000:치수오류 2000:품질 3000:사양불일치 4000:청결 5000:가공불량 6000:이물질</v>
      </c>
      <c r="J102" s="35"/>
      <c r="K102" s="35" t="str">
        <f t="shared" si="59"/>
        <v>1000=치수오류|2000=품질|3000=사양불일치|4000=청결|5000=가공불량|6000=이물질</v>
      </c>
      <c r="L102" s="2"/>
      <c r="M102" s="36">
        <v>0</v>
      </c>
      <c r="N102" s="36">
        <v>0</v>
      </c>
      <c r="O102" s="36" t="s">
        <v>31</v>
      </c>
      <c r="P102" s="36" t="s">
        <v>31</v>
      </c>
      <c r="Q102" s="35" t="str">
        <f t="shared" si="62"/>
        <v>poor_type_dvcd 불량유형구분코드 [["1000","치수오류"],["2000","품질"],["3000","사양불일치"],["4000","청결"],["5000","가공불량"],["6000","이물질"]]</v>
      </c>
      <c r="R102" s="2" t="s">
        <v>921</v>
      </c>
      <c r="S102" s="2"/>
      <c r="T102" s="2"/>
      <c r="U102" s="2"/>
      <c r="V102" s="2"/>
      <c r="W102" s="2"/>
      <c r="X102" s="2"/>
      <c r="Y102" s="2"/>
      <c r="Z102" s="2"/>
      <c r="AA102" s="2"/>
      <c r="AB102" s="28" t="s">
        <v>591</v>
      </c>
      <c r="AC102" s="25" t="s">
        <v>889</v>
      </c>
      <c r="AD102" s="28" t="s">
        <v>592</v>
      </c>
      <c r="AE102" s="25" t="s">
        <v>890</v>
      </c>
      <c r="AF102" s="28" t="s">
        <v>600</v>
      </c>
      <c r="AG102" s="25" t="s">
        <v>891</v>
      </c>
      <c r="AH102" s="28" t="s">
        <v>601</v>
      </c>
      <c r="AI102" s="25" t="s">
        <v>892</v>
      </c>
      <c r="AJ102" s="28" t="s">
        <v>626</v>
      </c>
      <c r="AK102" s="25" t="s">
        <v>893</v>
      </c>
      <c r="AL102" s="28" t="s">
        <v>628</v>
      </c>
      <c r="AM102" s="25" t="s">
        <v>894</v>
      </c>
      <c r="AN102" s="28"/>
      <c r="AO102" s="25"/>
      <c r="AP102" s="28"/>
      <c r="AQ102" s="25"/>
      <c r="AR102" s="28"/>
      <c r="AS102" s="25"/>
      <c r="AT102" s="28"/>
      <c r="AU102" s="25"/>
      <c r="AV102" s="28"/>
      <c r="AW102" s="25"/>
      <c r="AX102" s="28"/>
      <c r="AY102" s="25"/>
      <c r="AZ102" s="28"/>
      <c r="BA102" s="25"/>
      <c r="BB102" s="28"/>
      <c r="BC102" s="25"/>
      <c r="BD102" s="28"/>
      <c r="BE102" s="25"/>
      <c r="BF102" s="28"/>
      <c r="BG102" s="25"/>
      <c r="BH102" s="28"/>
      <c r="BI102" s="25"/>
      <c r="BJ102" s="28"/>
      <c r="BK102" s="25"/>
      <c r="BL102" s="28"/>
      <c r="BM102" s="25"/>
      <c r="BN102" s="28"/>
      <c r="BO102" s="25"/>
      <c r="BP102" s="28"/>
      <c r="BQ102" s="25"/>
      <c r="BR102" s="28"/>
      <c r="BS102" s="25"/>
      <c r="BT102" s="28"/>
      <c r="BU102" s="25"/>
      <c r="BV102" s="28"/>
      <c r="BW102" s="25"/>
      <c r="BX102" s="28"/>
      <c r="BY102" s="25"/>
      <c r="CA102" s="1" t="str">
        <f t="shared" si="60"/>
        <v>delete from sscd_mast where sscd_idcd = 'poor_type_dvcd_KOR_common'  and site_idcd = 'common';</v>
      </c>
      <c r="CB102" s="5" t="str">
        <f>IF(E102&lt;&gt;"",CREATE_QUERY($B$1,A$2:AA$2,A102:AA102),"")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('poor_type_dvcd_KOR_common', 'KOR', 'common', 'poor_type_dvcd', '불량유형구분코드', 'gb', '', '[["1000","치수오류"],["2000","품질"],["3000","사양불일치"],["4000","청결"],["5000","가공불량"],["6000","이물질"]]', '1000:치수오류 2000:품질 3000:사양불일치 4000:청결 5000:가공불량 6000:이물질', '', '1000=치수오류|2000=품질|3000=사양불일치|4000=청결|5000=가공불량|6000=이물질', '', '0', '0', '0', '0', 'poor_type_dvcd 불량유형구분코드 [["1000","치수오류"],["2000","품질"],["3000","사양불일치"],["4000","청결"],["5000","가공불량"],["6000","이물질"]]', ' ', '', '', '', '', '', '', '', '', '');</v>
      </c>
    </row>
    <row r="103" spans="1:96" ht="17">
      <c r="A103" s="26" t="str">
        <f t="shared" si="63"/>
        <v>exps_dvcd_KOR_common</v>
      </c>
      <c r="B103" s="25" t="s">
        <v>27</v>
      </c>
      <c r="C103" s="25" t="str">
        <f t="shared" si="57"/>
        <v>common</v>
      </c>
      <c r="D103" s="25" t="s">
        <v>278</v>
      </c>
      <c r="E103" s="25" t="s">
        <v>164</v>
      </c>
      <c r="F103" s="25" t="str">
        <f t="shared" si="64"/>
        <v>gb</v>
      </c>
      <c r="G103" s="25"/>
      <c r="H103" s="35" t="str">
        <f t="shared" si="61"/>
        <v>[["1000","일반관리비"],["2110","직접재료비"],["2120","간접재료비"],["2210","직접인건비"],["2220","간접인건비"],["2310","제조직접비"],["2320","제조간접비"],["3000","판관비"]]</v>
      </c>
      <c r="I103" s="35" t="str">
        <f t="shared" si="58"/>
        <v>1000:일반관리비 2110:직접재료비 2120:간접재료비 2210:직접인건비 2220:간접인건비 2310:제조직접비 2320:제조간접비 3000:판관비</v>
      </c>
      <c r="J103" s="35"/>
      <c r="K103" s="35" t="str">
        <f t="shared" si="59"/>
        <v>1000=일반관리비|2110=직접재료비|2120=간접재료비|2210=직접인건비|2220=간접인건비|2310=제조직접비|2320=제조간접비|3000=판관비</v>
      </c>
      <c r="L103" s="2"/>
      <c r="M103" s="36">
        <v>0</v>
      </c>
      <c r="N103" s="36">
        <v>0</v>
      </c>
      <c r="O103" s="36" t="s">
        <v>31</v>
      </c>
      <c r="P103" s="36" t="s">
        <v>31</v>
      </c>
      <c r="Q103" s="35" t="str">
        <f t="shared" si="62"/>
        <v>exps_dvcd 비용구분코드 [["1000","일반관리비"],["2110","직접재료비"],["2120","간접재료비"],["2210","직접인건비"],["2220","간접인건비"],["2310","제조직접비"],["2320","제조간접비"],["3000","판관비"]]</v>
      </c>
      <c r="R103" s="2" t="s">
        <v>921</v>
      </c>
      <c r="S103" s="2"/>
      <c r="T103" s="2"/>
      <c r="U103" s="2"/>
      <c r="V103" s="2"/>
      <c r="W103" s="2"/>
      <c r="X103" s="2"/>
      <c r="Y103" s="2"/>
      <c r="Z103" s="2"/>
      <c r="AA103" s="2"/>
      <c r="AB103" s="28" t="s">
        <v>591</v>
      </c>
      <c r="AC103" s="25" t="s">
        <v>778</v>
      </c>
      <c r="AD103" s="28" t="s">
        <v>3168</v>
      </c>
      <c r="AE103" s="25" t="s">
        <v>3166</v>
      </c>
      <c r="AF103" s="28" t="s">
        <v>3169</v>
      </c>
      <c r="AG103" s="25" t="s">
        <v>3167</v>
      </c>
      <c r="AH103" s="28" t="s">
        <v>3159</v>
      </c>
      <c r="AI103" s="25" t="s">
        <v>3170</v>
      </c>
      <c r="AJ103" s="28" t="s">
        <v>3156</v>
      </c>
      <c r="AK103" s="25" t="s">
        <v>3171</v>
      </c>
      <c r="AL103" s="28" t="s">
        <v>3172</v>
      </c>
      <c r="AM103" s="25" t="s">
        <v>3173</v>
      </c>
      <c r="AN103" s="28" t="s">
        <v>3174</v>
      </c>
      <c r="AO103" s="25" t="s">
        <v>3175</v>
      </c>
      <c r="AP103" s="28" t="s">
        <v>600</v>
      </c>
      <c r="AQ103" s="25" t="s">
        <v>779</v>
      </c>
      <c r="AR103" s="28"/>
      <c r="AS103" s="25"/>
      <c r="AT103" s="28"/>
      <c r="AU103" s="25"/>
      <c r="AV103" s="28"/>
      <c r="AW103" s="25"/>
      <c r="AX103" s="28"/>
      <c r="AY103" s="25"/>
      <c r="AZ103" s="28"/>
      <c r="BA103" s="25"/>
      <c r="BB103" s="28"/>
      <c r="BC103" s="25"/>
      <c r="BD103" s="28"/>
      <c r="BE103" s="25"/>
      <c r="BF103" s="28"/>
      <c r="BG103" s="25"/>
      <c r="BH103" s="28"/>
      <c r="BI103" s="25"/>
      <c r="BJ103" s="28"/>
      <c r="BK103" s="25"/>
      <c r="BL103" s="28"/>
      <c r="BM103" s="25"/>
      <c r="BN103" s="28"/>
      <c r="BO103" s="25"/>
      <c r="BP103" s="28"/>
      <c r="BQ103" s="25"/>
      <c r="BR103" s="28"/>
      <c r="BS103" s="25"/>
      <c r="BT103" s="28"/>
      <c r="BU103" s="25"/>
      <c r="BV103" s="28"/>
      <c r="BW103" s="25"/>
      <c r="BX103" s="28"/>
      <c r="BY103" s="25"/>
      <c r="CA103" s="1" t="str">
        <f t="shared" si="60"/>
        <v>delete from sscd_mast where sscd_idcd = 'exps_dvcd_KOR_common'  and site_idcd = 'common';</v>
      </c>
      <c r="CB103" s="5" t="str">
        <f>IF(E103&lt;&gt;"",CREATE_QUERY($B$1,A$2:AA$2,A103:AA103),"")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('exps_dvcd_KOR_common', 'KOR', 'common', 'exps_dvcd', '비용구분코드', 'gb', '', '[["1000","일반관리비"],["2110","직접재료비"],["2120","간접재료비"],["2210","직접인건비"],["2220","간접인건비"],["2310","제조직접비"],["2320","제조간접비"],["3000","판관비"]]', '1000:일반관리비 2110:직접재료비 2120:간접재료비 2210:직접인건비 2220:간접인건비 2310:제조직접비 2320:제조간접비 3000:판관비', '', '1000=일반관리비|2110=직접재료비|2120=간접재료비|2210=직접인건비|2220=간접인건비|2310=제조직접비|2320=제조간접비|3000=판관비', '', '0', '0', '0', '0', 'exps_dvcd 비용구분코드 [["1000","일반관리비"],["2110","직접재료비"],["2120","간접재료비"],["2210","직접인건비"],["2220","간접인건비"],["2310","제조직접비"],["2320","제조간접비"],["3000","판관비"]]', ' ', '', '', '', '', '', '', '', '', '');</v>
      </c>
    </row>
    <row r="104" spans="1:96" ht="17">
      <c r="A104" s="26" t="str">
        <f t="shared" si="63"/>
        <v>bzmn_dvcd_KOR_common</v>
      </c>
      <c r="B104" s="25" t="s">
        <v>27</v>
      </c>
      <c r="C104" s="25" t="str">
        <f t="shared" si="57"/>
        <v>common</v>
      </c>
      <c r="D104" s="25" t="s">
        <v>238</v>
      </c>
      <c r="E104" s="25" t="s">
        <v>235</v>
      </c>
      <c r="F104" s="25" t="str">
        <f t="shared" si="64"/>
        <v>gb</v>
      </c>
      <c r="G104" s="25"/>
      <c r="H104" s="35" t="str">
        <f t="shared" si="61"/>
        <v>[["1","개인사업자"],["2","법인사업자"]]</v>
      </c>
      <c r="I104" s="35" t="str">
        <f t="shared" si="58"/>
        <v>1:개인사업자 2:법인사업자</v>
      </c>
      <c r="J104" s="35"/>
      <c r="K104" s="35" t="str">
        <f t="shared" si="59"/>
        <v>1=개인사업자|2=법인사업자</v>
      </c>
      <c r="L104" s="2"/>
      <c r="M104" s="36">
        <v>0</v>
      </c>
      <c r="N104" s="36">
        <v>0</v>
      </c>
      <c r="O104" s="36" t="s">
        <v>31</v>
      </c>
      <c r="P104" s="36" t="s">
        <v>31</v>
      </c>
      <c r="Q104" s="35" t="str">
        <f t="shared" si="62"/>
        <v>bzmn_dvcd 사업자구분 [["1","개인사업자"],["2","법인사업자"]]</v>
      </c>
      <c r="R104" s="2" t="s">
        <v>921</v>
      </c>
      <c r="S104" s="2"/>
      <c r="T104" s="2"/>
      <c r="U104" s="2" t="s">
        <v>32</v>
      </c>
      <c r="V104" s="2"/>
      <c r="W104" s="2"/>
      <c r="X104" s="2"/>
      <c r="Y104" s="2"/>
      <c r="Z104" s="2"/>
      <c r="AA104" s="2"/>
      <c r="AB104" s="29" t="s">
        <v>370</v>
      </c>
      <c r="AC104" s="25" t="s">
        <v>444</v>
      </c>
      <c r="AD104" s="29">
        <v>2</v>
      </c>
      <c r="AE104" s="25" t="s">
        <v>445</v>
      </c>
      <c r="AF104" s="29"/>
      <c r="AG104" s="25"/>
      <c r="AH104" s="29"/>
      <c r="AI104" s="25"/>
      <c r="AJ104" s="29"/>
      <c r="AK104" s="25"/>
      <c r="AL104" s="29"/>
      <c r="AM104" s="25"/>
      <c r="AN104" s="29"/>
      <c r="AO104" s="25"/>
      <c r="AP104" s="29"/>
      <c r="AQ104" s="25"/>
      <c r="AR104" s="29"/>
      <c r="AS104" s="25"/>
      <c r="AT104" s="29"/>
      <c r="AU104" s="25"/>
      <c r="AV104" s="29"/>
      <c r="AW104" s="25"/>
      <c r="AX104" s="29"/>
      <c r="AY104" s="25"/>
      <c r="AZ104" s="29"/>
      <c r="BA104" s="25"/>
      <c r="BB104" s="29"/>
      <c r="BC104" s="25"/>
      <c r="BD104" s="29"/>
      <c r="BE104" s="25"/>
      <c r="BF104" s="29"/>
      <c r="BG104" s="25"/>
      <c r="BH104" s="29"/>
      <c r="BI104" s="25"/>
      <c r="BJ104" s="29"/>
      <c r="BK104" s="25"/>
      <c r="BL104" s="29"/>
      <c r="BM104" s="25"/>
      <c r="BN104" s="29"/>
      <c r="BO104" s="25"/>
      <c r="BP104" s="29"/>
      <c r="BQ104" s="25"/>
      <c r="BR104" s="29"/>
      <c r="BS104" s="25"/>
      <c r="BT104" s="29"/>
      <c r="BU104" s="25"/>
      <c r="BV104" s="29"/>
      <c r="BW104" s="25"/>
      <c r="BX104" s="29"/>
      <c r="BY104" s="25"/>
      <c r="CA104" s="1" t="str">
        <f t="shared" si="60"/>
        <v>delete from sscd_mast where sscd_idcd = 'bzmn_dvcd_KOR_common'  and site_idcd = 'common';</v>
      </c>
      <c r="CB104" s="5" t="str">
        <f>IF(E104&lt;&gt;"",CREATE_QUERY($B$1,A$2:AA$2,A104:AA104),"")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('bzmn_dvcd_KOR_common', 'KOR', 'common', 'bzmn_dvcd', '사업자구분', 'gb', '', '[["1","개인사업자"],["2","법인사업자"]]', '1:개인사업자 2:법인사업자', '', '1=개인사업자|2=법인사업자', '', '0', '0', '0', '0', 'bzmn_dvcd 사업자구분 [["1","개인사업자"],["2","법인사업자"]]', ' ', '', '', ' ', '', '', '', '', '', '');</v>
      </c>
      <c r="CR104" s="4"/>
    </row>
    <row r="105" spans="1:96" ht="17">
      <c r="A105" s="26" t="str">
        <f t="shared" si="63"/>
        <v>cnsl_dvcd_KOR_common</v>
      </c>
      <c r="B105" s="25" t="s">
        <v>27</v>
      </c>
      <c r="C105" s="25" t="str">
        <f t="shared" si="57"/>
        <v>common</v>
      </c>
      <c r="D105" s="25" t="s">
        <v>257</v>
      </c>
      <c r="E105" s="25" t="s">
        <v>107</v>
      </c>
      <c r="F105" s="25" t="str">
        <f t="shared" si="64"/>
        <v>gb</v>
      </c>
      <c r="G105" s="25"/>
      <c r="H105" s="35" t="str">
        <f t="shared" si="61"/>
        <v>[["1","전화상담"],["2","체인점방문"],["3","본사방문"],["4","기타정보사항"]]</v>
      </c>
      <c r="I105" s="35" t="str">
        <f t="shared" si="58"/>
        <v>1:전화상담 2:체인점방문 3:본사방문 4:기타정보사항</v>
      </c>
      <c r="J105" s="35"/>
      <c r="K105" s="35" t="str">
        <f t="shared" si="59"/>
        <v>1=전화상담|2=체인점방문|3=본사방문|4=기타정보사항</v>
      </c>
      <c r="L105" s="2"/>
      <c r="M105" s="36">
        <v>0</v>
      </c>
      <c r="N105" s="36">
        <v>0</v>
      </c>
      <c r="O105" s="36" t="s">
        <v>31</v>
      </c>
      <c r="P105" s="36" t="s">
        <v>31</v>
      </c>
      <c r="Q105" s="35" t="str">
        <f t="shared" si="62"/>
        <v>cnsl_dvcd 상담구분 [["1","전화상담"],["2","체인점방문"],["3","본사방문"],["4","기타정보사항"]]</v>
      </c>
      <c r="R105" s="2" t="s">
        <v>921</v>
      </c>
      <c r="S105" s="2"/>
      <c r="T105" s="2"/>
      <c r="U105" s="2" t="s">
        <v>32</v>
      </c>
      <c r="V105" s="2"/>
      <c r="W105" s="2"/>
      <c r="X105" s="2"/>
      <c r="Y105" s="2"/>
      <c r="Z105" s="2"/>
      <c r="AA105" s="2"/>
      <c r="AB105" s="29" t="s">
        <v>370</v>
      </c>
      <c r="AC105" s="25" t="s">
        <v>446</v>
      </c>
      <c r="AD105" s="29">
        <v>2</v>
      </c>
      <c r="AE105" s="25" t="s">
        <v>447</v>
      </c>
      <c r="AF105" s="29">
        <v>3</v>
      </c>
      <c r="AG105" s="25" t="s">
        <v>448</v>
      </c>
      <c r="AH105" s="29">
        <v>4</v>
      </c>
      <c r="AI105" s="25" t="s">
        <v>449</v>
      </c>
      <c r="AJ105" s="29"/>
      <c r="AK105" s="25"/>
      <c r="AL105" s="29"/>
      <c r="AM105" s="25"/>
      <c r="AN105" s="29"/>
      <c r="AO105" s="25"/>
      <c r="AP105" s="29"/>
      <c r="AQ105" s="25"/>
      <c r="AR105" s="29"/>
      <c r="AS105" s="25"/>
      <c r="AT105" s="29"/>
      <c r="AU105" s="25"/>
      <c r="AV105" s="29"/>
      <c r="AW105" s="25"/>
      <c r="AX105" s="29"/>
      <c r="AY105" s="25"/>
      <c r="AZ105" s="29"/>
      <c r="BA105" s="25"/>
      <c r="BB105" s="29"/>
      <c r="BC105" s="25"/>
      <c r="BD105" s="29"/>
      <c r="BE105" s="25"/>
      <c r="BF105" s="29"/>
      <c r="BG105" s="25"/>
      <c r="BH105" s="29"/>
      <c r="BI105" s="25"/>
      <c r="BJ105" s="29"/>
      <c r="BK105" s="25"/>
      <c r="BL105" s="29"/>
      <c r="BM105" s="25"/>
      <c r="BN105" s="29"/>
      <c r="BO105" s="25"/>
      <c r="BP105" s="29"/>
      <c r="BQ105" s="25"/>
      <c r="BR105" s="29"/>
      <c r="BS105" s="25"/>
      <c r="BT105" s="29"/>
      <c r="BU105" s="25"/>
      <c r="BV105" s="29"/>
      <c r="BW105" s="25"/>
      <c r="BX105" s="29"/>
      <c r="BY105" s="25"/>
      <c r="CA105" s="1" t="str">
        <f t="shared" si="60"/>
        <v>delete from sscd_mast where sscd_idcd = 'cnsl_dvcd_KOR_common'  and site_idcd = 'common';</v>
      </c>
      <c r="CB105" s="5" t="str">
        <f>IF(E105&lt;&gt;"",CREATE_QUERY($B$1,A$2:AA$2,A105:AA105),"")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('cnsl_dvcd_KOR_common', 'KOR', 'common', 'cnsl_dvcd', '상담구분', 'gb', '', '[["1","전화상담"],["2","체인점방문"],["3","본사방문"],["4","기타정보사항"]]', '1:전화상담 2:체인점방문 3:본사방문 4:기타정보사항', '', '1=전화상담|2=체인점방문|3=본사방문|4=기타정보사항', '', '0', '0', '0', '0', 'cnsl_dvcd 상담구분 [["1","전화상담"],["2","체인점방문"],["3","본사방문"],["4","기타정보사항"]]', ' ', '', '', ' ', '', '', '', '', '', '');</v>
      </c>
    </row>
    <row r="106" spans="1:96" ht="17">
      <c r="A106" s="26" t="str">
        <f t="shared" si="63"/>
        <v>cnsl_type_KOR_common</v>
      </c>
      <c r="B106" s="25" t="s">
        <v>27</v>
      </c>
      <c r="C106" s="25" t="str">
        <f t="shared" si="57"/>
        <v>common</v>
      </c>
      <c r="D106" s="25" t="s">
        <v>258</v>
      </c>
      <c r="E106" s="25" t="s">
        <v>69</v>
      </c>
      <c r="F106" s="25" t="str">
        <f t="shared" si="64"/>
        <v>gb</v>
      </c>
      <c r="G106" s="25"/>
      <c r="H106" s="35" t="str">
        <f t="shared" si="61"/>
        <v>[["1100","재고문의"],["1200","품목문의"],["3101","오출고"],["3102","오발주"],["1300","미출고문의"],["9100","파손처리문의"],["1400","결품사유문의"],["2100","주문취소요청"],["2200","추가발주요청"],["9200","매출원장수신요청"],["1301","배송문의"],["4000","반품"]]</v>
      </c>
      <c r="I106" s="35" t="str">
        <f t="shared" si="58"/>
        <v>1100:재고문의 1200:품목문의 3101:오출고 3102:오발주 1300:미출고문의 9100:파손처리문의 1400:결품사유문의 2100:주문취소요청 2200:추가발주요청 9200:매출원장수신요청 1301:배송문의 4000:반품</v>
      </c>
      <c r="J106" s="35"/>
      <c r="K106" s="35" t="str">
        <f t="shared" si="59"/>
        <v>1100=재고문의|1200=품목문의|3101=오출고|3102=오발주|1300=미출고문의|9100=파손처리문의|1400=결품사유문의|2100=주문취소요청|2200=추가발주요청|9200=매출원장수신요청|1301=배송문의|4000=반품</v>
      </c>
      <c r="L106" s="2"/>
      <c r="M106" s="36">
        <v>0</v>
      </c>
      <c r="N106" s="36">
        <v>0</v>
      </c>
      <c r="O106" s="36" t="s">
        <v>31</v>
      </c>
      <c r="P106" s="36" t="s">
        <v>31</v>
      </c>
      <c r="Q106" s="35" t="str">
        <f t="shared" si="62"/>
        <v>cnsl_type 상담유형 [["1100","재고문의"],["1200","품목문의"],["3101","오출고"],["3102","오발주"],["1300","미출고문의"],["9100","파손처리문의"],["1400","결품사유문의"],["2100","주문취소요청"],["2200","추가발주요청"],["9200","매출원장수신요청"],["1301","배송문의"],["4000","반품"]]</v>
      </c>
      <c r="R106" s="2" t="s">
        <v>921</v>
      </c>
      <c r="S106" s="2"/>
      <c r="T106" s="2"/>
      <c r="U106" s="2" t="s">
        <v>32</v>
      </c>
      <c r="V106" s="2"/>
      <c r="W106" s="2"/>
      <c r="X106" s="2"/>
      <c r="Y106" s="2"/>
      <c r="Z106" s="2"/>
      <c r="AA106" s="2"/>
      <c r="AB106" s="28" t="s">
        <v>671</v>
      </c>
      <c r="AC106" s="25" t="s">
        <v>450</v>
      </c>
      <c r="AD106" s="28" t="s">
        <v>672</v>
      </c>
      <c r="AE106" s="25" t="s">
        <v>595</v>
      </c>
      <c r="AF106" s="28" t="s">
        <v>673</v>
      </c>
      <c r="AG106" s="25" t="s">
        <v>596</v>
      </c>
      <c r="AH106" s="28" t="s">
        <v>674</v>
      </c>
      <c r="AI106" s="25" t="s">
        <v>597</v>
      </c>
      <c r="AJ106" s="28" t="s">
        <v>675</v>
      </c>
      <c r="AK106" s="25" t="s">
        <v>598</v>
      </c>
      <c r="AL106" s="28" t="s">
        <v>676</v>
      </c>
      <c r="AM106" s="25" t="s">
        <v>599</v>
      </c>
      <c r="AN106" s="28" t="s">
        <v>677</v>
      </c>
      <c r="AO106" s="25" t="s">
        <v>668</v>
      </c>
      <c r="AP106" s="28" t="s">
        <v>678</v>
      </c>
      <c r="AQ106" s="25" t="s">
        <v>669</v>
      </c>
      <c r="AR106" s="28" t="s">
        <v>679</v>
      </c>
      <c r="AS106" s="25" t="s">
        <v>670</v>
      </c>
      <c r="AT106" s="28" t="s">
        <v>680</v>
      </c>
      <c r="AU106" s="25" t="s">
        <v>451</v>
      </c>
      <c r="AV106" s="28" t="s">
        <v>681</v>
      </c>
      <c r="AW106" s="25" t="s">
        <v>682</v>
      </c>
      <c r="AX106" s="28" t="s">
        <v>601</v>
      </c>
      <c r="AY106" s="25" t="s">
        <v>683</v>
      </c>
      <c r="AZ106" s="28"/>
      <c r="BA106" s="25"/>
      <c r="BB106" s="28"/>
      <c r="BC106" s="25"/>
      <c r="BD106" s="28"/>
      <c r="BE106" s="25"/>
      <c r="BF106" s="28"/>
      <c r="BG106" s="25"/>
      <c r="BH106" s="28"/>
      <c r="BI106" s="25"/>
      <c r="BJ106" s="28"/>
      <c r="BK106" s="25"/>
      <c r="BL106" s="28"/>
      <c r="BM106" s="25"/>
      <c r="BN106" s="28"/>
      <c r="BO106" s="25"/>
      <c r="BP106" s="28"/>
      <c r="BQ106" s="25"/>
      <c r="BR106" s="28"/>
      <c r="BS106" s="25"/>
      <c r="BT106" s="28"/>
      <c r="BU106" s="25"/>
      <c r="BV106" s="28"/>
      <c r="BW106" s="25"/>
      <c r="BX106" s="28"/>
      <c r="BY106" s="25"/>
      <c r="CA106" s="1" t="str">
        <f t="shared" si="60"/>
        <v>delete from sscd_mast where sscd_idcd = 'cnsl_type_KOR_common'  and site_idcd = 'common';</v>
      </c>
      <c r="CB106" s="5" t="str">
        <f>IF(E106&lt;&gt;"",CREATE_QUERY($B$1,A$2:AA$2,A106:AA106),"")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('cnsl_type_KOR_common', 'KOR', 'common', 'cnsl_type', '상담유형', 'gb', '', '[["1100","재고문의"],["1200","품목문의"],["3101","오출고"],["3102","오발주"],["1300","미출고문의"],["9100","파손처리문의"],["1400","결품사유문의"],["2100","주문취소요청"],["2200","추가발주요청"],["9200","매출원장수신요청"],["1301","배송문의"],["4000","반품"]]', '1100:재고문의 1200:품목문의 3101:오출고 3102:오발주 1300:미출고문의 9100:파손처리문의 1400:결품사유문의 2100:주문취소요청 2200:추가발주요청 9200:매출원장수신요청 1301:배송문의 4000:반품', '', '1100=재고문의|1200=품목문의|3101=오출고|3102=오발주|1300=미출고문의|9100=파손처리문의|1400=결품사유문의|2100=주문취소요청|2200=추가발주요청|9200=매출원장수신요청|1301=배송문의|4000=반품', '', '0', '0', '0', '0', 'cnsl_type 상담유형 [["1100","재고문의"],["1200","품목문의"],["3101","오출고"],["3102","오발주"],["1300","미출고문의"],["9100","파손처리문의"],["1400","결품사유문의"],["2100","주문취소요청"],["2200","추가발주요청"],["9200","매출원장수신요청"],["1301","배송문의"],["4000","반품"]]', ' ', '', '', ' ', '', '', '', '', '', '');</v>
      </c>
    </row>
    <row r="107" spans="1:96" ht="17">
      <c r="A107" s="26" t="str">
        <f t="shared" si="63"/>
        <v>smpl_stnd_dvcd_KOR_common</v>
      </c>
      <c r="B107" s="25" t="s">
        <v>27</v>
      </c>
      <c r="C107" s="25" t="str">
        <f t="shared" si="57"/>
        <v>common</v>
      </c>
      <c r="D107" s="25" t="s">
        <v>287</v>
      </c>
      <c r="E107" s="25" t="s">
        <v>173</v>
      </c>
      <c r="F107" s="25" t="str">
        <f t="shared" si="64"/>
        <v>gb</v>
      </c>
      <c r="G107" s="25"/>
      <c r="H107" s="35" t="str">
        <f t="shared" si="61"/>
        <v>[["1000","임의"],["2000","5%이내"],["3000","10%이내"],["9000","전수"]]</v>
      </c>
      <c r="I107" s="35" t="str">
        <f t="shared" si="58"/>
        <v>1000:임의 2000:5%이내 3000:10%이내 9000:전수</v>
      </c>
      <c r="J107" s="35"/>
      <c r="K107" s="35" t="str">
        <f t="shared" si="59"/>
        <v>1000=임의|2000=5%이내|3000=10%이내|9000=전수</v>
      </c>
      <c r="L107" s="2"/>
      <c r="M107" s="36">
        <v>0</v>
      </c>
      <c r="N107" s="36">
        <v>0</v>
      </c>
      <c r="O107" s="36" t="s">
        <v>31</v>
      </c>
      <c r="P107" s="36" t="s">
        <v>31</v>
      </c>
      <c r="Q107" s="35" t="str">
        <f t="shared" si="62"/>
        <v>smpl_stnd_dvcd 샘플링기준구분코드 [["1000","임의"],["2000","5%이내"],["3000","10%이내"],["9000","전수"]]</v>
      </c>
      <c r="R107" s="2" t="s">
        <v>921</v>
      </c>
      <c r="S107" s="2"/>
      <c r="T107" s="2"/>
      <c r="U107" s="2"/>
      <c r="V107" s="2"/>
      <c r="W107" s="2"/>
      <c r="X107" s="2"/>
      <c r="Y107" s="2"/>
      <c r="Z107" s="2"/>
      <c r="AA107" s="2"/>
      <c r="AB107" s="28" t="s">
        <v>591</v>
      </c>
      <c r="AC107" s="25" t="s">
        <v>780</v>
      </c>
      <c r="AD107" s="28" t="s">
        <v>592</v>
      </c>
      <c r="AE107" s="25" t="s">
        <v>781</v>
      </c>
      <c r="AF107" s="28" t="s">
        <v>600</v>
      </c>
      <c r="AG107" s="25" t="s">
        <v>782</v>
      </c>
      <c r="AH107" s="28" t="s">
        <v>661</v>
      </c>
      <c r="AI107" s="25" t="s">
        <v>783</v>
      </c>
      <c r="AJ107" s="28"/>
      <c r="AK107" s="25"/>
      <c r="AL107" s="28"/>
      <c r="AM107" s="25"/>
      <c r="AN107" s="28"/>
      <c r="AO107" s="25"/>
      <c r="AP107" s="28"/>
      <c r="AQ107" s="25"/>
      <c r="AR107" s="28"/>
      <c r="AS107" s="25"/>
      <c r="AT107" s="28"/>
      <c r="AU107" s="25"/>
      <c r="AV107" s="28"/>
      <c r="AW107" s="25"/>
      <c r="AX107" s="28"/>
      <c r="AY107" s="25"/>
      <c r="AZ107" s="28"/>
      <c r="BA107" s="25"/>
      <c r="BB107" s="28"/>
      <c r="BC107" s="25"/>
      <c r="BD107" s="28"/>
      <c r="BE107" s="25"/>
      <c r="BF107" s="28"/>
      <c r="BG107" s="25"/>
      <c r="BH107" s="28"/>
      <c r="BI107" s="25"/>
      <c r="BJ107" s="28"/>
      <c r="BK107" s="25"/>
      <c r="BL107" s="28"/>
      <c r="BM107" s="25"/>
      <c r="BN107" s="28"/>
      <c r="BO107" s="25"/>
      <c r="BP107" s="28"/>
      <c r="BQ107" s="25"/>
      <c r="BR107" s="28"/>
      <c r="BS107" s="25"/>
      <c r="BT107" s="28"/>
      <c r="BU107" s="25"/>
      <c r="BV107" s="28"/>
      <c r="BW107" s="25"/>
      <c r="BX107" s="28"/>
      <c r="BY107" s="25"/>
      <c r="CA107" s="1" t="str">
        <f t="shared" si="60"/>
        <v>delete from sscd_mast where sscd_idcd = 'smpl_stnd_dvcd_KOR_common'  and site_idcd = 'common';</v>
      </c>
      <c r="CB107" s="5" t="str">
        <f>IF(E107&lt;&gt;"",CREATE_QUERY($B$1,A$2:AA$2,A107:AA107),"")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('smpl_stnd_dvcd_KOR_common', 'KOR', 'common', 'smpl_stnd_dvcd', '샘플링기준구분코드', 'gb', '', '[["1000","임의"],["2000","5%이내"],["3000","10%이내"],["9000","전수"]]', '1000:임의 2000:5%이내 3000:10%이내 9000:전수', '', '1000=임의|2000=5%이내|3000=10%이내|9000=전수', '', '0', '0', '0', '0', 'smpl_stnd_dvcd 샘플링기준구분코드 [["1000","임의"],["2000","5%이내"],["3000","10%이내"],["9000","전수"]]', ' ', '', '', '', '', '', '', '', '', '');</v>
      </c>
    </row>
    <row r="108" spans="1:96" ht="17">
      <c r="A108" s="26" t="str">
        <f t="shared" si="63"/>
        <v>prod_optn_dvcd_KOR_common</v>
      </c>
      <c r="B108" s="25" t="s">
        <v>27</v>
      </c>
      <c r="C108" s="25" t="str">
        <f t="shared" si="57"/>
        <v>common</v>
      </c>
      <c r="D108" s="25" t="s">
        <v>293</v>
      </c>
      <c r="E108" s="25" t="s">
        <v>179</v>
      </c>
      <c r="F108" s="25" t="str">
        <f t="shared" si="64"/>
        <v>gb</v>
      </c>
      <c r="G108" s="25"/>
      <c r="H108" s="35" t="str">
        <f t="shared" si="61"/>
        <v>[["1","자체사양"],["2","고객사사양"],["3","외주"]]</v>
      </c>
      <c r="I108" s="35" t="str">
        <f t="shared" si="58"/>
        <v>1:자체사양 2:고객사사양 3:외주</v>
      </c>
      <c r="J108" s="35"/>
      <c r="K108" s="35" t="str">
        <f t="shared" si="59"/>
        <v>1=자체사양|2=고객사사양|3=외주</v>
      </c>
      <c r="L108" s="2"/>
      <c r="M108" s="36">
        <v>0</v>
      </c>
      <c r="N108" s="36">
        <v>0</v>
      </c>
      <c r="O108" s="36" t="s">
        <v>31</v>
      </c>
      <c r="P108" s="36" t="s">
        <v>31</v>
      </c>
      <c r="Q108" s="35" t="str">
        <f t="shared" si="62"/>
        <v>prod_optn_dvcd 생산사양구분코드 [["1","자체사양"],["2","고객사사양"],["3","외주"]]</v>
      </c>
      <c r="R108" s="2" t="s">
        <v>921</v>
      </c>
      <c r="S108" s="2"/>
      <c r="T108" s="2"/>
      <c r="U108" s="2"/>
      <c r="V108" s="2"/>
      <c r="W108" s="2"/>
      <c r="X108" s="2"/>
      <c r="Y108" s="2"/>
      <c r="Z108" s="2"/>
      <c r="AA108" s="2"/>
      <c r="AB108" s="28" t="s">
        <v>684</v>
      </c>
      <c r="AC108" s="25" t="s">
        <v>895</v>
      </c>
      <c r="AD108" s="28" t="s">
        <v>685</v>
      </c>
      <c r="AE108" s="25" t="s">
        <v>896</v>
      </c>
      <c r="AF108" s="28" t="s">
        <v>687</v>
      </c>
      <c r="AG108" s="25" t="s">
        <v>897</v>
      </c>
      <c r="AH108" s="28"/>
      <c r="AI108" s="25"/>
      <c r="AJ108" s="28"/>
      <c r="AK108" s="25"/>
      <c r="AL108" s="28"/>
      <c r="AM108" s="25"/>
      <c r="AN108" s="28"/>
      <c r="AO108" s="25"/>
      <c r="AP108" s="28"/>
      <c r="AQ108" s="25"/>
      <c r="AR108" s="28"/>
      <c r="AS108" s="25"/>
      <c r="AT108" s="28"/>
      <c r="AU108" s="25"/>
      <c r="AV108" s="28"/>
      <c r="AW108" s="25"/>
      <c r="AX108" s="28"/>
      <c r="AY108" s="25"/>
      <c r="AZ108" s="28"/>
      <c r="BA108" s="25"/>
      <c r="BB108" s="28"/>
      <c r="BC108" s="25"/>
      <c r="BD108" s="28"/>
      <c r="BE108" s="25"/>
      <c r="BF108" s="28"/>
      <c r="BG108" s="25"/>
      <c r="BH108" s="28"/>
      <c r="BI108" s="25"/>
      <c r="BJ108" s="28"/>
      <c r="BK108" s="25"/>
      <c r="BL108" s="28"/>
      <c r="BM108" s="25"/>
      <c r="BN108" s="28"/>
      <c r="BO108" s="25"/>
      <c r="BP108" s="28"/>
      <c r="BQ108" s="25"/>
      <c r="BR108" s="28"/>
      <c r="BS108" s="25"/>
      <c r="BT108" s="28"/>
      <c r="BU108" s="25"/>
      <c r="BV108" s="28"/>
      <c r="BW108" s="25"/>
      <c r="BX108" s="28"/>
      <c r="BY108" s="25"/>
      <c r="CA108" s="1" t="str">
        <f t="shared" si="60"/>
        <v>delete from sscd_mast where sscd_idcd = 'prod_optn_dvcd_KOR_common'  and site_idcd = 'common';</v>
      </c>
      <c r="CB108" s="5" t="str">
        <f>IF(E108&lt;&gt;"",CREATE_QUERY($B$1,A$2:AA$2,A108:AA108),"")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('prod_optn_dvcd_KOR_common', 'KOR', 'common', 'prod_optn_dvcd', '생산사양구분코드', 'gb', '', '[["1","자체사양"],["2","고객사사양"],["3","외주"]]', '1:자체사양 2:고객사사양 3:외주', '', '1=자체사양|2=고객사사양|3=외주', '', '0', '0', '0', '0', 'prod_optn_dvcd 생산사양구분코드 [["1","자체사양"],["2","고객사사양"],["3","외주"]]', ' ', '', '', '', '', '', '', '', '', '');</v>
      </c>
    </row>
    <row r="109" spans="1:96" ht="17">
      <c r="A109" s="26" t="str">
        <f t="shared" si="63"/>
        <v>prod_usge_dvcd_KOR_common</v>
      </c>
      <c r="B109" s="25" t="s">
        <v>27</v>
      </c>
      <c r="C109" s="25" t="str">
        <f t="shared" si="57"/>
        <v>common</v>
      </c>
      <c r="D109" s="25" t="s">
        <v>328</v>
      </c>
      <c r="E109" s="25" t="s">
        <v>215</v>
      </c>
      <c r="F109" s="25" t="str">
        <f t="shared" si="64"/>
        <v>gb</v>
      </c>
      <c r="G109" s="25"/>
      <c r="H109" s="35" t="str">
        <f t="shared" si="61"/>
        <v>[["1","판매"],["2","시험"],["3","Sample"],["4","재고확보"]]</v>
      </c>
      <c r="I109" s="35" t="str">
        <f t="shared" si="58"/>
        <v>1:판매 2:시험 3:Sample 4:재고확보</v>
      </c>
      <c r="J109" s="35"/>
      <c r="K109" s="35" t="str">
        <f t="shared" si="59"/>
        <v>1=판매|2=시험|3=Sample|4=재고확보</v>
      </c>
      <c r="L109" s="2"/>
      <c r="M109" s="36">
        <v>0</v>
      </c>
      <c r="N109" s="36">
        <v>0</v>
      </c>
      <c r="O109" s="36" t="s">
        <v>31</v>
      </c>
      <c r="P109" s="36" t="s">
        <v>31</v>
      </c>
      <c r="Q109" s="35" t="str">
        <f t="shared" si="62"/>
        <v>prod_usge_dvcd 생산용도구분코드 [["1","판매"],["2","시험"],["3","Sample"],["4","재고확보"]]</v>
      </c>
      <c r="R109" s="2" t="s">
        <v>921</v>
      </c>
      <c r="S109" s="2"/>
      <c r="T109" s="2"/>
      <c r="U109" s="2"/>
      <c r="V109" s="2"/>
      <c r="W109" s="2"/>
      <c r="X109" s="2"/>
      <c r="Y109" s="2"/>
      <c r="Z109" s="2"/>
      <c r="AA109" s="2"/>
      <c r="AB109" s="28" t="s">
        <v>684</v>
      </c>
      <c r="AC109" s="25" t="s">
        <v>898</v>
      </c>
      <c r="AD109" s="28" t="s">
        <v>685</v>
      </c>
      <c r="AE109" s="25" t="s">
        <v>899</v>
      </c>
      <c r="AF109" s="28" t="s">
        <v>687</v>
      </c>
      <c r="AG109" s="25" t="s">
        <v>900</v>
      </c>
      <c r="AH109" s="28" t="s">
        <v>688</v>
      </c>
      <c r="AI109" s="25" t="s">
        <v>901</v>
      </c>
      <c r="AJ109" s="28"/>
      <c r="AK109" s="25"/>
      <c r="AL109" s="28"/>
      <c r="AM109" s="25"/>
      <c r="AN109" s="28"/>
      <c r="AO109" s="25"/>
      <c r="AP109" s="28"/>
      <c r="AQ109" s="25"/>
      <c r="AR109" s="28"/>
      <c r="AS109" s="25"/>
      <c r="AT109" s="28"/>
      <c r="AU109" s="25"/>
      <c r="AV109" s="28"/>
      <c r="AW109" s="25"/>
      <c r="AX109" s="28"/>
      <c r="AY109" s="25"/>
      <c r="AZ109" s="28"/>
      <c r="BA109" s="25"/>
      <c r="BB109" s="28"/>
      <c r="BC109" s="25"/>
      <c r="BD109" s="28"/>
      <c r="BE109" s="25"/>
      <c r="BF109" s="28"/>
      <c r="BG109" s="25"/>
      <c r="BH109" s="28"/>
      <c r="BI109" s="25"/>
      <c r="BJ109" s="28"/>
      <c r="BK109" s="25"/>
      <c r="BL109" s="28"/>
      <c r="BM109" s="25"/>
      <c r="BN109" s="28"/>
      <c r="BO109" s="25"/>
      <c r="BP109" s="28"/>
      <c r="BQ109" s="25"/>
      <c r="BR109" s="28"/>
      <c r="BS109" s="25"/>
      <c r="BT109" s="28"/>
      <c r="BU109" s="25"/>
      <c r="BV109" s="28"/>
      <c r="BW109" s="25"/>
      <c r="BX109" s="28"/>
      <c r="BY109" s="25"/>
      <c r="CA109" s="1" t="str">
        <f t="shared" si="60"/>
        <v>delete from sscd_mast where sscd_idcd = 'prod_usge_dvcd_KOR_common'  and site_idcd = 'common';</v>
      </c>
      <c r="CB109" s="5" t="str">
        <f>IF(E109&lt;&gt;"",CREATE_QUERY($B$1,A$2:AA$2,A109:AA109),"")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('prod_usge_dvcd_KOR_common', 'KOR', 'common', 'prod_usge_dvcd', '생산용도구분코드', 'gb', '', '[["1","판매"],["2","시험"],["3","Sample"],["4","재고확보"]]', '1:판매 2:시험 3:Sample 4:재고확보', '', '1=판매|2=시험|3=Sample|4=재고확보', '', '0', '0', '0', '0', 'prod_usge_dvcd 생산용도구분코드 [["1","판매"],["2","시험"],["3","Sample"],["4","재고확보"]]', ' ', '', '', '', '', '', '', '', '', '');</v>
      </c>
    </row>
    <row r="110" spans="1:96" ht="17">
      <c r="A110" s="26" t="str">
        <f t="shared" si="63"/>
        <v>prod_type_dvcd_KOR_common</v>
      </c>
      <c r="B110" s="25" t="s">
        <v>27</v>
      </c>
      <c r="C110" s="25" t="str">
        <f t="shared" si="57"/>
        <v>common</v>
      </c>
      <c r="D110" s="25" t="s">
        <v>292</v>
      </c>
      <c r="E110" s="25" t="s">
        <v>178</v>
      </c>
      <c r="F110" s="25" t="str">
        <f t="shared" si="64"/>
        <v>gb</v>
      </c>
      <c r="G110" s="25"/>
      <c r="H110" s="35" t="str">
        <f t="shared" si="61"/>
        <v>[["1","자체생산"],["2","외주생산"]]</v>
      </c>
      <c r="I110" s="35" t="str">
        <f t="shared" si="58"/>
        <v>1:자체생산 2:외주생산</v>
      </c>
      <c r="J110" s="35"/>
      <c r="K110" s="35" t="str">
        <f t="shared" si="59"/>
        <v>1=자체생산|2=외주생산</v>
      </c>
      <c r="L110" s="2"/>
      <c r="M110" s="36">
        <v>0</v>
      </c>
      <c r="N110" s="36">
        <v>0</v>
      </c>
      <c r="O110" s="36" t="s">
        <v>31</v>
      </c>
      <c r="P110" s="36" t="s">
        <v>31</v>
      </c>
      <c r="Q110" s="35" t="str">
        <f t="shared" si="62"/>
        <v>prod_type_dvcd 생산유형구분코드 [["1","자체생산"],["2","외주생산"]]</v>
      </c>
      <c r="R110" s="2" t="s">
        <v>921</v>
      </c>
      <c r="S110" s="2"/>
      <c r="T110" s="2"/>
      <c r="U110" s="2"/>
      <c r="V110" s="2"/>
      <c r="W110" s="2"/>
      <c r="X110" s="2"/>
      <c r="Y110" s="2"/>
      <c r="Z110" s="2"/>
      <c r="AA110" s="2"/>
      <c r="AB110" s="28" t="s">
        <v>684</v>
      </c>
      <c r="AC110" s="25" t="s">
        <v>905</v>
      </c>
      <c r="AD110" s="28" t="s">
        <v>685</v>
      </c>
      <c r="AE110" s="25" t="s">
        <v>906</v>
      </c>
      <c r="AF110" s="28"/>
      <c r="AG110" s="25"/>
      <c r="AH110" s="28"/>
      <c r="AI110" s="25"/>
      <c r="AJ110" s="28"/>
      <c r="AK110" s="25"/>
      <c r="AL110" s="28"/>
      <c r="AM110" s="25"/>
      <c r="AN110" s="28"/>
      <c r="AO110" s="25"/>
      <c r="AP110" s="28"/>
      <c r="AQ110" s="25"/>
      <c r="AR110" s="28"/>
      <c r="AS110" s="25"/>
      <c r="AT110" s="28"/>
      <c r="AU110" s="25"/>
      <c r="AV110" s="28"/>
      <c r="AW110" s="25"/>
      <c r="AX110" s="28"/>
      <c r="AY110" s="25"/>
      <c r="AZ110" s="28"/>
      <c r="BA110" s="25"/>
      <c r="BB110" s="28"/>
      <c r="BC110" s="25"/>
      <c r="BD110" s="28"/>
      <c r="BE110" s="25"/>
      <c r="BF110" s="28"/>
      <c r="BG110" s="25"/>
      <c r="BH110" s="28"/>
      <c r="BI110" s="25"/>
      <c r="BJ110" s="28"/>
      <c r="BK110" s="25"/>
      <c r="BL110" s="28"/>
      <c r="BM110" s="25"/>
      <c r="BN110" s="28"/>
      <c r="BO110" s="25"/>
      <c r="BP110" s="28"/>
      <c r="BQ110" s="25"/>
      <c r="BR110" s="28"/>
      <c r="BS110" s="25"/>
      <c r="BT110" s="28"/>
      <c r="BU110" s="25"/>
      <c r="BV110" s="28"/>
      <c r="BW110" s="25"/>
      <c r="BX110" s="28"/>
      <c r="BY110" s="25"/>
      <c r="CA110" s="1" t="str">
        <f t="shared" si="60"/>
        <v>delete from sscd_mast where sscd_idcd = 'prod_type_dvcd_KOR_common'  and site_idcd = 'common';</v>
      </c>
      <c r="CB110" s="5" t="str">
        <f>IF(E110&lt;&gt;"",CREATE_QUERY($B$1,A$2:AA$2,A110:AA110),"")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('prod_type_dvcd_KOR_common', 'KOR', 'common', 'prod_type_dvcd', '생산유형구분코드', 'gb', '', '[["1","자체생산"],["2","외주생산"]]', '1:자체생산 2:외주생산', '', '1=자체생산|2=외주생산', '', '0', '0', '0', '0', 'prod_type_dvcd 생산유형구분코드 [["1","자체생산"],["2","외주생산"]]', ' ', '', '', '', '', '', '', '', '', '');</v>
      </c>
    </row>
    <row r="111" spans="1:96" ht="17">
      <c r="A111" s="26" t="str">
        <f t="shared" si="63"/>
        <v>prod_trst_dvcd_KOR_common</v>
      </c>
      <c r="B111" s="25" t="s">
        <v>27</v>
      </c>
      <c r="C111" s="25" t="str">
        <f t="shared" si="57"/>
        <v>common</v>
      </c>
      <c r="D111" s="25" t="s">
        <v>327</v>
      </c>
      <c r="E111" s="25" t="s">
        <v>214</v>
      </c>
      <c r="F111" s="25" t="str">
        <f t="shared" si="64"/>
        <v>gb</v>
      </c>
      <c r="G111" s="25"/>
      <c r="H111" s="35" t="str">
        <f t="shared" si="61"/>
        <v>[["1000","신제"],["2000","수리"],["3000","예비생산"],["4000","신제품개발"]]</v>
      </c>
      <c r="I111" s="35" t="str">
        <f t="shared" si="58"/>
        <v>1000:신제 2000:수리 3000:예비생산 4000:신제품개발</v>
      </c>
      <c r="J111" s="35"/>
      <c r="K111" s="35" t="str">
        <f t="shared" si="59"/>
        <v>1000=신제|2000=수리|3000=예비생산|4000=신제품개발</v>
      </c>
      <c r="L111" s="2"/>
      <c r="M111" s="36">
        <v>0</v>
      </c>
      <c r="N111" s="36">
        <v>0</v>
      </c>
      <c r="O111" s="36" t="s">
        <v>31</v>
      </c>
      <c r="P111" s="36" t="s">
        <v>31</v>
      </c>
      <c r="Q111" s="35" t="str">
        <f t="shared" si="62"/>
        <v>prod_trst_dvcd 생산의뢰구분코드 [["1000","신제"],["2000","수리"],["3000","예비생산"],["4000","신제품개발"]]</v>
      </c>
      <c r="R111" s="2" t="s">
        <v>921</v>
      </c>
      <c r="S111" s="2"/>
      <c r="T111" s="2"/>
      <c r="U111" s="2"/>
      <c r="V111" s="2"/>
      <c r="W111" s="2"/>
      <c r="X111" s="2"/>
      <c r="Y111" s="2"/>
      <c r="Z111" s="2"/>
      <c r="AA111" s="2"/>
      <c r="AB111" s="28" t="s">
        <v>591</v>
      </c>
      <c r="AC111" s="25" t="s">
        <v>3146</v>
      </c>
      <c r="AD111" s="28" t="s">
        <v>592</v>
      </c>
      <c r="AE111" s="25" t="s">
        <v>3147</v>
      </c>
      <c r="AF111" s="28" t="s">
        <v>600</v>
      </c>
      <c r="AG111" s="25" t="s">
        <v>785</v>
      </c>
      <c r="AH111" s="28" t="s">
        <v>601</v>
      </c>
      <c r="AI111" s="25" t="s">
        <v>2922</v>
      </c>
      <c r="AJ111" s="28"/>
      <c r="AK111" s="25"/>
      <c r="AL111" s="28"/>
      <c r="AM111" s="25"/>
      <c r="AN111" s="28"/>
      <c r="AO111" s="25"/>
      <c r="AP111" s="28"/>
      <c r="AQ111" s="25"/>
      <c r="AR111" s="28"/>
      <c r="AS111" s="25"/>
      <c r="AT111" s="28"/>
      <c r="AU111" s="25"/>
      <c r="AV111" s="28"/>
      <c r="AW111" s="25"/>
      <c r="AX111" s="28"/>
      <c r="AY111" s="25"/>
      <c r="AZ111" s="28"/>
      <c r="BA111" s="25"/>
      <c r="BB111" s="28"/>
      <c r="BC111" s="25"/>
      <c r="BD111" s="28"/>
      <c r="BE111" s="25"/>
      <c r="BF111" s="28"/>
      <c r="BG111" s="25"/>
      <c r="BH111" s="28"/>
      <c r="BI111" s="25"/>
      <c r="BJ111" s="28"/>
      <c r="BK111" s="25"/>
      <c r="BL111" s="28"/>
      <c r="BM111" s="25"/>
      <c r="BN111" s="28"/>
      <c r="BO111" s="25"/>
      <c r="BP111" s="28"/>
      <c r="BQ111" s="25"/>
      <c r="BR111" s="28"/>
      <c r="BS111" s="25"/>
      <c r="BT111" s="28"/>
      <c r="BU111" s="25"/>
      <c r="BV111" s="28"/>
      <c r="BW111" s="25"/>
      <c r="BX111" s="28"/>
      <c r="BY111" s="25"/>
      <c r="CA111" s="1" t="str">
        <f t="shared" si="60"/>
        <v>delete from sscd_mast where sscd_idcd = 'prod_trst_dvcd_KOR_common'  and site_idcd = 'common';</v>
      </c>
      <c r="CB111" s="5" t="str">
        <f>IF(E111&lt;&gt;"",CREATE_QUERY($B$1,A$2:AA$2,A111:AA111),"")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('prod_trst_dvcd_KOR_common', 'KOR', 'common', 'prod_trst_dvcd', '생산의뢰구분코드', 'gb', '', '[["1000","신제"],["2000","수리"],["3000","예비생산"],["4000","신제품개발"]]', '1000:신제 2000:수리 3000:예비생산 4000:신제품개발', '', '1000=신제|2000=수리|3000=예비생산|4000=신제품개발', '', '0', '0', '0', '0', 'prod_trst_dvcd 생산의뢰구분코드 [["1000","신제"],["2000","수리"],["3000","예비생산"],["4000","신제품개발"]]', ' ', '', '', '', '', '', '', '', '', '');</v>
      </c>
    </row>
    <row r="112" spans="1:96" ht="17">
      <c r="A112" s="26" t="str">
        <f t="shared" si="63"/>
        <v>cvic_stat_dvcd_KOR_common</v>
      </c>
      <c r="B112" s="25" t="s">
        <v>27</v>
      </c>
      <c r="C112" s="25" t="str">
        <f t="shared" si="57"/>
        <v>common</v>
      </c>
      <c r="D112" s="25" t="s">
        <v>306</v>
      </c>
      <c r="E112" s="25" t="s">
        <v>192</v>
      </c>
      <c r="F112" s="25" t="str">
        <f t="shared" si="64"/>
        <v>gb</v>
      </c>
      <c r="G112" s="25"/>
      <c r="H112" s="35" t="str">
        <f t="shared" si="61"/>
        <v>[["1","대기"],["2","고장"],["3","정상"],["4","수리대기"]]</v>
      </c>
      <c r="I112" s="35" t="str">
        <f t="shared" si="58"/>
        <v>1:대기 2:고장 3:정상 4:수리대기</v>
      </c>
      <c r="J112" s="35"/>
      <c r="K112" s="35" t="str">
        <f t="shared" si="59"/>
        <v>1=대기|2=고장|3=정상|4=수리대기</v>
      </c>
      <c r="L112" s="2"/>
      <c r="M112" s="36">
        <v>0</v>
      </c>
      <c r="N112" s="36">
        <v>0</v>
      </c>
      <c r="O112" s="36" t="s">
        <v>31</v>
      </c>
      <c r="P112" s="36" t="s">
        <v>31</v>
      </c>
      <c r="Q112" s="35" t="str">
        <f t="shared" si="62"/>
        <v>cvic_stat_dvcd 설비상태구분코드 [["1","대기"],["2","고장"],["3","정상"],["4","수리대기"]]</v>
      </c>
      <c r="R112" s="2" t="s">
        <v>921</v>
      </c>
      <c r="S112" s="2"/>
      <c r="T112" s="2"/>
      <c r="U112" s="2"/>
      <c r="V112" s="2"/>
      <c r="W112" s="2"/>
      <c r="X112" s="2"/>
      <c r="Y112" s="2"/>
      <c r="Z112" s="2"/>
      <c r="AA112" s="2"/>
      <c r="AB112" s="28" t="s">
        <v>684</v>
      </c>
      <c r="AC112" s="25" t="s">
        <v>2502</v>
      </c>
      <c r="AD112" s="28" t="s">
        <v>685</v>
      </c>
      <c r="AE112" s="25" t="s">
        <v>723</v>
      </c>
      <c r="AF112" s="28" t="s">
        <v>687</v>
      </c>
      <c r="AG112" s="25" t="s">
        <v>660</v>
      </c>
      <c r="AH112" s="28" t="s">
        <v>688</v>
      </c>
      <c r="AI112" s="25" t="s">
        <v>786</v>
      </c>
      <c r="AJ112" s="28"/>
      <c r="AK112" s="25"/>
      <c r="AL112" s="28"/>
      <c r="AM112" s="25"/>
      <c r="AN112" s="28"/>
      <c r="AO112" s="25"/>
      <c r="AP112" s="28"/>
      <c r="AQ112" s="25"/>
      <c r="AR112" s="28"/>
      <c r="AS112" s="25"/>
      <c r="AT112" s="28"/>
      <c r="AU112" s="25"/>
      <c r="AV112" s="28"/>
      <c r="AW112" s="25"/>
      <c r="AX112" s="28"/>
      <c r="AY112" s="25"/>
      <c r="AZ112" s="28"/>
      <c r="BA112" s="25"/>
      <c r="BB112" s="28"/>
      <c r="BC112" s="25"/>
      <c r="BD112" s="28"/>
      <c r="BE112" s="25"/>
      <c r="BF112" s="28"/>
      <c r="BG112" s="25"/>
      <c r="BH112" s="28"/>
      <c r="BI112" s="25"/>
      <c r="BJ112" s="28"/>
      <c r="BK112" s="25"/>
      <c r="BL112" s="28"/>
      <c r="BM112" s="25"/>
      <c r="BN112" s="28"/>
      <c r="BO112" s="25"/>
      <c r="BP112" s="28"/>
      <c r="BQ112" s="25"/>
      <c r="BR112" s="28"/>
      <c r="BS112" s="25"/>
      <c r="BT112" s="28"/>
      <c r="BU112" s="25"/>
      <c r="BV112" s="28"/>
      <c r="BW112" s="25"/>
      <c r="BX112" s="28"/>
      <c r="BY112" s="25"/>
      <c r="CA112" s="1" t="str">
        <f t="shared" si="60"/>
        <v>delete from sscd_mast where sscd_idcd = 'cvic_stat_dvcd_KOR_common'  and site_idcd = 'common';</v>
      </c>
      <c r="CB112" s="5" t="str">
        <f>IF(E112&lt;&gt;"",CREATE_QUERY($B$1,A$2:AA$2,A112:AA112),"")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('cvic_stat_dvcd_KOR_common', 'KOR', 'common', 'cvic_stat_dvcd', '설비상태구분코드', 'gb', '', '[["1","대기"],["2","고장"],["3","정상"],["4","수리대기"]]', '1:대기 2:고장 3:정상 4:수리대기', '', '1=대기|2=고장|3=정상|4=수리대기', '', '0', '0', '0', '0', 'cvic_stat_dvcd 설비상태구분코드 [["1","대기"],["2","고장"],["3","정상"],["4","수리대기"]]', ' ', '', '', '', '', '', '', '', '', '');</v>
      </c>
    </row>
    <row r="113" spans="1:80" ht="17">
      <c r="A113" s="26" t="str">
        <f t="shared" si="63"/>
        <v>istl_dvcd_KOR_common</v>
      </c>
      <c r="B113" s="25" t="s">
        <v>27</v>
      </c>
      <c r="C113" s="25" t="str">
        <f t="shared" si="57"/>
        <v>common</v>
      </c>
      <c r="D113" s="25" t="s">
        <v>260</v>
      </c>
      <c r="E113" s="25" t="s">
        <v>50</v>
      </c>
      <c r="F113" s="25" t="str">
        <f t="shared" si="64"/>
        <v>gb</v>
      </c>
      <c r="G113" s="25"/>
      <c r="H113" s="35" t="str">
        <f t="shared" si="61"/>
        <v>[["1","신규"],["2","변경"]]</v>
      </c>
      <c r="I113" s="35" t="str">
        <f t="shared" si="58"/>
        <v>1:신규 2:변경</v>
      </c>
      <c r="J113" s="35"/>
      <c r="K113" s="35" t="str">
        <f t="shared" si="59"/>
        <v>1=신규|2=변경</v>
      </c>
      <c r="L113" s="2"/>
      <c r="M113" s="36">
        <v>0</v>
      </c>
      <c r="N113" s="36">
        <v>0</v>
      </c>
      <c r="O113" s="36" t="s">
        <v>31</v>
      </c>
      <c r="P113" s="36" t="s">
        <v>31</v>
      </c>
      <c r="Q113" s="35" t="str">
        <f t="shared" si="62"/>
        <v>istl_dvcd 설치구분 [["1","신규"],["2","변경"]]</v>
      </c>
      <c r="R113" s="2" t="s">
        <v>921</v>
      </c>
      <c r="S113" s="2"/>
      <c r="T113" s="2"/>
      <c r="U113" s="2" t="s">
        <v>32</v>
      </c>
      <c r="V113" s="2"/>
      <c r="W113" s="2"/>
      <c r="X113" s="2"/>
      <c r="Y113" s="2"/>
      <c r="Z113" s="2"/>
      <c r="AA113" s="2"/>
      <c r="AB113" s="29" t="s">
        <v>370</v>
      </c>
      <c r="AC113" s="25" t="s">
        <v>459</v>
      </c>
      <c r="AD113" s="29">
        <v>2</v>
      </c>
      <c r="AE113" s="25" t="s">
        <v>460</v>
      </c>
      <c r="AF113" s="29"/>
      <c r="AG113" s="25"/>
      <c r="AH113" s="29"/>
      <c r="AI113" s="25"/>
      <c r="AJ113" s="29"/>
      <c r="AK113" s="25"/>
      <c r="AL113" s="29"/>
      <c r="AM113" s="25"/>
      <c r="AN113" s="29"/>
      <c r="AO113" s="25"/>
      <c r="AP113" s="29"/>
      <c r="AQ113" s="25"/>
      <c r="AR113" s="29"/>
      <c r="AS113" s="25"/>
      <c r="AT113" s="29"/>
      <c r="AU113" s="25"/>
      <c r="AV113" s="29"/>
      <c r="AW113" s="25"/>
      <c r="AX113" s="29"/>
      <c r="AY113" s="25"/>
      <c r="AZ113" s="29"/>
      <c r="BA113" s="25"/>
      <c r="BB113" s="29"/>
      <c r="BC113" s="25"/>
      <c r="BD113" s="29"/>
      <c r="BE113" s="25"/>
      <c r="BF113" s="29"/>
      <c r="BG113" s="25"/>
      <c r="BH113" s="29"/>
      <c r="BI113" s="25"/>
      <c r="BJ113" s="29"/>
      <c r="BK113" s="25"/>
      <c r="BL113" s="29"/>
      <c r="BM113" s="25"/>
      <c r="BN113" s="29"/>
      <c r="BO113" s="25"/>
      <c r="BP113" s="29"/>
      <c r="BQ113" s="25"/>
      <c r="BR113" s="29"/>
      <c r="BS113" s="25"/>
      <c r="BT113" s="29"/>
      <c r="BU113" s="25"/>
      <c r="BV113" s="29"/>
      <c r="BW113" s="25"/>
      <c r="BX113" s="29"/>
      <c r="BY113" s="25"/>
      <c r="CA113" s="1" t="str">
        <f t="shared" si="60"/>
        <v>delete from sscd_mast where sscd_idcd = 'istl_dvcd_KOR_common'  and site_idcd = 'common';</v>
      </c>
      <c r="CB113" s="5" t="str">
        <f>IF(E113&lt;&gt;"",CREATE_QUERY($B$1,A$2:AA$2,A113:AA113),"")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('istl_dvcd_KOR_common', 'KOR', 'common', 'istl_dvcd', '설치구분', 'gb', '', '[["1","신규"],["2","변경"]]', '1:신규 2:변경', '', '1=신규|2=변경', '', '0', '0', '0', '0', 'istl_dvcd 설치구분 [["1","신규"],["2","변경"]]', ' ', '', '', ' ', '', '', '', '', '', '');</v>
      </c>
    </row>
    <row r="114" spans="1:80" ht="17">
      <c r="A114" s="26" t="str">
        <f t="shared" si="63"/>
        <v>etax_stat_KOR_common</v>
      </c>
      <c r="B114" s="25" t="s">
        <v>27</v>
      </c>
      <c r="C114" s="25" t="str">
        <f t="shared" si="57"/>
        <v>common</v>
      </c>
      <c r="D114" s="25" t="s">
        <v>262</v>
      </c>
      <c r="E114" s="25" t="s">
        <v>44</v>
      </c>
      <c r="F114" s="25" t="str">
        <f t="shared" si="64"/>
        <v>gb</v>
      </c>
      <c r="G114" s="25"/>
      <c r="H114" s="35" t="str">
        <f t="shared" si="61"/>
        <v>[["1000","전송전"],["2000","전송중"],["3000","전송완료","blue"],["4000","전송오류","red"],["N000","발행요청"],["T000","발행완료"],["G000","승인대기","blue"]]</v>
      </c>
      <c r="I114" s="35" t="str">
        <f t="shared" si="58"/>
        <v>1000:전송전 2000:전송중 3000:전송완료:blue 4000:전송오류:red N000:발행요청 T000:발행완료 G000:승인대기:blue</v>
      </c>
      <c r="J114" s="35"/>
      <c r="K114" s="35" t="str">
        <f t="shared" si="59"/>
        <v>1000=전송전|2000=전송중|3000=전송완료:blue|4000=전송오류:red|N000=발행요청|T000=발행완료|G000=승인대기:blue</v>
      </c>
      <c r="L114" s="2"/>
      <c r="M114" s="36">
        <v>0</v>
      </c>
      <c r="N114" s="36">
        <v>0</v>
      </c>
      <c r="O114" s="36" t="s">
        <v>31</v>
      </c>
      <c r="P114" s="36" t="s">
        <v>31</v>
      </c>
      <c r="Q114" s="35" t="str">
        <f t="shared" si="62"/>
        <v>etax_stat 세금 계산서 상태 (국세청) [["1000","전송전"],["2000","전송중"],["3000","전송완료","blue"],["4000","전송오류","red"],["N000","발행요청"],["T000","발행완료"],["G000","승인대기","blue"]]</v>
      </c>
      <c r="R114" s="2" t="s">
        <v>921</v>
      </c>
      <c r="S114" s="2"/>
      <c r="T114" s="2"/>
      <c r="U114" s="2" t="s">
        <v>32</v>
      </c>
      <c r="V114" s="2"/>
      <c r="W114" s="2"/>
      <c r="X114" s="2"/>
      <c r="Y114" s="2"/>
      <c r="Z114" s="2"/>
      <c r="AA114" s="2"/>
      <c r="AB114" s="29" t="s">
        <v>591</v>
      </c>
      <c r="AC114" s="25" t="s">
        <v>465</v>
      </c>
      <c r="AD114" s="29" t="s">
        <v>592</v>
      </c>
      <c r="AE114" s="25" t="s">
        <v>466</v>
      </c>
      <c r="AF114" s="29" t="s">
        <v>600</v>
      </c>
      <c r="AG114" s="25" t="s">
        <v>602</v>
      </c>
      <c r="AH114" s="29" t="s">
        <v>601</v>
      </c>
      <c r="AI114" s="25" t="s">
        <v>603</v>
      </c>
      <c r="AJ114" s="29" t="s">
        <v>604</v>
      </c>
      <c r="AK114" s="25" t="s">
        <v>605</v>
      </c>
      <c r="AL114" s="29" t="s">
        <v>606</v>
      </c>
      <c r="AM114" s="25" t="s">
        <v>607</v>
      </c>
      <c r="AN114" s="29" t="s">
        <v>608</v>
      </c>
      <c r="AO114" s="25" t="s">
        <v>609</v>
      </c>
      <c r="AP114" s="29"/>
      <c r="AQ114" s="25"/>
      <c r="AR114" s="29"/>
      <c r="AS114" s="25"/>
      <c r="AT114" s="29"/>
      <c r="AU114" s="25"/>
      <c r="AV114" s="29"/>
      <c r="AW114" s="25"/>
      <c r="AX114" s="29"/>
      <c r="AY114" s="25"/>
      <c r="AZ114" s="29"/>
      <c r="BA114" s="25"/>
      <c r="BB114" s="29"/>
      <c r="BC114" s="25"/>
      <c r="BD114" s="29"/>
      <c r="BE114" s="25"/>
      <c r="BF114" s="29"/>
      <c r="BG114" s="25"/>
      <c r="BH114" s="29"/>
      <c r="BI114" s="25"/>
      <c r="BJ114" s="29"/>
      <c r="BK114" s="25"/>
      <c r="BL114" s="29"/>
      <c r="BM114" s="25"/>
      <c r="BN114" s="29"/>
      <c r="BO114" s="25"/>
      <c r="BP114" s="29"/>
      <c r="BQ114" s="25"/>
      <c r="BR114" s="29"/>
      <c r="BS114" s="25"/>
      <c r="BT114" s="29"/>
      <c r="BU114" s="25"/>
      <c r="BV114" s="29"/>
      <c r="BW114" s="25"/>
      <c r="BX114" s="29"/>
      <c r="BY114" s="25"/>
      <c r="CA114" s="1" t="str">
        <f t="shared" si="60"/>
        <v>delete from sscd_mast where sscd_idcd = 'etax_stat_KOR_common'  and site_idcd = 'common';</v>
      </c>
      <c r="CB114" s="5" t="str">
        <f>IF(E114&lt;&gt;"",CREATE_QUERY($B$1,A$2:AA$2,A114:AA114),"")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('etax_stat_KOR_common', 'KOR', 'common', 'etax_stat', '세금 계산서 상태 (국세청)', 'gb', '', '[["1000","전송전"],["2000","전송중"],["3000","전송완료","blue"],["4000","전송오류","red"],["N000","발행요청"],["T000","발행완료"],["G000","승인대기","blue"]]', '1000:전송전 2000:전송중 3000:전송완료:blue 4000:전송오류:red N000:발행요청 T000:발행완료 G000:승인대기:blue', '', '1000=전송전|2000=전송중|3000=전송완료:blue|4000=전송오류:red|N000=발행요청|T000=발행완료|G000=승인대기:blue', '', '0', '0', '0', '0', 'etax_stat 세금 계산서 상태 (국세청) [["1000","전송전"],["2000","전송중"],["3000","전송완료","blue"],["4000","전송오류","red"],["N000","발행요청"],["T000","발행완료"],["G000","승인대기","blue"]]', ' ', '', '', ' ', '', '', '', '', '', '');</v>
      </c>
    </row>
    <row r="115" spans="1:80" ht="17">
      <c r="A115" s="26" t="str">
        <f t="shared" si="63"/>
        <v>paym_dvcd_KOR_common</v>
      </c>
      <c r="B115" s="25" t="s">
        <v>27</v>
      </c>
      <c r="C115" s="25" t="str">
        <f t="shared" si="57"/>
        <v>common</v>
      </c>
      <c r="D115" s="25" t="s">
        <v>263</v>
      </c>
      <c r="E115" s="25" t="s">
        <v>159</v>
      </c>
      <c r="F115" s="25" t="str">
        <f t="shared" si="64"/>
        <v>gb</v>
      </c>
      <c r="G115" s="25"/>
      <c r="H115" s="35" t="str">
        <f t="shared" ref="H115:H138" si="65">"[["""&amp;
SUBSTITUTE(SUBSTITUTE(I115,":",""",""")," ","""],[""")
&amp;"""]]"</f>
        <v>[["0100","현금"],["0101","은행송금"],["0200","카드"],["3000","어음"],["4000","포인트"],["5000","할인"],["9000","기타"]]</v>
      </c>
      <c r="I115" s="35" t="str">
        <f t="shared" si="58"/>
        <v>0100:현금 0101:은행송금 0200:카드 3000:어음 4000:포인트 5000:할인 9000:기타</v>
      </c>
      <c r="J115" s="35"/>
      <c r="K115" s="35" t="str">
        <f t="shared" si="59"/>
        <v>0100=현금|0101=은행송금|0200=카드|3000=어음|4000=포인트|5000=할인|9000=기타</v>
      </c>
      <c r="L115" s="2"/>
      <c r="M115" s="36">
        <v>0</v>
      </c>
      <c r="N115" s="36">
        <v>0</v>
      </c>
      <c r="O115" s="36" t="s">
        <v>31</v>
      </c>
      <c r="P115" s="36" t="s">
        <v>31</v>
      </c>
      <c r="Q115" s="35" t="str">
        <f t="shared" ref="Q115:Q138" si="66">IF(D115="","",D115&amp;" "&amp;E115&amp;" "&amp;H115)</f>
        <v>paym_dvcd 수금/지급 타입 [["0100","현금"],["0101","은행송금"],["0200","카드"],["3000","어음"],["4000","포인트"],["5000","할인"],["9000","기타"]]</v>
      </c>
      <c r="R115" s="2" t="s">
        <v>921</v>
      </c>
      <c r="S115" s="2"/>
      <c r="T115" s="2"/>
      <c r="U115" s="2" t="s">
        <v>32</v>
      </c>
      <c r="V115" s="2"/>
      <c r="W115" s="2"/>
      <c r="X115" s="2"/>
      <c r="Y115" s="2"/>
      <c r="Z115" s="2"/>
      <c r="AA115" s="2"/>
      <c r="AB115" s="29" t="s">
        <v>2456</v>
      </c>
      <c r="AC115" s="25" t="s">
        <v>401</v>
      </c>
      <c r="AD115" s="29" t="s">
        <v>610</v>
      </c>
      <c r="AE115" s="25" t="s">
        <v>663</v>
      </c>
      <c r="AF115" s="29" t="s">
        <v>584</v>
      </c>
      <c r="AG115" s="25" t="s">
        <v>400</v>
      </c>
      <c r="AH115" s="29" t="s">
        <v>600</v>
      </c>
      <c r="AI115" s="25" t="s">
        <v>664</v>
      </c>
      <c r="AJ115" s="29" t="s">
        <v>601</v>
      </c>
      <c r="AK115" s="25" t="s">
        <v>665</v>
      </c>
      <c r="AL115" s="29" t="s">
        <v>626</v>
      </c>
      <c r="AM115" s="25" t="s">
        <v>666</v>
      </c>
      <c r="AN115" s="29" t="s">
        <v>661</v>
      </c>
      <c r="AO115" s="25" t="s">
        <v>667</v>
      </c>
      <c r="AP115" s="29"/>
      <c r="AQ115" s="25"/>
      <c r="AR115" s="29"/>
      <c r="AS115" s="25"/>
      <c r="AT115" s="29"/>
      <c r="AU115" s="25"/>
      <c r="AV115" s="29"/>
      <c r="AW115" s="25"/>
      <c r="AX115" s="29"/>
      <c r="AY115" s="25"/>
      <c r="AZ115" s="29"/>
      <c r="BA115" s="25"/>
      <c r="BB115" s="29"/>
      <c r="BC115" s="25"/>
      <c r="BD115" s="29"/>
      <c r="BE115" s="25"/>
      <c r="BF115" s="29"/>
      <c r="BG115" s="25"/>
      <c r="BH115" s="29"/>
      <c r="BI115" s="25"/>
      <c r="BJ115" s="29"/>
      <c r="BK115" s="25"/>
      <c r="BL115" s="29"/>
      <c r="BM115" s="25"/>
      <c r="BN115" s="29"/>
      <c r="BO115" s="25"/>
      <c r="BP115" s="29"/>
      <c r="BQ115" s="25"/>
      <c r="BR115" s="29"/>
      <c r="BS115" s="25"/>
      <c r="BT115" s="29"/>
      <c r="BU115" s="25"/>
      <c r="BV115" s="29"/>
      <c r="BW115" s="25"/>
      <c r="BX115" s="29"/>
      <c r="BY115" s="25"/>
      <c r="CA115" s="1" t="str">
        <f t="shared" si="60"/>
        <v>delete from sscd_mast where sscd_idcd = 'paym_dvcd_KOR_common'  and site_idcd = 'common';</v>
      </c>
      <c r="CB115" s="5" t="str">
        <f>IF(E115&lt;&gt;"",CREATE_QUERY($B$1,A$2:AA$2,A115:AA115),"")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('paym_dvcd_KOR_common', 'KOR', 'common', 'paym_dvcd', '수금/지급 타입', 'gb', '', '[["0100","현금"],["0101","은행송금"],["0200","카드"],["3000","어음"],["4000","포인트"],["5000","할인"],["9000","기타"]]', '0100:현금 0101:은행송금 0200:카드 3000:어음 4000:포인트 5000:할인 9000:기타', '', '0100=현금|0101=은행송금|0200=카드|3000=어음|4000=포인트|5000=할인|9000=기타', '', '0', '0', '0', '0', 'paym_dvcd 수금/지급 타입 [["0100","현금"],["0101","은행송금"],["0200","카드"],["3000","어음"],["4000","포인트"],["5000","할인"],["9000","기타"]]', ' ', '', '', ' ', '', '', '', '', '', '');</v>
      </c>
    </row>
    <row r="116" spans="1:80" ht="17">
      <c r="A116" s="26" t="str">
        <f t="shared" si="63"/>
        <v>repa_resn_sbsc_dvcd_KOR_common</v>
      </c>
      <c r="B116" s="25" t="s">
        <v>27</v>
      </c>
      <c r="C116" s="25" t="str">
        <f t="shared" si="57"/>
        <v>common</v>
      </c>
      <c r="D116" s="25" t="s">
        <v>310</v>
      </c>
      <c r="E116" s="25" t="s">
        <v>196</v>
      </c>
      <c r="F116" s="25" t="str">
        <f t="shared" si="64"/>
        <v>gb</v>
      </c>
      <c r="G116" s="25"/>
      <c r="H116" s="35" t="str">
        <f t="shared" si="65"/>
        <v>[["1000","고장"],["2000","예방정비"]]</v>
      </c>
      <c r="I116" s="35" t="str">
        <f t="shared" si="58"/>
        <v>1000:고장 2000:예방정비</v>
      </c>
      <c r="J116" s="35"/>
      <c r="K116" s="35" t="str">
        <f t="shared" si="59"/>
        <v>1000=고장|2000=예방정비</v>
      </c>
      <c r="L116" s="2"/>
      <c r="M116" s="36">
        <v>0</v>
      </c>
      <c r="N116" s="36">
        <v>0</v>
      </c>
      <c r="O116" s="36" t="s">
        <v>31</v>
      </c>
      <c r="P116" s="36" t="s">
        <v>31</v>
      </c>
      <c r="Q116" s="35" t="str">
        <f t="shared" si="66"/>
        <v>repa_resn_sbsc_dvcd 수리사유항목구분코드 [["1000","고장"],["2000","예방정비"]]</v>
      </c>
      <c r="R116" s="2" t="s">
        <v>921</v>
      </c>
      <c r="S116" s="2"/>
      <c r="T116" s="2"/>
      <c r="U116" s="2"/>
      <c r="V116" s="2"/>
      <c r="W116" s="2"/>
      <c r="X116" s="2"/>
      <c r="Y116" s="2"/>
      <c r="Z116" s="2"/>
      <c r="AA116" s="2"/>
      <c r="AB116" s="28" t="s">
        <v>591</v>
      </c>
      <c r="AC116" s="25" t="s">
        <v>723</v>
      </c>
      <c r="AD116" s="28" t="s">
        <v>592</v>
      </c>
      <c r="AE116" s="25" t="s">
        <v>884</v>
      </c>
      <c r="AF116" s="28"/>
      <c r="AG116" s="25"/>
      <c r="AH116" s="28"/>
      <c r="AI116" s="25"/>
      <c r="AJ116" s="28"/>
      <c r="AK116" s="25"/>
      <c r="AL116" s="28"/>
      <c r="AM116" s="25"/>
      <c r="AN116" s="28"/>
      <c r="AO116" s="25"/>
      <c r="AP116" s="28"/>
      <c r="AQ116" s="25"/>
      <c r="AR116" s="28"/>
      <c r="AS116" s="25"/>
      <c r="AT116" s="28"/>
      <c r="AU116" s="25"/>
      <c r="AV116" s="28"/>
      <c r="AW116" s="25"/>
      <c r="AX116" s="28"/>
      <c r="AY116" s="25"/>
      <c r="AZ116" s="28"/>
      <c r="BA116" s="25"/>
      <c r="BB116" s="28"/>
      <c r="BC116" s="25"/>
      <c r="BD116" s="28"/>
      <c r="BE116" s="25"/>
      <c r="BF116" s="28"/>
      <c r="BG116" s="25"/>
      <c r="BH116" s="28"/>
      <c r="BI116" s="25"/>
      <c r="BJ116" s="28"/>
      <c r="BK116" s="25"/>
      <c r="BL116" s="28"/>
      <c r="BM116" s="25"/>
      <c r="BN116" s="28"/>
      <c r="BO116" s="25"/>
      <c r="BP116" s="28"/>
      <c r="BQ116" s="25"/>
      <c r="BR116" s="28"/>
      <c r="BS116" s="25"/>
      <c r="BT116" s="28"/>
      <c r="BU116" s="25"/>
      <c r="BV116" s="28"/>
      <c r="BW116" s="25"/>
      <c r="BX116" s="28"/>
      <c r="BY116" s="25"/>
      <c r="CA116" s="1" t="str">
        <f t="shared" si="60"/>
        <v>delete from sscd_mast where sscd_idcd = 'repa_resn_sbsc_dvcd_KOR_common'  and site_idcd = 'common';</v>
      </c>
      <c r="CB116" s="5" t="str">
        <f>IF(E116&lt;&gt;"",CREATE_QUERY($B$1,A$2:AA$2,A116:AA116),"")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('repa_resn_sbsc_dvcd_KOR_common', 'KOR', 'common', 'repa_resn_sbsc_dvcd', '수리사유항목구분코드', 'gb', '', '[["1000","고장"],["2000","예방정비"]]', '1000:고장 2000:예방정비', '', '1000=고장|2000=예방정비', '', '0', '0', '0', '0', 'repa_resn_sbsc_dvcd 수리사유항목구분코드 [["1000","고장"],["2000","예방정비"]]', ' ', '', '', '', '', '', '', '', '', '');</v>
      </c>
    </row>
    <row r="117" spans="1:80" ht="17">
      <c r="A117" s="26" t="str">
        <f t="shared" si="63"/>
        <v>recv_dvcd_KOR_common</v>
      </c>
      <c r="B117" s="25" t="s">
        <v>27</v>
      </c>
      <c r="C117" s="25" t="str">
        <f t="shared" si="57"/>
        <v>common</v>
      </c>
      <c r="D117" s="25" t="s">
        <v>140</v>
      </c>
      <c r="E117" s="25" t="s">
        <v>57</v>
      </c>
      <c r="F117" s="25" t="str">
        <f t="shared" si="64"/>
        <v>gb</v>
      </c>
      <c r="G117" s="25"/>
      <c r="H117" s="35" t="str">
        <f t="shared" si="65"/>
        <v>[["0","없음"],["1","있음","red"]]</v>
      </c>
      <c r="I117" s="35" t="str">
        <f t="shared" si="58"/>
        <v>0:없음 1:있음:red</v>
      </c>
      <c r="J117" s="35"/>
      <c r="K117" s="35" t="str">
        <f t="shared" si="59"/>
        <v>0=없음|1=있음:red</v>
      </c>
      <c r="L117" s="2"/>
      <c r="M117" s="36">
        <v>0</v>
      </c>
      <c r="N117" s="36">
        <v>0</v>
      </c>
      <c r="O117" s="36" t="s">
        <v>31</v>
      </c>
      <c r="P117" s="36" t="s">
        <v>31</v>
      </c>
      <c r="Q117" s="35" t="str">
        <f t="shared" si="66"/>
        <v>recv_dvcd 수신여부 [["0","없음"],["1","있음","red"]]</v>
      </c>
      <c r="R117" s="2" t="s">
        <v>921</v>
      </c>
      <c r="S117" s="2"/>
      <c r="T117" s="2"/>
      <c r="U117" s="2" t="s">
        <v>32</v>
      </c>
      <c r="V117" s="2"/>
      <c r="W117" s="2"/>
      <c r="X117" s="2"/>
      <c r="Y117" s="2"/>
      <c r="Z117" s="2"/>
      <c r="AA117" s="2"/>
      <c r="AB117" s="29" t="s">
        <v>31</v>
      </c>
      <c r="AC117" s="25" t="s">
        <v>386</v>
      </c>
      <c r="AD117" s="29">
        <v>1</v>
      </c>
      <c r="AE117" s="25" t="s">
        <v>613</v>
      </c>
      <c r="AF117" s="29"/>
      <c r="AG117" s="25"/>
      <c r="AH117" s="29"/>
      <c r="AI117" s="25"/>
      <c r="AJ117" s="29"/>
      <c r="AK117" s="25"/>
      <c r="AL117" s="29"/>
      <c r="AM117" s="25"/>
      <c r="AN117" s="29"/>
      <c r="AO117" s="25"/>
      <c r="AP117" s="29"/>
      <c r="AQ117" s="25"/>
      <c r="AR117" s="29"/>
      <c r="AS117" s="25"/>
      <c r="AT117" s="29"/>
      <c r="AU117" s="25"/>
      <c r="AV117" s="29"/>
      <c r="AW117" s="25"/>
      <c r="AX117" s="29"/>
      <c r="AY117" s="25"/>
      <c r="AZ117" s="29"/>
      <c r="BA117" s="25"/>
      <c r="BB117" s="29"/>
      <c r="BC117" s="25"/>
      <c r="BD117" s="29"/>
      <c r="BE117" s="25"/>
      <c r="BF117" s="29"/>
      <c r="BG117" s="25"/>
      <c r="BH117" s="29"/>
      <c r="BI117" s="25"/>
      <c r="BJ117" s="29"/>
      <c r="BK117" s="25"/>
      <c r="BL117" s="29"/>
      <c r="BM117" s="25"/>
      <c r="BN117" s="29"/>
      <c r="BO117" s="25"/>
      <c r="BP117" s="29"/>
      <c r="BQ117" s="25"/>
      <c r="BR117" s="29"/>
      <c r="BS117" s="25"/>
      <c r="BT117" s="29"/>
      <c r="BU117" s="25"/>
      <c r="BV117" s="29"/>
      <c r="BW117" s="25"/>
      <c r="BX117" s="29"/>
      <c r="BY117" s="25"/>
      <c r="CA117" s="1" t="str">
        <f t="shared" si="60"/>
        <v>delete from sscd_mast where sscd_idcd = 'recv_dvcd_KOR_common'  and site_idcd = 'common';</v>
      </c>
      <c r="CB117" s="5" t="str">
        <f>IF(E117&lt;&gt;"",CREATE_QUERY($B$1,A$2:AA$2,A117:AA117),"")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('recv_dvcd_KOR_common', 'KOR', 'common', 'recv_dvcd', '수신여부', 'gb', '', '[["0","없음"],["1","있음","red"]]', '0:없음 1:있음:red', '', '0=없음|1=있음:red', '', '0', '0', '0', '0', 'recv_dvcd 수신여부 [["0","없음"],["1","있음","red"]]', ' ', '', '', ' ', '', '', '', '', '', '');</v>
      </c>
    </row>
    <row r="118" spans="1:80" ht="17">
      <c r="A118" s="26" t="str">
        <f t="shared" si="63"/>
        <v>expt_dvcd_KOR_common</v>
      </c>
      <c r="B118" s="25" t="s">
        <v>27</v>
      </c>
      <c r="C118" s="25" t="str">
        <f t="shared" si="57"/>
        <v>common</v>
      </c>
      <c r="D118" s="25" t="s">
        <v>322</v>
      </c>
      <c r="E118" s="25" t="s">
        <v>209</v>
      </c>
      <c r="F118" s="25" t="str">
        <f t="shared" si="64"/>
        <v>gb</v>
      </c>
      <c r="G118" s="25"/>
      <c r="H118" s="35" t="str">
        <f t="shared" si="65"/>
        <v>[["0","내수"],["1","직수출"],["2","중개무역"],["3","간접무역"],["4","기타"]]</v>
      </c>
      <c r="I118" s="35" t="str">
        <f t="shared" si="58"/>
        <v>0:내수 1:직수출 2:중개무역 3:간접무역 4:기타</v>
      </c>
      <c r="J118" s="35"/>
      <c r="K118" s="35" t="str">
        <f t="shared" si="59"/>
        <v>0=내수|1=직수출|2=중개무역|3=간접무역|4=기타</v>
      </c>
      <c r="L118" s="2"/>
      <c r="M118" s="36">
        <v>0</v>
      </c>
      <c r="N118" s="36">
        <v>0</v>
      </c>
      <c r="O118" s="36" t="s">
        <v>31</v>
      </c>
      <c r="P118" s="36" t="s">
        <v>31</v>
      </c>
      <c r="Q118" s="35" t="str">
        <f t="shared" si="66"/>
        <v>expt_dvcd 수출구분코드 [["0","내수"],["1","직수출"],["2","중개무역"],["3","간접무역"],["4","기타"]]</v>
      </c>
      <c r="R118" s="2" t="s">
        <v>921</v>
      </c>
      <c r="S118" s="2"/>
      <c r="T118" s="2"/>
      <c r="U118" s="2"/>
      <c r="V118" s="2"/>
      <c r="W118" s="2"/>
      <c r="X118" s="2"/>
      <c r="Y118" s="2"/>
      <c r="Z118" s="2"/>
      <c r="AA118" s="2"/>
      <c r="AB118" s="28" t="s">
        <v>686</v>
      </c>
      <c r="AC118" s="25" t="s">
        <v>2365</v>
      </c>
      <c r="AD118" s="28" t="s">
        <v>684</v>
      </c>
      <c r="AE118" s="25" t="s">
        <v>789</v>
      </c>
      <c r="AF118" s="28" t="s">
        <v>685</v>
      </c>
      <c r="AG118" s="25" t="s">
        <v>790</v>
      </c>
      <c r="AH118" s="28" t="s">
        <v>687</v>
      </c>
      <c r="AI118" s="25" t="s">
        <v>2478</v>
      </c>
      <c r="AJ118" s="28" t="s">
        <v>688</v>
      </c>
      <c r="AK118" s="25" t="s">
        <v>612</v>
      </c>
      <c r="AL118" s="28"/>
      <c r="AM118" s="25"/>
      <c r="AN118" s="28"/>
      <c r="AO118" s="25"/>
      <c r="AP118" s="28"/>
      <c r="AQ118" s="25"/>
      <c r="AR118" s="28"/>
      <c r="AS118" s="25"/>
      <c r="AT118" s="28"/>
      <c r="AU118" s="25"/>
      <c r="AV118" s="28"/>
      <c r="AW118" s="25"/>
      <c r="AX118" s="28"/>
      <c r="AY118" s="25"/>
      <c r="AZ118" s="28"/>
      <c r="BA118" s="25"/>
      <c r="BB118" s="28"/>
      <c r="BC118" s="25"/>
      <c r="BD118" s="28"/>
      <c r="BE118" s="25"/>
      <c r="BF118" s="28"/>
      <c r="BG118" s="25"/>
      <c r="BH118" s="28"/>
      <c r="BI118" s="25"/>
      <c r="BJ118" s="28"/>
      <c r="BK118" s="25"/>
      <c r="BL118" s="28"/>
      <c r="BM118" s="25"/>
      <c r="BN118" s="28"/>
      <c r="BO118" s="25"/>
      <c r="BP118" s="28"/>
      <c r="BQ118" s="25"/>
      <c r="BR118" s="28"/>
      <c r="BS118" s="25"/>
      <c r="BT118" s="28"/>
      <c r="BU118" s="25"/>
      <c r="BV118" s="28"/>
      <c r="BW118" s="25"/>
      <c r="BX118" s="28"/>
      <c r="BY118" s="25"/>
      <c r="CA118" s="1" t="str">
        <f t="shared" si="60"/>
        <v>delete from sscd_mast where sscd_idcd = 'expt_dvcd_KOR_common'  and site_idcd = 'common';</v>
      </c>
      <c r="CB118" s="5" t="str">
        <f>IF(E118&lt;&gt;"",CREATE_QUERY($B$1,A$2:AA$2,A118:AA118),"")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('expt_dvcd_KOR_common', 'KOR', 'common', 'expt_dvcd', '수출구분코드', 'gb', '', '[["0","내수"],["1","직수출"],["2","중개무역"],["3","간접무역"],["4","기타"]]', '0:내수 1:직수출 2:중개무역 3:간접무역 4:기타', '', '0=내수|1=직수출|2=중개무역|3=간접무역|4=기타', '', '0', '0', '0', '0', 'expt_dvcd 수출구분코드 [["0","내수"],["1","직수출"],["2","중개무역"],["3","간접무역"],["4","기타"]]', ' ', '', '', '', '', '', '', '', '', '');</v>
      </c>
    </row>
    <row r="119" spans="1:80" ht="17">
      <c r="A119" s="26" t="str">
        <f t="shared" si="63"/>
        <v>sral_dvcd_KOR_common</v>
      </c>
      <c r="B119" s="25" t="s">
        <v>27</v>
      </c>
      <c r="C119" s="25" t="str">
        <f t="shared" si="57"/>
        <v>common</v>
      </c>
      <c r="D119" s="25" t="s">
        <v>297</v>
      </c>
      <c r="E119" s="25" t="s">
        <v>183</v>
      </c>
      <c r="F119" s="25" t="str">
        <f t="shared" si="64"/>
        <v>gb</v>
      </c>
      <c r="G119" s="25"/>
      <c r="H119" s="35" t="str">
        <f t="shared" si="65"/>
        <v>[["0",""],["1","미정","red"]]</v>
      </c>
      <c r="I119" s="35" t="str">
        <f t="shared" si="58"/>
        <v>0: 1:미정:red</v>
      </c>
      <c r="J119" s="35"/>
      <c r="K119" s="35" t="str">
        <f t="shared" si="59"/>
        <v>0=|1=미정:red</v>
      </c>
      <c r="L119" s="2"/>
      <c r="M119" s="36">
        <v>0</v>
      </c>
      <c r="N119" s="36">
        <v>0</v>
      </c>
      <c r="O119" s="36" t="s">
        <v>31</v>
      </c>
      <c r="P119" s="36" t="s">
        <v>31</v>
      </c>
      <c r="Q119" s="35" t="str">
        <f t="shared" si="66"/>
        <v>sral_dvcd 시리얼구분코드 [["0",""],["1","미정","red"]]</v>
      </c>
      <c r="R119" s="2" t="s">
        <v>921</v>
      </c>
      <c r="S119" s="2"/>
      <c r="T119" s="2"/>
      <c r="U119" s="2"/>
      <c r="V119" s="2"/>
      <c r="W119" s="2"/>
      <c r="X119" s="2"/>
      <c r="Y119" s="2"/>
      <c r="Z119" s="2"/>
      <c r="AA119" s="2"/>
      <c r="AB119" s="29" t="s">
        <v>31</v>
      </c>
      <c r="AC119" s="25"/>
      <c r="AD119" s="29">
        <v>1</v>
      </c>
      <c r="AE119" s="25" t="s">
        <v>574</v>
      </c>
      <c r="AF119" s="29"/>
      <c r="AG119" s="25"/>
      <c r="AH119" s="29"/>
      <c r="AI119" s="25"/>
      <c r="AJ119" s="29"/>
      <c r="AK119" s="25"/>
      <c r="AL119" s="29"/>
      <c r="AM119" s="25"/>
      <c r="AN119" s="29"/>
      <c r="AO119" s="25"/>
      <c r="AP119" s="29"/>
      <c r="AQ119" s="25"/>
      <c r="AR119" s="29"/>
      <c r="AS119" s="25"/>
      <c r="AT119" s="29"/>
      <c r="AU119" s="25"/>
      <c r="AV119" s="29"/>
      <c r="AW119" s="25"/>
      <c r="AX119" s="29"/>
      <c r="AY119" s="25"/>
      <c r="AZ119" s="29"/>
      <c r="BA119" s="25"/>
      <c r="BB119" s="29"/>
      <c r="BC119" s="25"/>
      <c r="BD119" s="29"/>
      <c r="BE119" s="25"/>
      <c r="BF119" s="29"/>
      <c r="BG119" s="25"/>
      <c r="BH119" s="29"/>
      <c r="BI119" s="25"/>
      <c r="BJ119" s="29"/>
      <c r="BK119" s="25"/>
      <c r="BL119" s="29"/>
      <c r="BM119" s="25"/>
      <c r="BN119" s="29"/>
      <c r="BO119" s="25"/>
      <c r="BP119" s="29"/>
      <c r="BQ119" s="25"/>
      <c r="BR119" s="29"/>
      <c r="BS119" s="25"/>
      <c r="BT119" s="29"/>
      <c r="BU119" s="25"/>
      <c r="BV119" s="29"/>
      <c r="BW119" s="25"/>
      <c r="BX119" s="29"/>
      <c r="BY119" s="25"/>
      <c r="CA119" s="1" t="str">
        <f t="shared" si="60"/>
        <v>delete from sscd_mast where sscd_idcd = 'sral_dvcd_KOR_common'  and site_idcd = 'common';</v>
      </c>
      <c r="CB119" s="5" t="str">
        <f>IF(E119&lt;&gt;"",CREATE_QUERY($B$1,A$2:AA$2,A119:AA119),"")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('sral_dvcd_KOR_common', 'KOR', 'common', 'sral_dvcd', '시리얼구분코드', 'gb', '', '[["0",""],["1","미정","red"]]', '0: 1:미정:red', '', '0=|1=미정:red', '', '0', '0', '0', '0', 'sral_dvcd 시리얼구분코드 [["0",""],["1","미정","red"]]', ' ', '', '', '', '', '', '', '', '', '');</v>
      </c>
    </row>
    <row r="120" spans="1:80" ht="17">
      <c r="A120" s="26" t="str">
        <f t="shared" si="63"/>
        <v>frdt_dvcd_KOR_common</v>
      </c>
      <c r="B120" s="25" t="s">
        <v>27</v>
      </c>
      <c r="C120" s="25" t="str">
        <f t="shared" si="57"/>
        <v>common</v>
      </c>
      <c r="D120" s="25" t="s">
        <v>134</v>
      </c>
      <c r="E120" s="25" t="s">
        <v>48</v>
      </c>
      <c r="F120" s="25" t="str">
        <f t="shared" si="64"/>
        <v>gb</v>
      </c>
      <c r="G120" s="25"/>
      <c r="H120" s="35" t="str">
        <f t="shared" si="65"/>
        <v>[["FR10","금일"],["FR15","전일"],["FR20","금주"],["FR25","전주"],["FR30","금월"],["FR35","전월"],["FR60","금일기준1주일"],["FR63","금일기준2주일"],["FR66","금일기준1개월"],["FR69","금일기준2개월"]]</v>
      </c>
      <c r="I120" s="35" t="str">
        <f t="shared" si="58"/>
        <v>FR10:금일 FR15:전일 FR20:금주 FR25:전주 FR30:금월 FR35:전월 FR60:금일기준1주일 FR63:금일기준2주일 FR66:금일기준1개월 FR69:금일기준2개월</v>
      </c>
      <c r="J120" s="35"/>
      <c r="K120" s="35" t="str">
        <f t="shared" si="59"/>
        <v>FR10=금일|FR15=전일|FR20=금주|FR25=전주|FR30=금월|FR35=전월|FR60=금일기준1주일|FR63=금일기준2주일|FR66=금일기준1개월|FR69=금일기준2개월</v>
      </c>
      <c r="L120" s="2"/>
      <c r="M120" s="36">
        <v>0</v>
      </c>
      <c r="N120" s="36">
        <v>0</v>
      </c>
      <c r="O120" s="36" t="s">
        <v>31</v>
      </c>
      <c r="P120" s="36" t="s">
        <v>31</v>
      </c>
      <c r="Q120" s="35" t="str">
        <f t="shared" si="66"/>
        <v>frdt_dvcd 시작 일자 선택 구분 [["FR10","금일"],["FR15","전일"],["FR20","금주"],["FR25","전주"],["FR30","금월"],["FR35","전월"],["FR60","금일기준1주일"],["FR63","금일기준2주일"],["FR66","금일기준1개월"],["FR69","금일기준2개월"]]</v>
      </c>
      <c r="R120" s="2" t="s">
        <v>921</v>
      </c>
      <c r="S120" s="2"/>
      <c r="T120" s="2"/>
      <c r="U120" s="2" t="s">
        <v>32</v>
      </c>
      <c r="V120" s="2"/>
      <c r="W120" s="2"/>
      <c r="X120" s="2"/>
      <c r="Y120" s="2"/>
      <c r="Z120" s="2"/>
      <c r="AA120" s="2"/>
      <c r="AB120" s="29" t="s">
        <v>2458</v>
      </c>
      <c r="AC120" s="25" t="s">
        <v>468</v>
      </c>
      <c r="AD120" s="29" t="s">
        <v>2455</v>
      </c>
      <c r="AE120" s="25" t="s">
        <v>469</v>
      </c>
      <c r="AF120" s="29" t="s">
        <v>2454</v>
      </c>
      <c r="AG120" s="25" t="s">
        <v>470</v>
      </c>
      <c r="AH120" s="29" t="s">
        <v>2453</v>
      </c>
      <c r="AI120" s="25" t="s">
        <v>471</v>
      </c>
      <c r="AJ120" s="29" t="s">
        <v>2452</v>
      </c>
      <c r="AK120" s="25" t="s">
        <v>472</v>
      </c>
      <c r="AL120" s="29" t="s">
        <v>2451</v>
      </c>
      <c r="AM120" s="25" t="s">
        <v>473</v>
      </c>
      <c r="AN120" s="29" t="s">
        <v>2450</v>
      </c>
      <c r="AO120" s="25" t="s">
        <v>615</v>
      </c>
      <c r="AP120" s="29" t="s">
        <v>616</v>
      </c>
      <c r="AQ120" s="25" t="s">
        <v>617</v>
      </c>
      <c r="AR120" s="29" t="s">
        <v>618</v>
      </c>
      <c r="AS120" s="25" t="s">
        <v>619</v>
      </c>
      <c r="AT120" s="29" t="s">
        <v>620</v>
      </c>
      <c r="AU120" s="25" t="s">
        <v>621</v>
      </c>
      <c r="AV120" s="29"/>
      <c r="AW120" s="25"/>
      <c r="AX120" s="29"/>
      <c r="AY120" s="25"/>
      <c r="AZ120" s="29"/>
      <c r="BA120" s="25"/>
      <c r="BB120" s="29"/>
      <c r="BC120" s="25"/>
      <c r="BD120" s="29"/>
      <c r="BE120" s="25"/>
      <c r="BF120" s="29"/>
      <c r="BG120" s="25"/>
      <c r="BH120" s="29"/>
      <c r="BI120" s="25"/>
      <c r="BJ120" s="29"/>
      <c r="BK120" s="25"/>
      <c r="BL120" s="29"/>
      <c r="BM120" s="25"/>
      <c r="BN120" s="29"/>
      <c r="BO120" s="25"/>
      <c r="BP120" s="29"/>
      <c r="BQ120" s="25"/>
      <c r="BR120" s="29"/>
      <c r="BS120" s="25"/>
      <c r="BT120" s="29"/>
      <c r="BU120" s="25"/>
      <c r="BV120" s="29"/>
      <c r="BW120" s="25"/>
      <c r="BX120" s="29"/>
      <c r="BY120" s="25"/>
      <c r="CA120" s="1" t="str">
        <f t="shared" si="60"/>
        <v>delete from sscd_mast where sscd_idcd = 'frdt_dvcd_KOR_common'  and site_idcd = 'common';</v>
      </c>
      <c r="CB120" s="5" t="str">
        <f>IF(E120&lt;&gt;"",CREATE_QUERY($B$1,A$2:AA$2,A120:AA120),"")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('frdt_dvcd_KOR_common', 'KOR', 'common', 'frdt_dvcd', '시작 일자 선택 구분', 'gb', '', '[["FR10","금일"],["FR15","전일"],["FR20","금주"],["FR25","전주"],["FR30","금월"],["FR35","전월"],["FR60","금일기준1주일"],["FR63","금일기준2주일"],["FR66","금일기준1개월"],["FR69","금일기준2개월"]]', 'FR10:금일 FR15:전일 FR20:금주 FR25:전주 FR30:금월 FR35:전월 FR60:금일기준1주일 FR63:금일기준2주일 FR66:금일기준1개월 FR69:금일기준2개월', '', 'FR10=금일|FR15=전일|FR20=금주|FR25=전주|FR30=금월|FR35=전월|FR60=금일기준1주일|FR63=금일기준2주일|FR66=금일기준1개월|FR69=금일기준2개월', '', '0', '0', '0', '0', 'frdt_dvcd 시작 일자 선택 구분 [["FR10","금일"],["FR15","전일"],["FR20","금주"],["FR25","전주"],["FR30","금월"],["FR35","전월"],["FR60","금일기준1주일"],["FR63","금일기준2주일"],["FR66","금일기준1개월"],["FR69","금일기준2개월"]]', ' ', '', '', ' ', '', '', '', '', '', '');</v>
      </c>
    </row>
    <row r="121" spans="1:80" ht="17">
      <c r="A121" s="26" t="str">
        <f t="shared" si="63"/>
        <v>modi_inv_dvcd_KOR_common</v>
      </c>
      <c r="B121" s="25" t="s">
        <v>27</v>
      </c>
      <c r="C121" s="25" t="str">
        <f t="shared" si="57"/>
        <v>common</v>
      </c>
      <c r="D121" s="25" t="s">
        <v>136</v>
      </c>
      <c r="E121" s="25" t="s">
        <v>55</v>
      </c>
      <c r="F121" s="25" t="str">
        <f t="shared" si="64"/>
        <v>gb</v>
      </c>
      <c r="G121" s="25"/>
      <c r="H121" s="35" t="str">
        <f t="shared" si="65"/>
        <v>[["1000","재고조정"],["2000","재고실사"],["3000","기타출고"]]</v>
      </c>
      <c r="I121" s="35" t="str">
        <f t="shared" si="58"/>
        <v>1000:재고조정 2000:재고실사 3000:기타출고</v>
      </c>
      <c r="J121" s="35"/>
      <c r="K121" s="35" t="str">
        <f t="shared" si="59"/>
        <v>1000=재고조정|2000=재고실사|3000=기타출고</v>
      </c>
      <c r="L121" s="2"/>
      <c r="M121" s="36">
        <v>0</v>
      </c>
      <c r="N121" s="36">
        <v>0</v>
      </c>
      <c r="O121" s="36" t="s">
        <v>31</v>
      </c>
      <c r="P121" s="36" t="s">
        <v>31</v>
      </c>
      <c r="Q121" s="35" t="str">
        <f t="shared" si="66"/>
        <v>modi_inv_dvcd 실사 구분 [["1000","재고조정"],["2000","재고실사"],["3000","기타출고"]]</v>
      </c>
      <c r="R121" s="2" t="s">
        <v>921</v>
      </c>
      <c r="S121" s="2"/>
      <c r="T121" s="2"/>
      <c r="U121" s="2" t="s">
        <v>32</v>
      </c>
      <c r="V121" s="2"/>
      <c r="W121" s="2"/>
      <c r="X121" s="2"/>
      <c r="Y121" s="2"/>
      <c r="Z121" s="2"/>
      <c r="AA121" s="2"/>
      <c r="AB121" s="28" t="s">
        <v>591</v>
      </c>
      <c r="AC121" s="25" t="s">
        <v>478</v>
      </c>
      <c r="AD121" s="28" t="s">
        <v>592</v>
      </c>
      <c r="AE121" s="25" t="s">
        <v>479</v>
      </c>
      <c r="AF121" s="28" t="s">
        <v>600</v>
      </c>
      <c r="AG121" s="25" t="s">
        <v>480</v>
      </c>
      <c r="AH121" s="28"/>
      <c r="AI121" s="25"/>
      <c r="AJ121" s="28"/>
      <c r="AK121" s="25"/>
      <c r="AL121" s="28"/>
      <c r="AM121" s="25"/>
      <c r="AN121" s="28"/>
      <c r="AO121" s="25"/>
      <c r="AP121" s="28"/>
      <c r="AQ121" s="25"/>
      <c r="AR121" s="28"/>
      <c r="AS121" s="25"/>
      <c r="AT121" s="28"/>
      <c r="AU121" s="25"/>
      <c r="AV121" s="28"/>
      <c r="AW121" s="25"/>
      <c r="AX121" s="28"/>
      <c r="AY121" s="25"/>
      <c r="AZ121" s="28"/>
      <c r="BA121" s="25"/>
      <c r="BB121" s="28"/>
      <c r="BC121" s="25"/>
      <c r="BD121" s="28"/>
      <c r="BE121" s="25"/>
      <c r="BF121" s="28"/>
      <c r="BG121" s="25"/>
      <c r="BH121" s="28"/>
      <c r="BI121" s="25"/>
      <c r="BJ121" s="28"/>
      <c r="BK121" s="25"/>
      <c r="BL121" s="28"/>
      <c r="BM121" s="25"/>
      <c r="BN121" s="28"/>
      <c r="BO121" s="25"/>
      <c r="BP121" s="28"/>
      <c r="BQ121" s="25"/>
      <c r="BR121" s="28"/>
      <c r="BS121" s="25"/>
      <c r="BT121" s="28"/>
      <c r="BU121" s="25"/>
      <c r="BV121" s="28"/>
      <c r="BW121" s="25"/>
      <c r="BX121" s="28"/>
      <c r="BY121" s="25"/>
      <c r="CA121" s="1" t="str">
        <f t="shared" si="60"/>
        <v>delete from sscd_mast where sscd_idcd = 'modi_inv_dvcd_KOR_common'  and site_idcd = 'common';</v>
      </c>
      <c r="CB121" s="5" t="str">
        <f>IF(E121&lt;&gt;"",CREATE_QUERY($B$1,A$2:AA$2,A121:AA121),"")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('modi_inv_dvcd_KOR_common', 'KOR', 'common', 'modi_inv_dvcd', '실사 구분', 'gb', '', '[["1000","재고조정"],["2000","재고실사"],["3000","기타출고"]]', '1000:재고조정 2000:재고실사 3000:기타출고', '', '1000=재고조정|2000=재고실사|3000=기타출고', '', '0', '0', '0', '0', 'modi_inv_dvcd 실사 구분 [["1000","재고조정"],["2000","재고실사"],["3000","기타출고"]]', ' ', '', '', ' ', '', '', '', '', '', '');</v>
      </c>
    </row>
    <row r="122" spans="1:80" ht="17">
      <c r="A122" s="26" t="str">
        <f t="shared" si="63"/>
        <v>limit_cntl_dvcd_KOR_common</v>
      </c>
      <c r="B122" s="25" t="s">
        <v>27</v>
      </c>
      <c r="C122" s="25" t="str">
        <f t="shared" si="57"/>
        <v>common</v>
      </c>
      <c r="D122" s="25" t="s">
        <v>264</v>
      </c>
      <c r="E122" s="25" t="s">
        <v>29</v>
      </c>
      <c r="F122" s="25" t="str">
        <f t="shared" si="64"/>
        <v>gb</v>
      </c>
      <c r="G122" s="25"/>
      <c r="H122" s="35" t="str">
        <f t="shared" si="65"/>
        <v>[["1000","제한없음"],["2000","출하경고"],["3000","출하중지"],["4000","미수관리제외(미수0처리)"]]</v>
      </c>
      <c r="I122" s="35" t="str">
        <f t="shared" si="58"/>
        <v>1000:제한없음 2000:출하경고 3000:출하중지 4000:미수관리제외(미수0처리)</v>
      </c>
      <c r="J122" s="35"/>
      <c r="K122" s="35" t="str">
        <f t="shared" si="59"/>
        <v>1000=제한없음|2000=출하경고|3000=출하중지|4000=미수관리제외(미수0처리)</v>
      </c>
      <c r="L122" s="2"/>
      <c r="M122" s="36">
        <v>0</v>
      </c>
      <c r="N122" s="36">
        <v>0</v>
      </c>
      <c r="O122" s="36" t="s">
        <v>31</v>
      </c>
      <c r="P122" s="36" t="s">
        <v>31</v>
      </c>
      <c r="Q122" s="35" t="str">
        <f t="shared" si="66"/>
        <v>limit_cntl_dvcd 여신 한도에 대한 대응 방법 limit_control [["1000","제한없음"],["2000","출하경고"],["3000","출하중지"],["4000","미수관리제외(미수0처리)"]]</v>
      </c>
      <c r="R122" s="2" t="s">
        <v>921</v>
      </c>
      <c r="S122" s="2"/>
      <c r="T122" s="2"/>
      <c r="U122" s="2" t="s">
        <v>32</v>
      </c>
      <c r="V122" s="2"/>
      <c r="W122" s="2"/>
      <c r="X122" s="2"/>
      <c r="Y122" s="2"/>
      <c r="Z122" s="2"/>
      <c r="AA122" s="2"/>
      <c r="AB122" s="28" t="s">
        <v>591</v>
      </c>
      <c r="AC122" s="25" t="s">
        <v>488</v>
      </c>
      <c r="AD122" s="28" t="s">
        <v>592</v>
      </c>
      <c r="AE122" s="25" t="s">
        <v>489</v>
      </c>
      <c r="AF122" s="28" t="s">
        <v>600</v>
      </c>
      <c r="AG122" s="25" t="s">
        <v>490</v>
      </c>
      <c r="AH122" s="28" t="s">
        <v>601</v>
      </c>
      <c r="AI122" s="25" t="s">
        <v>491</v>
      </c>
      <c r="AJ122" s="28"/>
      <c r="AK122" s="25"/>
      <c r="AL122" s="28"/>
      <c r="AM122" s="25"/>
      <c r="AN122" s="28"/>
      <c r="AO122" s="25"/>
      <c r="AP122" s="28"/>
      <c r="AQ122" s="25"/>
      <c r="AR122" s="28"/>
      <c r="AS122" s="25"/>
      <c r="AT122" s="28"/>
      <c r="AU122" s="25"/>
      <c r="AV122" s="28"/>
      <c r="AW122" s="25"/>
      <c r="AX122" s="28"/>
      <c r="AY122" s="25"/>
      <c r="AZ122" s="28"/>
      <c r="BA122" s="25"/>
      <c r="BB122" s="28"/>
      <c r="BC122" s="25"/>
      <c r="BD122" s="28"/>
      <c r="BE122" s="25"/>
      <c r="BF122" s="28"/>
      <c r="BG122" s="25"/>
      <c r="BH122" s="28"/>
      <c r="BI122" s="25"/>
      <c r="BJ122" s="28"/>
      <c r="BK122" s="25"/>
      <c r="BL122" s="28"/>
      <c r="BM122" s="25"/>
      <c r="BN122" s="28"/>
      <c r="BO122" s="25"/>
      <c r="BP122" s="28"/>
      <c r="BQ122" s="25"/>
      <c r="BR122" s="28"/>
      <c r="BS122" s="25"/>
      <c r="BT122" s="28"/>
      <c r="BU122" s="25"/>
      <c r="BV122" s="28"/>
      <c r="BW122" s="25"/>
      <c r="BX122" s="28"/>
      <c r="BY122" s="25"/>
      <c r="CA122" s="1" t="str">
        <f t="shared" si="60"/>
        <v>delete from sscd_mast where sscd_idcd = 'limit_cntl_dvcd_KOR_common'  and site_idcd = 'common';</v>
      </c>
      <c r="CB122" s="5" t="str">
        <f>IF(E122&lt;&gt;"",CREATE_QUERY($B$1,A$2:AA$2,A122:AA122),"")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('limit_cntl_dvcd_KOR_common', 'KOR', 'common', 'limit_cntl_dvcd', '여신 한도에 대한 대응 방법 limit_control', 'gb', '', '[["1000","제한없음"],["2000","출하경고"],["3000","출하중지"],["4000","미수관리제외(미수0처리)"]]', '1000:제한없음 2000:출하경고 3000:출하중지 4000:미수관리제외(미수0처리)', '', '1000=제한없음|2000=출하경고|3000=출하중지|4000=미수관리제외(미수0처리)', '', '0', '0', '0', '0', 'limit_cntl_dvcd 여신 한도에 대한 대응 방법 limit_control [["1000","제한없음"],["2000","출하경고"],["3000","출하중지"],["4000","미수관리제외(미수0처리)"]]', ' ', '', '', ' ', '', '', '', '', '', '');</v>
      </c>
    </row>
    <row r="123" spans="1:80" ht="17">
      <c r="A123" s="26" t="str">
        <f t="shared" si="63"/>
        <v>ordr_dvcd_KOR_common</v>
      </c>
      <c r="B123" s="25" t="s">
        <v>27</v>
      </c>
      <c r="C123" s="25" t="str">
        <f t="shared" si="57"/>
        <v>common</v>
      </c>
      <c r="D123" s="25" t="s">
        <v>321</v>
      </c>
      <c r="E123" s="25" t="s">
        <v>208</v>
      </c>
      <c r="F123" s="25" t="str">
        <f t="shared" si="64"/>
        <v>gb</v>
      </c>
      <c r="G123" s="25"/>
      <c r="H123" s="35" t="str">
        <f t="shared" si="65"/>
        <v>[["1000","신제"],["2000","수리"],["3000","예비생산"],["4000","신제품개발"]]</v>
      </c>
      <c r="I123" s="35" t="str">
        <f t="shared" si="58"/>
        <v>1000:신제 2000:수리 3000:예비생산 4000:신제품개발</v>
      </c>
      <c r="J123" s="35"/>
      <c r="K123" s="35" t="str">
        <f t="shared" si="59"/>
        <v>1000=신제|2000=수리|3000=예비생산|4000=신제품개발</v>
      </c>
      <c r="L123" s="2"/>
      <c r="M123" s="36">
        <v>0</v>
      </c>
      <c r="N123" s="36">
        <v>0</v>
      </c>
      <c r="O123" s="36" t="s">
        <v>31</v>
      </c>
      <c r="P123" s="36" t="s">
        <v>31</v>
      </c>
      <c r="Q123" s="35" t="str">
        <f t="shared" si="66"/>
        <v>ordr_dvcd 오더구분코드 [["1000","신제"],["2000","수리"],["3000","예비생산"],["4000","신제품개발"]]</v>
      </c>
      <c r="R123" s="2" t="s">
        <v>921</v>
      </c>
      <c r="S123" s="2"/>
      <c r="T123" s="2"/>
      <c r="U123" s="2"/>
      <c r="V123" s="2"/>
      <c r="W123" s="2"/>
      <c r="X123" s="2"/>
      <c r="Y123" s="2"/>
      <c r="Z123" s="2"/>
      <c r="AA123" s="2"/>
      <c r="AB123" s="28" t="s">
        <v>591</v>
      </c>
      <c r="AC123" s="25" t="s">
        <v>3146</v>
      </c>
      <c r="AD123" s="28" t="s">
        <v>592</v>
      </c>
      <c r="AE123" s="25" t="s">
        <v>3147</v>
      </c>
      <c r="AF123" s="28" t="s">
        <v>600</v>
      </c>
      <c r="AG123" s="25" t="s">
        <v>785</v>
      </c>
      <c r="AH123" s="28" t="s">
        <v>601</v>
      </c>
      <c r="AI123" s="25" t="s">
        <v>2922</v>
      </c>
      <c r="AJ123" s="28"/>
      <c r="AK123" s="25"/>
      <c r="AL123" s="28"/>
      <c r="AM123" s="25"/>
      <c r="AN123" s="28"/>
      <c r="AO123" s="25"/>
      <c r="AP123" s="28"/>
      <c r="AQ123" s="25"/>
      <c r="AR123" s="28"/>
      <c r="AS123" s="25"/>
      <c r="AT123" s="28"/>
      <c r="AU123" s="25"/>
      <c r="AV123" s="28"/>
      <c r="AW123" s="25"/>
      <c r="AX123" s="28"/>
      <c r="AY123" s="25"/>
      <c r="AZ123" s="28"/>
      <c r="BA123" s="25"/>
      <c r="BB123" s="28"/>
      <c r="BC123" s="25"/>
      <c r="BD123" s="28"/>
      <c r="BE123" s="25"/>
      <c r="BF123" s="28"/>
      <c r="BG123" s="25"/>
      <c r="BH123" s="28"/>
      <c r="BI123" s="25"/>
      <c r="BJ123" s="28"/>
      <c r="BK123" s="25"/>
      <c r="BL123" s="28"/>
      <c r="BM123" s="25"/>
      <c r="BN123" s="28"/>
      <c r="BO123" s="25"/>
      <c r="BP123" s="28"/>
      <c r="BQ123" s="25"/>
      <c r="BR123" s="28"/>
      <c r="BS123" s="25"/>
      <c r="BT123" s="28"/>
      <c r="BU123" s="25"/>
      <c r="BV123" s="28"/>
      <c r="BW123" s="25"/>
      <c r="BX123" s="28"/>
      <c r="BY123" s="25"/>
      <c r="CA123" s="1" t="str">
        <f t="shared" si="60"/>
        <v>delete from sscd_mast where sscd_idcd = 'ordr_dvcd_KOR_common'  and site_idcd = 'common';</v>
      </c>
      <c r="CB123" s="5" t="str">
        <f>IF(E123&lt;&gt;"",CREATE_QUERY($B$1,A$2:AA$2,A123:AA123),"")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('ordr_dvcd_KOR_common', 'KOR', 'common', 'ordr_dvcd', '오더구분코드', 'gb', '', '[["1000","신제"],["2000","수리"],["3000","예비생산"],["4000","신제품개발"]]', '1000:신제 2000:수리 3000:예비생산 4000:신제품개발', '', '1000=신제|2000=수리|3000=예비생산|4000=신제품개발', '', '0', '0', '0', '0', 'ordr_dvcd 오더구분코드 [["1000","신제"],["2000","수리"],["3000","예비생산"],["4000","신제품개발"]]', ' ', '', '', '', '', '', '', '', '', '');</v>
      </c>
    </row>
    <row r="124" spans="1:80" ht="17">
      <c r="A124" s="26" t="str">
        <f t="shared" si="63"/>
        <v>optn_dvcd_KOR_common</v>
      </c>
      <c r="B124" s="25" t="s">
        <v>27</v>
      </c>
      <c r="C124" s="25" t="str">
        <f t="shared" si="57"/>
        <v>common</v>
      </c>
      <c r="D124" s="25" t="s">
        <v>325</v>
      </c>
      <c r="E124" s="25" t="s">
        <v>212</v>
      </c>
      <c r="F124" s="25" t="str">
        <f t="shared" si="64"/>
        <v>gb</v>
      </c>
      <c r="G124" s="25"/>
      <c r="H124" s="35" t="str">
        <f t="shared" si="65"/>
        <v>[["0",""],["1","미정","red"]]</v>
      </c>
      <c r="I124" s="35" t="str">
        <f t="shared" si="58"/>
        <v>0: 1:미정:red</v>
      </c>
      <c r="J124" s="35"/>
      <c r="K124" s="35" t="str">
        <f t="shared" si="59"/>
        <v>0=|1=미정:red</v>
      </c>
      <c r="L124" s="2"/>
      <c r="M124" s="36">
        <v>0</v>
      </c>
      <c r="N124" s="36">
        <v>0</v>
      </c>
      <c r="O124" s="36" t="s">
        <v>31</v>
      </c>
      <c r="P124" s="36" t="s">
        <v>31</v>
      </c>
      <c r="Q124" s="35" t="str">
        <f t="shared" si="66"/>
        <v>optn_dvcd 옵션구분코드 [["0",""],["1","미정","red"]]</v>
      </c>
      <c r="R124" s="2" t="s">
        <v>921</v>
      </c>
      <c r="S124" s="2"/>
      <c r="T124" s="2"/>
      <c r="U124" s="2"/>
      <c r="V124" s="2"/>
      <c r="W124" s="2"/>
      <c r="X124" s="2"/>
      <c r="Y124" s="2"/>
      <c r="Z124" s="2"/>
      <c r="AA124" s="2"/>
      <c r="AB124" s="29" t="s">
        <v>31</v>
      </c>
      <c r="AC124" s="25"/>
      <c r="AD124" s="29">
        <v>1</v>
      </c>
      <c r="AE124" s="25" t="s">
        <v>574</v>
      </c>
      <c r="AF124" s="29"/>
      <c r="AG124" s="25"/>
      <c r="AH124" s="29"/>
      <c r="AI124" s="25"/>
      <c r="AJ124" s="29"/>
      <c r="AK124" s="25"/>
      <c r="AL124" s="29"/>
      <c r="AM124" s="25"/>
      <c r="AN124" s="29"/>
      <c r="AO124" s="25"/>
      <c r="AP124" s="29"/>
      <c r="AQ124" s="25"/>
      <c r="AR124" s="29"/>
      <c r="AS124" s="25"/>
      <c r="AT124" s="29"/>
      <c r="AU124" s="25"/>
      <c r="AV124" s="29"/>
      <c r="AW124" s="25"/>
      <c r="AX124" s="29"/>
      <c r="AY124" s="25"/>
      <c r="AZ124" s="29"/>
      <c r="BA124" s="25"/>
      <c r="BB124" s="29"/>
      <c r="BC124" s="25"/>
      <c r="BD124" s="29"/>
      <c r="BE124" s="25"/>
      <c r="BF124" s="29"/>
      <c r="BG124" s="25"/>
      <c r="BH124" s="29"/>
      <c r="BI124" s="25"/>
      <c r="BJ124" s="29"/>
      <c r="BK124" s="25"/>
      <c r="BL124" s="29"/>
      <c r="BM124" s="25"/>
      <c r="BN124" s="29"/>
      <c r="BO124" s="25"/>
      <c r="BP124" s="29"/>
      <c r="BQ124" s="25"/>
      <c r="BR124" s="29"/>
      <c r="BS124" s="25"/>
      <c r="BT124" s="29"/>
      <c r="BU124" s="25"/>
      <c r="BV124" s="29"/>
      <c r="BW124" s="25"/>
      <c r="BX124" s="29"/>
      <c r="BY124" s="25"/>
      <c r="CA124" s="1" t="str">
        <f t="shared" si="60"/>
        <v>delete from sscd_mast where sscd_idcd = 'optn_dvcd_KOR_common'  and site_idcd = 'common';</v>
      </c>
      <c r="CB124" s="5" t="str">
        <f>IF(E124&lt;&gt;"",CREATE_QUERY($B$1,A$2:AA$2,A124:AA124),"")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('optn_dvcd_KOR_common', 'KOR', 'common', 'optn_dvcd', '옵션구분코드', 'gb', '', '[["0",""],["1","미정","red"]]', '0: 1:미정:red', '', '0=|1=미정:red', '', '0', '0', '0', '0', 'optn_dvcd 옵션구분코드 [["0",""],["1","미정","red"]]', ' ', '', '', '', '', '', '', '', '', '');</v>
      </c>
    </row>
    <row r="125" spans="1:80" ht="17">
      <c r="A125" s="26" t="str">
        <f t="shared" si="63"/>
        <v>fare_type_KOR_common</v>
      </c>
      <c r="B125" s="25" t="s">
        <v>27</v>
      </c>
      <c r="C125" s="25" t="str">
        <f t="shared" si="57"/>
        <v>common</v>
      </c>
      <c r="D125" s="25" t="s">
        <v>2526</v>
      </c>
      <c r="E125" s="25" t="s">
        <v>46</v>
      </c>
      <c r="F125" s="25" t="str">
        <f t="shared" si="64"/>
        <v>gb</v>
      </c>
      <c r="G125" s="25"/>
      <c r="H125" s="35" t="str">
        <f t="shared" si="65"/>
        <v>[["1","선불"],["2","착불"],["3","신용"]]</v>
      </c>
      <c r="I125" s="35" t="str">
        <f t="shared" si="58"/>
        <v>1:선불 2:착불 3:신용</v>
      </c>
      <c r="J125" s="35"/>
      <c r="K125" s="35" t="str">
        <f t="shared" si="59"/>
        <v>1=선불|2=착불|3=신용</v>
      </c>
      <c r="L125" s="2"/>
      <c r="M125" s="36">
        <v>0</v>
      </c>
      <c r="N125" s="36">
        <v>0</v>
      </c>
      <c r="O125" s="36" t="s">
        <v>31</v>
      </c>
      <c r="P125" s="36" t="s">
        <v>31</v>
      </c>
      <c r="Q125" s="35" t="str">
        <f t="shared" si="66"/>
        <v>fare_type 요금 타입 [["1","선불"],["2","착불"],["3","신용"]]</v>
      </c>
      <c r="R125" s="2" t="s">
        <v>921</v>
      </c>
      <c r="S125" s="2"/>
      <c r="T125" s="2"/>
      <c r="U125" s="2" t="s">
        <v>32</v>
      </c>
      <c r="V125" s="2"/>
      <c r="W125" s="2"/>
      <c r="X125" s="2"/>
      <c r="Y125" s="2"/>
      <c r="Z125" s="2"/>
      <c r="AA125" s="2"/>
      <c r="AB125" s="29" t="s">
        <v>370</v>
      </c>
      <c r="AC125" s="25" t="s">
        <v>394</v>
      </c>
      <c r="AD125" s="29">
        <v>2</v>
      </c>
      <c r="AE125" s="25" t="s">
        <v>495</v>
      </c>
      <c r="AF125" s="29">
        <v>3</v>
      </c>
      <c r="AG125" s="25" t="s">
        <v>496</v>
      </c>
      <c r="AH125" s="29"/>
      <c r="AI125" s="25"/>
      <c r="AJ125" s="29"/>
      <c r="AK125" s="25"/>
      <c r="AL125" s="29"/>
      <c r="AM125" s="25"/>
      <c r="AN125" s="29"/>
      <c r="AO125" s="25"/>
      <c r="AP125" s="29"/>
      <c r="AQ125" s="25"/>
      <c r="AR125" s="29"/>
      <c r="AS125" s="25"/>
      <c r="AT125" s="29"/>
      <c r="AU125" s="25"/>
      <c r="AV125" s="29"/>
      <c r="AW125" s="25"/>
      <c r="AX125" s="29"/>
      <c r="AY125" s="25"/>
      <c r="AZ125" s="29"/>
      <c r="BA125" s="25"/>
      <c r="BB125" s="29"/>
      <c r="BC125" s="25"/>
      <c r="BD125" s="29"/>
      <c r="BE125" s="25"/>
      <c r="BF125" s="29"/>
      <c r="BG125" s="25"/>
      <c r="BH125" s="29"/>
      <c r="BI125" s="25"/>
      <c r="BJ125" s="29"/>
      <c r="BK125" s="25"/>
      <c r="BL125" s="29"/>
      <c r="BM125" s="25"/>
      <c r="BN125" s="29"/>
      <c r="BO125" s="25"/>
      <c r="BP125" s="29"/>
      <c r="BQ125" s="25"/>
      <c r="BR125" s="29"/>
      <c r="BS125" s="25"/>
      <c r="BT125" s="29"/>
      <c r="BU125" s="25"/>
      <c r="BV125" s="29"/>
      <c r="BW125" s="25"/>
      <c r="BX125" s="29"/>
      <c r="BY125" s="25"/>
      <c r="CA125" s="1" t="str">
        <f t="shared" si="60"/>
        <v>delete from sscd_mast where sscd_idcd = 'fare_type_KOR_common'  and site_idcd = 'common';</v>
      </c>
      <c r="CB125" s="5" t="str">
        <f>IF(E125&lt;&gt;"",CREATE_QUERY($B$1,A$2:AA$2,A125:AA125),"")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('fare_type_KOR_common', 'KOR', 'common', 'fare_type', '요금 타입', 'gb', '', '[["1","선불"],["2","착불"],["3","신용"]]', '1:선불 2:착불 3:신용', '', '1=선불|2=착불|3=신용', '', '0', '0', '0', '0', 'fare_type 요금 타입 [["1","선불"],["2","착불"],["3","신용"]]', ' ', '', '', ' ', '', '', '', '', '', '');</v>
      </c>
    </row>
    <row r="126" spans="1:80" ht="17">
      <c r="A126" s="26" t="str">
        <f t="shared" si="63"/>
        <v>dywk_dvcd_KOR_common</v>
      </c>
      <c r="B126" s="25" t="s">
        <v>27</v>
      </c>
      <c r="C126" s="25" t="str">
        <f t="shared" si="57"/>
        <v>common</v>
      </c>
      <c r="D126" s="25" t="s">
        <v>346</v>
      </c>
      <c r="E126" s="25" t="s">
        <v>347</v>
      </c>
      <c r="F126" s="25" t="str">
        <f t="shared" si="64"/>
        <v>gb</v>
      </c>
      <c r="G126" s="25"/>
      <c r="H126" s="35" t="str">
        <f t="shared" si="65"/>
        <v>[["1","일요일"],["2","월요일"],["3","화요일"],["4","수요일"],["5","목요일"],["6","금요일"],["7","토요일"]]</v>
      </c>
      <c r="I126" s="35" t="str">
        <f t="shared" si="58"/>
        <v>1:일요일 2:월요일 3:화요일 4:수요일 5:목요일 6:금요일 7:토요일</v>
      </c>
      <c r="J126" s="35"/>
      <c r="K126" s="35" t="str">
        <f t="shared" si="59"/>
        <v>1=일요일|2=월요일|3=화요일|4=수요일|5=목요일|6=금요일|7=토요일</v>
      </c>
      <c r="L126" s="2"/>
      <c r="M126" s="36">
        <v>0</v>
      </c>
      <c r="N126" s="36">
        <v>0</v>
      </c>
      <c r="O126" s="36" t="s">
        <v>31</v>
      </c>
      <c r="P126" s="36" t="s">
        <v>31</v>
      </c>
      <c r="Q126" s="35" t="str">
        <f t="shared" si="66"/>
        <v>dywk_dvcd 요일구분코드 [["1","일요일"],["2","월요일"],["3","화요일"],["4","수요일"],["5","목요일"],["6","금요일"],["7","토요일"]]</v>
      </c>
      <c r="R126" s="2" t="s">
        <v>921</v>
      </c>
      <c r="S126" s="2"/>
      <c r="T126" s="2"/>
      <c r="U126" s="2"/>
      <c r="V126" s="2"/>
      <c r="W126" s="2"/>
      <c r="X126" s="2"/>
      <c r="Y126" s="2"/>
      <c r="Z126" s="2"/>
      <c r="AA126" s="2"/>
      <c r="AB126" s="28" t="s">
        <v>684</v>
      </c>
      <c r="AC126" s="25" t="s">
        <v>497</v>
      </c>
      <c r="AD126" s="28" t="s">
        <v>685</v>
      </c>
      <c r="AE126" s="25" t="s">
        <v>498</v>
      </c>
      <c r="AF126" s="28" t="s">
        <v>687</v>
      </c>
      <c r="AG126" s="25" t="s">
        <v>499</v>
      </c>
      <c r="AH126" s="28" t="s">
        <v>688</v>
      </c>
      <c r="AI126" s="25" t="s">
        <v>500</v>
      </c>
      <c r="AJ126" s="28" t="s">
        <v>576</v>
      </c>
      <c r="AK126" s="25" t="s">
        <v>501</v>
      </c>
      <c r="AL126" s="28" t="s">
        <v>582</v>
      </c>
      <c r="AM126" s="25" t="s">
        <v>502</v>
      </c>
      <c r="AN126" s="28" t="s">
        <v>871</v>
      </c>
      <c r="AO126" s="25" t="s">
        <v>503</v>
      </c>
      <c r="AP126" s="28"/>
      <c r="AQ126" s="25"/>
      <c r="AR126" s="28"/>
      <c r="AS126" s="25"/>
      <c r="AT126" s="28"/>
      <c r="AU126" s="25"/>
      <c r="AV126" s="28"/>
      <c r="AW126" s="25"/>
      <c r="AX126" s="28"/>
      <c r="AY126" s="25"/>
      <c r="AZ126" s="28"/>
      <c r="BA126" s="25"/>
      <c r="BB126" s="28"/>
      <c r="BC126" s="25"/>
      <c r="BD126" s="28"/>
      <c r="BE126" s="25"/>
      <c r="BF126" s="28"/>
      <c r="BG126" s="25"/>
      <c r="BH126" s="28"/>
      <c r="BI126" s="25"/>
      <c r="BJ126" s="28"/>
      <c r="BK126" s="25"/>
      <c r="BL126" s="28"/>
      <c r="BM126" s="25"/>
      <c r="BN126" s="28"/>
      <c r="BO126" s="25"/>
      <c r="BP126" s="28"/>
      <c r="BQ126" s="25"/>
      <c r="BR126" s="28"/>
      <c r="BS126" s="25"/>
      <c r="BT126" s="28"/>
      <c r="BU126" s="25"/>
      <c r="BV126" s="28"/>
      <c r="BW126" s="25"/>
      <c r="BX126" s="28"/>
      <c r="BY126" s="25"/>
      <c r="CA126" s="1" t="str">
        <f t="shared" si="60"/>
        <v>delete from sscd_mast where sscd_idcd = 'dywk_dvcd_KOR_common'  and site_idcd = 'common';</v>
      </c>
      <c r="CB126" s="5" t="str">
        <f>IF(E126&lt;&gt;"",CREATE_QUERY($B$1,A$2:AA$2,A126:AA126),"")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('dywk_dvcd_KOR_common', 'KOR', 'common', 'dywk_dvcd', '요일구분코드', 'gb', '', '[["1","일요일"],["2","월요일"],["3","화요일"],["4","수요일"],["5","목요일"],["6","금요일"],["7","토요일"]]', '1:일요일 2:월요일 3:화요일 4:수요일 5:목요일 6:금요일 7:토요일', '', '1=일요일|2=월요일|3=화요일|4=수요일|5=목요일|6=금요일|7=토요일', '', '0', '0', '0', '0', 'dywk_dvcd 요일구분코드 [["1","일요일"],["2","월요일"],["3","화요일"],["4","수요일"],["5","목요일"],["6","금요일"],["7","토요일"]]', ' ', '', '', '', '', '', '', '', '', '');</v>
      </c>
    </row>
    <row r="127" spans="1:80" ht="17">
      <c r="A127" s="26" t="str">
        <f t="shared" si="63"/>
        <v>week_dvcd_KOR_common</v>
      </c>
      <c r="B127" s="25" t="s">
        <v>27</v>
      </c>
      <c r="C127" s="25" t="str">
        <f t="shared" ref="C127:C180" si="67">IF(E127="","","common")</f>
        <v>common</v>
      </c>
      <c r="D127" s="25" t="s">
        <v>146</v>
      </c>
      <c r="E127" s="25" t="s">
        <v>97</v>
      </c>
      <c r="F127" s="25" t="str">
        <f t="shared" si="64"/>
        <v>gb</v>
      </c>
      <c r="G127" s="25"/>
      <c r="H127" s="35" t="str">
        <f t="shared" si="65"/>
        <v>[["1","일요일"],["2","월요일"],["3","화요일"],["4","수요일"],["5","목요일"],["6","금요일"],["7","토요일"]]</v>
      </c>
      <c r="I127" s="35" t="str">
        <f t="shared" si="58"/>
        <v>1:일요일 2:월요일 3:화요일 4:수요일 5:목요일 6:금요일 7:토요일</v>
      </c>
      <c r="J127" s="35"/>
      <c r="K127" s="35" t="str">
        <f t="shared" si="59"/>
        <v>1=일요일|2=월요일|3=화요일|4=수요일|5=목요일|6=금요일|7=토요일</v>
      </c>
      <c r="L127" s="2"/>
      <c r="M127" s="36">
        <v>0</v>
      </c>
      <c r="N127" s="36">
        <v>0</v>
      </c>
      <c r="O127" s="36" t="s">
        <v>31</v>
      </c>
      <c r="P127" s="36" t="s">
        <v>31</v>
      </c>
      <c r="Q127" s="35" t="str">
        <f t="shared" si="66"/>
        <v>week_dvcd 요일코드 [["1","일요일"],["2","월요일"],["3","화요일"],["4","수요일"],["5","목요일"],["6","금요일"],["7","토요일"]]</v>
      </c>
      <c r="R127" s="2" t="s">
        <v>921</v>
      </c>
      <c r="S127" s="2"/>
      <c r="T127" s="2"/>
      <c r="U127" s="2" t="s">
        <v>32</v>
      </c>
      <c r="V127" s="2"/>
      <c r="W127" s="2"/>
      <c r="X127" s="2"/>
      <c r="Y127" s="2"/>
      <c r="Z127" s="2"/>
      <c r="AA127" s="2"/>
      <c r="AB127" s="28" t="s">
        <v>684</v>
      </c>
      <c r="AC127" s="25" t="s">
        <v>497</v>
      </c>
      <c r="AD127" s="28" t="s">
        <v>685</v>
      </c>
      <c r="AE127" s="25" t="s">
        <v>498</v>
      </c>
      <c r="AF127" s="28" t="s">
        <v>687</v>
      </c>
      <c r="AG127" s="25" t="s">
        <v>499</v>
      </c>
      <c r="AH127" s="28" t="s">
        <v>688</v>
      </c>
      <c r="AI127" s="25" t="s">
        <v>500</v>
      </c>
      <c r="AJ127" s="28" t="s">
        <v>576</v>
      </c>
      <c r="AK127" s="25" t="s">
        <v>501</v>
      </c>
      <c r="AL127" s="28" t="s">
        <v>582</v>
      </c>
      <c r="AM127" s="25" t="s">
        <v>502</v>
      </c>
      <c r="AN127" s="28" t="s">
        <v>871</v>
      </c>
      <c r="AO127" s="25" t="s">
        <v>503</v>
      </c>
      <c r="AP127" s="28"/>
      <c r="AQ127" s="25"/>
      <c r="AR127" s="28"/>
      <c r="AS127" s="25"/>
      <c r="AT127" s="28"/>
      <c r="AU127" s="25"/>
      <c r="AV127" s="28"/>
      <c r="AW127" s="25"/>
      <c r="AX127" s="28"/>
      <c r="AY127" s="25"/>
      <c r="AZ127" s="28"/>
      <c r="BA127" s="25"/>
      <c r="BB127" s="28"/>
      <c r="BC127" s="25"/>
      <c r="BD127" s="28"/>
      <c r="BE127" s="25"/>
      <c r="BF127" s="28"/>
      <c r="BG127" s="25"/>
      <c r="BH127" s="28"/>
      <c r="BI127" s="25"/>
      <c r="BJ127" s="28"/>
      <c r="BK127" s="25"/>
      <c r="BL127" s="28"/>
      <c r="BM127" s="25"/>
      <c r="BN127" s="28"/>
      <c r="BO127" s="25"/>
      <c r="BP127" s="28"/>
      <c r="BQ127" s="25"/>
      <c r="BR127" s="28"/>
      <c r="BS127" s="25"/>
      <c r="BT127" s="28"/>
      <c r="BU127" s="25"/>
      <c r="BV127" s="28"/>
      <c r="BW127" s="25"/>
      <c r="BX127" s="28"/>
      <c r="BY127" s="25"/>
      <c r="CA127" s="1" t="str">
        <f t="shared" si="60"/>
        <v>delete from sscd_mast where sscd_idcd = 'week_dvcd_KOR_common'  and site_idcd = 'common';</v>
      </c>
      <c r="CB127" s="5" t="str">
        <f>IF(E127&lt;&gt;"",CREATE_QUERY($B$1,A$2:AA$2,A127:AA127),"")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('week_dvcd_KOR_common', 'KOR', 'common', 'week_dvcd', '요일코드', 'gb', '', '[["1","일요일"],["2","월요일"],["3","화요일"],["4","수요일"],["5","목요일"],["6","금요일"],["7","토요일"]]', '1:일요일 2:월요일 3:화요일 4:수요일 5:목요일 6:금요일 7:토요일', '', '1=일요일|2=월요일|3=화요일|4=수요일|5=목요일|6=금요일|7=토요일', '', '0', '0', '0', '0', 'week_dvcd 요일코드 [["1","일요일"],["2","월요일"],["3","화요일"],["4","수요일"],["5","목요일"],["6","금요일"],["7","토요일"]]', ' ', '', '', ' ', '', '', '', '', '', '');</v>
      </c>
    </row>
    <row r="128" spans="1:80" ht="17">
      <c r="A128" s="26" t="str">
        <f t="shared" si="63"/>
        <v>trnt_mthd_dvcd_KOR_common</v>
      </c>
      <c r="B128" s="25" t="s">
        <v>27</v>
      </c>
      <c r="C128" s="25" t="str">
        <f t="shared" si="67"/>
        <v>common</v>
      </c>
      <c r="D128" s="25" t="s">
        <v>294</v>
      </c>
      <c r="E128" s="25" t="s">
        <v>180</v>
      </c>
      <c r="F128" s="25" t="str">
        <f t="shared" si="64"/>
        <v>gb</v>
      </c>
      <c r="G128" s="25"/>
      <c r="H128" s="35" t="str">
        <f t="shared" si="65"/>
        <v>[["1","직접배송"],["2","택배배송"],["3","고객직송"]]</v>
      </c>
      <c r="I128" s="35" t="str">
        <f t="shared" si="58"/>
        <v>1:직접배송 2:택배배송 3:고객직송</v>
      </c>
      <c r="J128" s="35"/>
      <c r="K128" s="35" t="str">
        <f t="shared" si="59"/>
        <v>1=직접배송|2=택배배송|3=고객직송</v>
      </c>
      <c r="L128" s="2"/>
      <c r="M128" s="36">
        <v>0</v>
      </c>
      <c r="N128" s="36">
        <v>0</v>
      </c>
      <c r="O128" s="36" t="s">
        <v>31</v>
      </c>
      <c r="P128" s="36" t="s">
        <v>31</v>
      </c>
      <c r="Q128" s="35" t="str">
        <f t="shared" si="66"/>
        <v>trnt_mthd_dvcd 운송방법구분코드 [["1","직접배송"],["2","택배배송"],["3","고객직송"]]</v>
      </c>
      <c r="R128" s="2" t="s">
        <v>921</v>
      </c>
      <c r="S128" s="2"/>
      <c r="T128" s="2"/>
      <c r="U128" s="2"/>
      <c r="V128" s="2"/>
      <c r="W128" s="2"/>
      <c r="X128" s="2"/>
      <c r="Y128" s="2"/>
      <c r="Z128" s="2"/>
      <c r="AA128" s="2"/>
      <c r="AB128" s="29" t="s">
        <v>370</v>
      </c>
      <c r="AC128" s="25" t="s">
        <v>504</v>
      </c>
      <c r="AD128" s="29">
        <v>2</v>
      </c>
      <c r="AE128" s="25" t="s">
        <v>505</v>
      </c>
      <c r="AF128" s="29">
        <v>3</v>
      </c>
      <c r="AG128" s="25" t="s">
        <v>506</v>
      </c>
      <c r="AH128" s="29"/>
      <c r="AI128" s="25"/>
      <c r="AJ128" s="29"/>
      <c r="AK128" s="25"/>
      <c r="AL128" s="29"/>
      <c r="AM128" s="25"/>
      <c r="AN128" s="29"/>
      <c r="AO128" s="25"/>
      <c r="AP128" s="29"/>
      <c r="AQ128" s="25"/>
      <c r="AR128" s="29"/>
      <c r="AS128" s="25"/>
      <c r="AT128" s="29"/>
      <c r="AU128" s="25"/>
      <c r="AV128" s="29"/>
      <c r="AW128" s="25"/>
      <c r="AX128" s="29"/>
      <c r="AY128" s="25"/>
      <c r="AZ128" s="29"/>
      <c r="BA128" s="25"/>
      <c r="BB128" s="29"/>
      <c r="BC128" s="25"/>
      <c r="BD128" s="29"/>
      <c r="BE128" s="25"/>
      <c r="BF128" s="29"/>
      <c r="BG128" s="25"/>
      <c r="BH128" s="29"/>
      <c r="BI128" s="25"/>
      <c r="BJ128" s="29"/>
      <c r="BK128" s="25"/>
      <c r="BL128" s="29"/>
      <c r="BM128" s="25"/>
      <c r="BN128" s="29"/>
      <c r="BO128" s="25"/>
      <c r="BP128" s="29"/>
      <c r="BQ128" s="25"/>
      <c r="BR128" s="29"/>
      <c r="BS128" s="25"/>
      <c r="BT128" s="29"/>
      <c r="BU128" s="25"/>
      <c r="BV128" s="29"/>
      <c r="BW128" s="25"/>
      <c r="BX128" s="29"/>
      <c r="BY128" s="25"/>
      <c r="CA128" s="1" t="str">
        <f t="shared" si="60"/>
        <v>delete from sscd_mast where sscd_idcd = 'trnt_mthd_dvcd_KOR_common'  and site_idcd = 'common';</v>
      </c>
      <c r="CB128" s="5" t="str">
        <f>IF(E128&lt;&gt;"",CREATE_QUERY($B$1,A$2:AA$2,A128:AA128),"")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('trnt_mthd_dvcd_KOR_common', 'KOR', 'common', 'trnt_mthd_dvcd', '운송방법구분코드', 'gb', '', '[["1","직접배송"],["2","택배배송"],["3","고객직송"]]', '1:직접배송 2:택배배송 3:고객직송', '', '1=직접배송|2=택배배송|3=고객직송', '', '0', '0', '0', '0', 'trnt_mthd_dvcd 운송방법구분코드 [["1","직접배송"],["2","택배배송"],["3","고객직송"]]', ' ', '', '', '', '', '', '', '', '', '');</v>
      </c>
    </row>
    <row r="129" spans="1:80" ht="17">
      <c r="A129" s="26" t="str">
        <f t="shared" si="63"/>
        <v>trnt_mean_dvcd_KOR_common</v>
      </c>
      <c r="B129" s="25" t="s">
        <v>27</v>
      </c>
      <c r="C129" s="25" t="str">
        <f t="shared" si="67"/>
        <v>common</v>
      </c>
      <c r="D129" s="25" t="s">
        <v>303</v>
      </c>
      <c r="E129" s="25" t="s">
        <v>189</v>
      </c>
      <c r="F129" s="25" t="str">
        <f t="shared" si="64"/>
        <v>gb</v>
      </c>
      <c r="G129" s="25"/>
      <c r="H129" s="35" t="str">
        <f t="shared" si="65"/>
        <v>[["1000","자차"],["2000","용차"],["3000","택배"],["4000","항공"],["9000","기타"]]</v>
      </c>
      <c r="I129" s="35" t="str">
        <f t="shared" si="58"/>
        <v>1000:자차 2000:용차 3000:택배 4000:항공 9000:기타</v>
      </c>
      <c r="J129" s="35"/>
      <c r="K129" s="35" t="str">
        <f t="shared" si="59"/>
        <v>1000=자차|2000=용차|3000=택배|4000=항공|9000=기타</v>
      </c>
      <c r="L129" s="2"/>
      <c r="M129" s="36">
        <v>0</v>
      </c>
      <c r="N129" s="36">
        <v>0</v>
      </c>
      <c r="O129" s="36" t="s">
        <v>31</v>
      </c>
      <c r="P129" s="36" t="s">
        <v>31</v>
      </c>
      <c r="Q129" s="35" t="str">
        <f t="shared" si="66"/>
        <v>trnt_mean_dvcd 운송수단구분코드 [["1000","자차"],["2000","용차"],["3000","택배"],["4000","항공"],["9000","기타"]]</v>
      </c>
      <c r="R129" s="2" t="s">
        <v>921</v>
      </c>
      <c r="S129" s="2"/>
      <c r="T129" s="2"/>
      <c r="U129" s="2"/>
      <c r="V129" s="2"/>
      <c r="W129" s="2"/>
      <c r="X129" s="2"/>
      <c r="Y129" s="2"/>
      <c r="Z129" s="2"/>
      <c r="AA129" s="2"/>
      <c r="AB129" s="28" t="s">
        <v>591</v>
      </c>
      <c r="AC129" s="25" t="s">
        <v>795</v>
      </c>
      <c r="AD129" s="28" t="s">
        <v>592</v>
      </c>
      <c r="AE129" s="25" t="s">
        <v>794</v>
      </c>
      <c r="AF129" s="28" t="s">
        <v>600</v>
      </c>
      <c r="AG129" s="25" t="s">
        <v>796</v>
      </c>
      <c r="AH129" s="28" t="s">
        <v>601</v>
      </c>
      <c r="AI129" s="25" t="s">
        <v>797</v>
      </c>
      <c r="AJ129" s="28" t="s">
        <v>661</v>
      </c>
      <c r="AK129" s="25" t="s">
        <v>798</v>
      </c>
      <c r="AL129" s="28"/>
      <c r="AM129" s="25"/>
      <c r="AN129" s="28"/>
      <c r="AO129" s="25"/>
      <c r="AP129" s="28"/>
      <c r="AQ129" s="25"/>
      <c r="AR129" s="28"/>
      <c r="AS129" s="25"/>
      <c r="AT129" s="28"/>
      <c r="AU129" s="25"/>
      <c r="AV129" s="28"/>
      <c r="AW129" s="25"/>
      <c r="AX129" s="28"/>
      <c r="AY129" s="25"/>
      <c r="AZ129" s="28"/>
      <c r="BA129" s="25"/>
      <c r="BB129" s="28"/>
      <c r="BC129" s="25"/>
      <c r="BD129" s="28"/>
      <c r="BE129" s="25"/>
      <c r="BF129" s="28"/>
      <c r="BG129" s="25"/>
      <c r="BH129" s="28"/>
      <c r="BI129" s="25"/>
      <c r="BJ129" s="28"/>
      <c r="BK129" s="25"/>
      <c r="BL129" s="28"/>
      <c r="BM129" s="25"/>
      <c r="BN129" s="28"/>
      <c r="BO129" s="25"/>
      <c r="BP129" s="28"/>
      <c r="BQ129" s="25"/>
      <c r="BR129" s="28"/>
      <c r="BS129" s="25"/>
      <c r="BT129" s="28"/>
      <c r="BU129" s="25"/>
      <c r="BV129" s="28"/>
      <c r="BW129" s="25"/>
      <c r="BX129" s="28"/>
      <c r="BY129" s="25"/>
      <c r="CA129" s="1" t="str">
        <f t="shared" si="60"/>
        <v>delete from sscd_mast where sscd_idcd = 'trnt_mean_dvcd_KOR_common'  and site_idcd = 'common';</v>
      </c>
      <c r="CB129" s="5" t="str">
        <f>IF(E129&lt;&gt;"",CREATE_QUERY($B$1,A$2:AA$2,A129:AA129),"")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('trnt_mean_dvcd_KOR_common', 'KOR', 'common', 'trnt_mean_dvcd', '운송수단구분코드', 'gb', '', '[["1000","자차"],["2000","용차"],["3000","택배"],["4000","항공"],["9000","기타"]]', '1000:자차 2000:용차 3000:택배 4000:항공 9000:기타', '', '1000=자차|2000=용차|3000=택배|4000=항공|9000=기타', '', '0', '0', '0', '0', 'trnt_mean_dvcd 운송수단구분코드 [["1000","자차"],["2000","용차"],["3000","택배"],["4000","항공"],["9000","기타"]]', ' ', '', '', '', '', '', '', '', '', '');</v>
      </c>
    </row>
    <row r="130" spans="1:80" ht="17">
      <c r="A130" s="26" t="str">
        <f t="shared" si="63"/>
        <v>trut_dvcd_KOR_common</v>
      </c>
      <c r="B130" s="25" t="s">
        <v>27</v>
      </c>
      <c r="C130" s="25" t="str">
        <f t="shared" si="67"/>
        <v>common</v>
      </c>
      <c r="D130" s="25" t="s">
        <v>323</v>
      </c>
      <c r="E130" s="25" t="s">
        <v>210</v>
      </c>
      <c r="F130" s="25" t="str">
        <f t="shared" si="64"/>
        <v>gb</v>
      </c>
      <c r="G130" s="25"/>
      <c r="H130" s="35" t="str">
        <f t="shared" si="65"/>
        <v>[["1","해당없음"],["2","위탁"]]</v>
      </c>
      <c r="I130" s="35" t="str">
        <f t="shared" ref="I130:I183" si="68">IF(AB130="","",AB130&amp;":"&amp;AC130)&amp;
IF(AD130="",""," "&amp;AD130&amp;":"&amp;AE130)&amp;
IF(AF130="",""," "&amp;AF130&amp;":"&amp;AG130)&amp;
IF(AH130="",""," "&amp;AH130&amp;":"&amp;AI130)&amp;
IF(AJ130="",""," "&amp;AJ130&amp;":"&amp;AK130)&amp;
IF(AL130="",""," "&amp;AL130&amp;":"&amp;AM130)&amp;
IF(AN130="",""," "&amp;AN130&amp;":"&amp;AO130)&amp;
IF(AP130="",""," "&amp;AP130&amp;":"&amp;AQ130)&amp;
IF(AR130="",""," "&amp;AR130&amp;":"&amp;AS130)&amp;
IF(AT130="",""," "&amp;AT130&amp;":"&amp;AU130)&amp;
IF(AV130="",""," "&amp;AV130&amp;":"&amp;AW130)&amp;
IF(AX130="",""," "&amp;AX130&amp;":"&amp;AY130)&amp;
IF(AZ130="",""," "&amp;AZ130&amp;":"&amp;BA130)&amp;
IF(BB130="",""," "&amp;BB130&amp;":"&amp;BC130)&amp;
IF(BD130="",""," "&amp;BD130&amp;":"&amp;BE130)&amp;
IF(BF130="",""," "&amp;BF130&amp;":"&amp;BG130)&amp;
IF(BH130="",""," "&amp;BH130&amp;":"&amp;BI130)&amp;
IF(BJ130="",""," "&amp;BJ130&amp;":"&amp;BK130)&amp;
IF(BL130="",""," "&amp;BL130&amp;":"&amp;BM130)&amp;
IF(BN130="",""," "&amp;BN130&amp;":"&amp;BO130)&amp;
IF(BP130="",""," "&amp;BP130&amp;":"&amp;BS130)&amp;
IF(BZ130="",""," "&amp;BZ130&amp;":"&amp;CA130)</f>
        <v>1:해당없음 2:위탁</v>
      </c>
      <c r="J130" s="35"/>
      <c r="K130" s="35" t="str">
        <f t="shared" si="59"/>
        <v>1=해당없음|2=위탁</v>
      </c>
      <c r="L130" s="2"/>
      <c r="M130" s="36">
        <v>0</v>
      </c>
      <c r="N130" s="36">
        <v>0</v>
      </c>
      <c r="O130" s="36" t="s">
        <v>31</v>
      </c>
      <c r="P130" s="36" t="s">
        <v>31</v>
      </c>
      <c r="Q130" s="35" t="str">
        <f t="shared" si="66"/>
        <v>trut_dvcd 위탁구분코드 [["1","해당없음"],["2","위탁"]]</v>
      </c>
      <c r="R130" s="2" t="s">
        <v>921</v>
      </c>
      <c r="S130" s="2"/>
      <c r="T130" s="2"/>
      <c r="U130" s="2"/>
      <c r="V130" s="2"/>
      <c r="W130" s="2"/>
      <c r="X130" s="2"/>
      <c r="Y130" s="2"/>
      <c r="Z130" s="2"/>
      <c r="AA130" s="2"/>
      <c r="AB130" s="28" t="s">
        <v>684</v>
      </c>
      <c r="AC130" s="25" t="s">
        <v>799</v>
      </c>
      <c r="AD130" s="28" t="s">
        <v>685</v>
      </c>
      <c r="AE130" s="25" t="s">
        <v>800</v>
      </c>
      <c r="AF130" s="28"/>
      <c r="AG130" s="25"/>
      <c r="AH130" s="28"/>
      <c r="AI130" s="25"/>
      <c r="AJ130" s="28"/>
      <c r="AK130" s="25"/>
      <c r="AL130" s="28"/>
      <c r="AM130" s="25"/>
      <c r="AN130" s="28"/>
      <c r="AO130" s="25"/>
      <c r="AP130" s="28"/>
      <c r="AQ130" s="25"/>
      <c r="AR130" s="28"/>
      <c r="AS130" s="25"/>
      <c r="AT130" s="28"/>
      <c r="AU130" s="25"/>
      <c r="AV130" s="28"/>
      <c r="AW130" s="25"/>
      <c r="AX130" s="28"/>
      <c r="AY130" s="25"/>
      <c r="AZ130" s="28"/>
      <c r="BA130" s="25"/>
      <c r="BB130" s="28"/>
      <c r="BC130" s="25"/>
      <c r="BD130" s="28"/>
      <c r="BE130" s="25"/>
      <c r="BF130" s="28"/>
      <c r="BG130" s="25"/>
      <c r="BH130" s="28"/>
      <c r="BI130" s="25"/>
      <c r="BJ130" s="28"/>
      <c r="BK130" s="25"/>
      <c r="BL130" s="28"/>
      <c r="BM130" s="25"/>
      <c r="BN130" s="28"/>
      <c r="BO130" s="25"/>
      <c r="BP130" s="28"/>
      <c r="BQ130" s="25"/>
      <c r="BR130" s="28"/>
      <c r="BS130" s="25"/>
      <c r="BT130" s="28"/>
      <c r="BU130" s="25"/>
      <c r="BV130" s="28"/>
      <c r="BW130" s="25"/>
      <c r="BX130" s="28"/>
      <c r="BY130" s="25"/>
      <c r="CA130" s="1" t="str">
        <f t="shared" ref="CA130:CA183" si="69">IF(A130="","","delete from sscd_mast where sscd_idcd = '"&amp;A130&amp;"'  and site_idcd = '"&amp;C130&amp;"';")</f>
        <v>delete from sscd_mast where sscd_idcd = 'trut_dvcd_KOR_common'  and site_idcd = 'common';</v>
      </c>
      <c r="CB130" s="5" t="str">
        <f>IF(E130&lt;&gt;"",CREATE_QUERY($B$1,A$2:AA$2,A130:AA130),"")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('trut_dvcd_KOR_common', 'KOR', 'common', 'trut_dvcd', '위탁구분코드', 'gb', '', '[["1","해당없음"],["2","위탁"]]', '1:해당없음 2:위탁', '', '1=해당없음|2=위탁', '', '0', '0', '0', '0', 'trut_dvcd 위탁구분코드 [["1","해당없음"],["2","위탁"]]', ' ', '', '', '', '', '', '', '', '', '');</v>
      </c>
    </row>
    <row r="131" spans="1:80" ht="17">
      <c r="A131" s="26" t="str">
        <f t="shared" si="63"/>
        <v>rtil_stru_dvcd_KOR_common</v>
      </c>
      <c r="B131" s="25" t="s">
        <v>27</v>
      </c>
      <c r="C131" s="25" t="str">
        <f t="shared" si="67"/>
        <v>common</v>
      </c>
      <c r="D131" s="25" t="s">
        <v>298</v>
      </c>
      <c r="E131" s="25" t="s">
        <v>184</v>
      </c>
      <c r="F131" s="25" t="str">
        <f t="shared" si="64"/>
        <v>gb</v>
      </c>
      <c r="G131" s="25"/>
      <c r="H131" s="35" t="str">
        <f t="shared" si="65"/>
        <v>[["1",""],["2",""],["3",""]]</v>
      </c>
      <c r="I131" s="35" t="str">
        <f t="shared" si="68"/>
        <v>1: 2: 3:</v>
      </c>
      <c r="J131" s="35"/>
      <c r="K131" s="35" t="str">
        <f t="shared" ref="K131:K183" si="70">IF(AB131="","",AB131&amp;"="&amp;AC131)&amp;
IF(AD131="","","|"&amp;AD131&amp;"="&amp;AE131)&amp;
IF(AF131="","","|"&amp;AF131&amp;"="&amp;AG131)&amp;
IF(AH131="","","|"&amp;AH131&amp;"="&amp;AI131)&amp;
IF(AJ131="","","|"&amp;AJ131&amp;"="&amp;AK131)&amp;
IF(AL131="","","|"&amp;AL131&amp;"="&amp;AM131)&amp;
IF(AN131="","","|"&amp;AN131&amp;"="&amp;AO131)&amp;
IF(AP131="","","|"&amp;AP131&amp;"="&amp;AQ131)&amp;
IF(AR131="","","|"&amp;AR131&amp;"="&amp;AS131)&amp;
IF(AT131="","","|"&amp;AT131&amp;"="&amp;AU131)&amp;
IF(AV131="","","|"&amp;AV131&amp;"="&amp;AW131)&amp;
IF(AX131="","","|"&amp;AX131&amp;"="&amp;AY131)&amp;
IF(AZ131="","","|"&amp;AZ131&amp;"="&amp;BA131)&amp;
IF(BB131="","","|"&amp;BB131&amp;"="&amp;BC131)&amp;
IF(BD131="","","|"&amp;BD131&amp;"="&amp;BE131)&amp;
IF(BF131="","","|"&amp;BF131&amp;"="&amp;BG131)&amp;
IF(BH131="","","|"&amp;BH131&amp;"="&amp;BI131)&amp;
IF(BJ131="","","|"&amp;BJ131&amp;"="&amp;BK131)&amp;
IF(BL131="","","|"&amp;BL131&amp;"="&amp;BM131)&amp;
IF(BN131="","","|"&amp;BN131&amp;"="&amp;BO131)&amp;
IF(BP131="","","|"&amp;BP131&amp;"="&amp;BQ131)&amp;
IF(BR131="","","|"&amp;BR131&amp;"="&amp;BS131)&amp;
IF(BT131="","","|"&amp;BT131&amp;"="&amp;BU131)&amp;
IF(BV131="","","|"&amp;BV131&amp;"="&amp;BW131)&amp;
IF(BX131="","","|"&amp;BX131&amp;"="&amp;BY131)</f>
        <v>1=|2=|3=</v>
      </c>
      <c r="L131" s="2"/>
      <c r="M131" s="36">
        <v>0</v>
      </c>
      <c r="N131" s="36">
        <v>0</v>
      </c>
      <c r="O131" s="36" t="s">
        <v>31</v>
      </c>
      <c r="P131" s="36" t="s">
        <v>31</v>
      </c>
      <c r="Q131" s="35" t="str">
        <f t="shared" si="66"/>
        <v>rtil_stru_dvcd 유통구조구분코드 [["1",""],["2",""],["3",""]]</v>
      </c>
      <c r="R131" s="2" t="s">
        <v>921</v>
      </c>
      <c r="S131" s="2"/>
      <c r="T131" s="2"/>
      <c r="U131" s="2"/>
      <c r="V131" s="2"/>
      <c r="W131" s="2"/>
      <c r="X131" s="2"/>
      <c r="Y131" s="2"/>
      <c r="Z131" s="2"/>
      <c r="AA131" s="2"/>
      <c r="AB131" s="29" t="s">
        <v>370</v>
      </c>
      <c r="AC131" s="25"/>
      <c r="AD131" s="29">
        <v>2</v>
      </c>
      <c r="AE131" s="25"/>
      <c r="AF131" s="29">
        <v>3</v>
      </c>
      <c r="AG131" s="25"/>
      <c r="AH131" s="29"/>
      <c r="AI131" s="25"/>
      <c r="AJ131" s="29"/>
      <c r="AK131" s="25"/>
      <c r="AL131" s="29"/>
      <c r="AM131" s="25"/>
      <c r="AN131" s="29"/>
      <c r="AO131" s="25"/>
      <c r="AP131" s="29"/>
      <c r="AQ131" s="25"/>
      <c r="AR131" s="29"/>
      <c r="AS131" s="25"/>
      <c r="AT131" s="29"/>
      <c r="AU131" s="25"/>
      <c r="AV131" s="29"/>
      <c r="AW131" s="25"/>
      <c r="AX131" s="29"/>
      <c r="AY131" s="25"/>
      <c r="AZ131" s="29"/>
      <c r="BA131" s="25"/>
      <c r="BB131" s="29"/>
      <c r="BC131" s="25"/>
      <c r="BD131" s="29"/>
      <c r="BE131" s="25"/>
      <c r="BF131" s="29"/>
      <c r="BG131" s="25"/>
      <c r="BH131" s="29"/>
      <c r="BI131" s="25"/>
      <c r="BJ131" s="29"/>
      <c r="BK131" s="25"/>
      <c r="BL131" s="29"/>
      <c r="BM131" s="25"/>
      <c r="BN131" s="29"/>
      <c r="BO131" s="25"/>
      <c r="BP131" s="29"/>
      <c r="BQ131" s="25"/>
      <c r="BR131" s="29"/>
      <c r="BS131" s="25"/>
      <c r="BT131" s="29"/>
      <c r="BU131" s="25"/>
      <c r="BV131" s="29"/>
      <c r="BW131" s="25"/>
      <c r="BX131" s="29"/>
      <c r="BY131" s="25"/>
      <c r="CA131" s="1" t="str">
        <f t="shared" si="69"/>
        <v>delete from sscd_mast where sscd_idcd = 'rtil_stru_dvcd_KOR_common'  and site_idcd = 'common';</v>
      </c>
      <c r="CB131" s="5" t="str">
        <f>IF(E131&lt;&gt;"",CREATE_QUERY($B$1,A$2:AA$2,A131:AA131),"")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('rtil_stru_dvcd_KOR_common', 'KOR', 'common', 'rtil_stru_dvcd', '유통구조구분코드', 'gb', '', '[["1",""],["2",""],["3",""]]', '1: 2: 3:', '', '1=|2=|3=', '', '0', '0', '0', '0', 'rtil_stru_dvcd 유통구조구분코드 [["1",""],["2",""],["3",""]]', ' ', '', '', '', '', '', '', '', '', '');</v>
      </c>
    </row>
    <row r="132" spans="1:80" ht="17">
      <c r="A132" s="26" t="str">
        <f t="shared" si="63"/>
        <v>rtil_ddln_dvcd_KOR_common</v>
      </c>
      <c r="B132" s="25" t="s">
        <v>27</v>
      </c>
      <c r="C132" s="25" t="str">
        <f t="shared" si="67"/>
        <v>common</v>
      </c>
      <c r="D132" s="25" t="s">
        <v>288</v>
      </c>
      <c r="E132" s="25" t="s">
        <v>174</v>
      </c>
      <c r="F132" s="25" t="str">
        <f t="shared" si="64"/>
        <v>gb</v>
      </c>
      <c r="G132" s="25"/>
      <c r="H132" s="35" t="str">
        <f t="shared" si="65"/>
        <v>[["1","일"],["2","월"],["3","지정일자"]]</v>
      </c>
      <c r="I132" s="35" t="str">
        <f t="shared" si="68"/>
        <v>1:일 2:월 3:지정일자</v>
      </c>
      <c r="J132" s="35"/>
      <c r="K132" s="35" t="str">
        <f t="shared" si="70"/>
        <v>1=일|2=월|3=지정일자</v>
      </c>
      <c r="L132" s="2"/>
      <c r="M132" s="36">
        <v>0</v>
      </c>
      <c r="N132" s="36">
        <v>0</v>
      </c>
      <c r="O132" s="36" t="s">
        <v>31</v>
      </c>
      <c r="P132" s="36" t="s">
        <v>31</v>
      </c>
      <c r="Q132" s="35" t="str">
        <f t="shared" si="66"/>
        <v>rtil_ddln_dvcd 유통기한구분코드 [["1","일"],["2","월"],["3","지정일자"]]</v>
      </c>
      <c r="R132" s="2" t="s">
        <v>921</v>
      </c>
      <c r="S132" s="2"/>
      <c r="T132" s="2"/>
      <c r="U132" s="2"/>
      <c r="V132" s="2"/>
      <c r="W132" s="2"/>
      <c r="X132" s="2"/>
      <c r="Y132" s="2"/>
      <c r="Z132" s="2"/>
      <c r="AA132" s="2"/>
      <c r="AB132" s="28" t="s">
        <v>699</v>
      </c>
      <c r="AC132" s="25" t="s">
        <v>801</v>
      </c>
      <c r="AD132" s="28">
        <v>2</v>
      </c>
      <c r="AE132" s="25" t="s">
        <v>802</v>
      </c>
      <c r="AF132" s="28">
        <v>3</v>
      </c>
      <c r="AG132" s="25" t="s">
        <v>803</v>
      </c>
      <c r="AH132" s="28"/>
      <c r="AI132" s="25"/>
      <c r="AJ132" s="28"/>
      <c r="AK132" s="25"/>
      <c r="AL132" s="28"/>
      <c r="AM132" s="25"/>
      <c r="AN132" s="28"/>
      <c r="AO132" s="25"/>
      <c r="AP132" s="28"/>
      <c r="AQ132" s="25"/>
      <c r="AR132" s="28"/>
      <c r="AS132" s="25"/>
      <c r="AT132" s="28"/>
      <c r="AU132" s="25"/>
      <c r="AV132" s="28"/>
      <c r="AW132" s="25"/>
      <c r="AX132" s="28"/>
      <c r="AY132" s="25"/>
      <c r="AZ132" s="28"/>
      <c r="BA132" s="25"/>
      <c r="BB132" s="28"/>
      <c r="BC132" s="25"/>
      <c r="BD132" s="28"/>
      <c r="BE132" s="25"/>
      <c r="BF132" s="28"/>
      <c r="BG132" s="25"/>
      <c r="BH132" s="28"/>
      <c r="BI132" s="25"/>
      <c r="BJ132" s="28"/>
      <c r="BK132" s="25"/>
      <c r="BL132" s="28"/>
      <c r="BM132" s="25"/>
      <c r="BN132" s="28"/>
      <c r="BO132" s="25"/>
      <c r="BP132" s="28"/>
      <c r="BQ132" s="25"/>
      <c r="BR132" s="28"/>
      <c r="BS132" s="25"/>
      <c r="BT132" s="28"/>
      <c r="BU132" s="25"/>
      <c r="BV132" s="28"/>
      <c r="BW132" s="25"/>
      <c r="BX132" s="28"/>
      <c r="BY132" s="25"/>
      <c r="CA132" s="1" t="str">
        <f t="shared" si="69"/>
        <v>delete from sscd_mast where sscd_idcd = 'rtil_ddln_dvcd_KOR_common'  and site_idcd = 'common';</v>
      </c>
      <c r="CB132" s="5" t="str">
        <f>IF(E132&lt;&gt;"",CREATE_QUERY($B$1,A$2:AA$2,A132:AA132),"")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('rtil_ddln_dvcd_KOR_common', 'KOR', 'common', 'rtil_ddln_dvcd', '유통기한구분코드', 'gb', '', '[["1","일"],["2","월"],["3","지정일자"]]', '1:일 2:월 3:지정일자', '', '1=일|2=월|3=지정일자', '', '0', '0', '0', '0', 'rtil_ddln_dvcd 유통기한구분코드 [["1","일"],["2","월"],["3","지정일자"]]', ' ', '', '', '', '', '', '', '', '', '');</v>
      </c>
    </row>
    <row r="133" spans="1:80" ht="17">
      <c r="A133" s="26" t="str">
        <f t="shared" si="63"/>
        <v>move_order_stat_KOR_common</v>
      </c>
      <c r="B133" s="25" t="s">
        <v>27</v>
      </c>
      <c r="C133" s="25" t="str">
        <f t="shared" si="67"/>
        <v>common</v>
      </c>
      <c r="D133" s="25" t="s">
        <v>149</v>
      </c>
      <c r="E133" s="25" t="s">
        <v>99</v>
      </c>
      <c r="F133" s="25" t="str">
        <f t="shared" si="64"/>
        <v>gb</v>
      </c>
      <c r="G133" s="25"/>
      <c r="H133" s="35" t="str">
        <f t="shared" si="65"/>
        <v>[["0100","출고대기"],["0200","부분출고"],["0300","출고완료"]]</v>
      </c>
      <c r="I133" s="35" t="str">
        <f t="shared" si="68"/>
        <v>0100:출고대기 0200:부분출고 0300:출고완료</v>
      </c>
      <c r="J133" s="35"/>
      <c r="K133" s="35" t="str">
        <f t="shared" si="70"/>
        <v>0100=출고대기|0200=부분출고|0300=출고완료</v>
      </c>
      <c r="L133" s="2"/>
      <c r="M133" s="36">
        <v>0</v>
      </c>
      <c r="N133" s="36">
        <v>0</v>
      </c>
      <c r="O133" s="36" t="s">
        <v>31</v>
      </c>
      <c r="P133" s="36" t="s">
        <v>31</v>
      </c>
      <c r="Q133" s="35" t="str">
        <f t="shared" si="66"/>
        <v>move_order_stat 이동 요청 상태 정보 [["0100","출고대기"],["0200","부분출고"],["0300","출고완료"]]</v>
      </c>
      <c r="R133" s="2" t="s">
        <v>921</v>
      </c>
      <c r="S133" s="2"/>
      <c r="T133" s="2"/>
      <c r="U133" s="2" t="s">
        <v>32</v>
      </c>
      <c r="V133" s="2"/>
      <c r="W133" s="2"/>
      <c r="X133" s="2"/>
      <c r="Y133" s="2"/>
      <c r="Z133" s="2"/>
      <c r="AA133" s="2"/>
      <c r="AB133" s="29" t="s">
        <v>2456</v>
      </c>
      <c r="AC133" s="25" t="s">
        <v>510</v>
      </c>
      <c r="AD133" s="29" t="s">
        <v>584</v>
      </c>
      <c r="AE133" s="25" t="s">
        <v>511</v>
      </c>
      <c r="AF133" s="29" t="s">
        <v>585</v>
      </c>
      <c r="AG133" s="25" t="s">
        <v>512</v>
      </c>
      <c r="AH133" s="29"/>
      <c r="AI133" s="25"/>
      <c r="AJ133" s="29"/>
      <c r="AK133" s="25"/>
      <c r="AL133" s="29"/>
      <c r="AM133" s="25"/>
      <c r="AN133" s="29"/>
      <c r="AO133" s="25"/>
      <c r="AP133" s="29"/>
      <c r="AQ133" s="25"/>
      <c r="AR133" s="29"/>
      <c r="AS133" s="25"/>
      <c r="AT133" s="29"/>
      <c r="AU133" s="25"/>
      <c r="AV133" s="29"/>
      <c r="AW133" s="25"/>
      <c r="AX133" s="29"/>
      <c r="AY133" s="25"/>
      <c r="AZ133" s="29"/>
      <c r="BA133" s="25"/>
      <c r="BB133" s="29"/>
      <c r="BC133" s="25"/>
      <c r="BD133" s="29"/>
      <c r="BE133" s="25"/>
      <c r="BF133" s="29"/>
      <c r="BG133" s="25"/>
      <c r="BH133" s="29"/>
      <c r="BI133" s="25"/>
      <c r="BJ133" s="29"/>
      <c r="BK133" s="25"/>
      <c r="BL133" s="29"/>
      <c r="BM133" s="25"/>
      <c r="BN133" s="29"/>
      <c r="BO133" s="25"/>
      <c r="BP133" s="29"/>
      <c r="BQ133" s="25"/>
      <c r="BR133" s="29"/>
      <c r="BS133" s="25"/>
      <c r="BT133" s="29"/>
      <c r="BU133" s="25"/>
      <c r="BV133" s="29"/>
      <c r="BW133" s="25"/>
      <c r="BX133" s="29"/>
      <c r="BY133" s="25"/>
      <c r="CA133" s="1" t="str">
        <f t="shared" si="69"/>
        <v>delete from sscd_mast where sscd_idcd = 'move_order_stat_KOR_common'  and site_idcd = 'common';</v>
      </c>
      <c r="CB133" s="5" t="str">
        <f>IF(E133&lt;&gt;"",CREATE_QUERY($B$1,A$2:AA$2,A133:AA133),"")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('move_order_stat_KOR_common', 'KOR', 'common', 'move_order_stat', '이동 요청 상태 정보', 'gb', '', '[["0100","출고대기"],["0200","부분출고"],["0300","출고완료"]]', '0100:출고대기 0200:부분출고 0300:출고완료', '', '0100=출고대기|0200=부분출고|0300=출고완료', '', '0', '0', '0', '0', 'move_order_stat 이동 요청 상태 정보 [["0100","출고대기"],["0200","부분출고"],["0300","출고완료"]]', ' ', '', '', ' ', '', '', '', '', '', '');</v>
      </c>
    </row>
    <row r="134" spans="1:80" ht="17">
      <c r="A134" s="26" t="str">
        <f t="shared" si="63"/>
        <v>move_sale_stat_KOR_common</v>
      </c>
      <c r="B134" s="25" t="s">
        <v>27</v>
      </c>
      <c r="C134" s="25" t="str">
        <f t="shared" si="67"/>
        <v>common</v>
      </c>
      <c r="D134" s="25" t="s">
        <v>150</v>
      </c>
      <c r="E134" s="25" t="s">
        <v>98</v>
      </c>
      <c r="F134" s="25" t="str">
        <f t="shared" si="64"/>
        <v>gb</v>
      </c>
      <c r="G134" s="25"/>
      <c r="H134" s="35" t="str">
        <f t="shared" si="65"/>
        <v>[["0300","입고대기"],["0400","부분입고"],["0500","입고완료"]]</v>
      </c>
      <c r="I134" s="35" t="str">
        <f t="shared" si="68"/>
        <v>0300:입고대기 0400:부분입고 0500:입고완료</v>
      </c>
      <c r="J134" s="35"/>
      <c r="K134" s="35" t="str">
        <f t="shared" si="70"/>
        <v>0300=입고대기|0400=부분입고|0500=입고완료</v>
      </c>
      <c r="L134" s="2"/>
      <c r="M134" s="36">
        <v>0</v>
      </c>
      <c r="N134" s="36">
        <v>0</v>
      </c>
      <c r="O134" s="36" t="s">
        <v>31</v>
      </c>
      <c r="P134" s="36" t="s">
        <v>31</v>
      </c>
      <c r="Q134" s="35" t="str">
        <f t="shared" si="66"/>
        <v>move_sale_stat 이동 출고 상태 정보 [["0300","입고대기"],["0400","부분입고"],["0500","입고완료"]]</v>
      </c>
      <c r="R134" s="2" t="s">
        <v>921</v>
      </c>
      <c r="S134" s="2"/>
      <c r="T134" s="2"/>
      <c r="U134" s="2" t="s">
        <v>32</v>
      </c>
      <c r="V134" s="2"/>
      <c r="W134" s="2"/>
      <c r="X134" s="2"/>
      <c r="Y134" s="2"/>
      <c r="Z134" s="2"/>
      <c r="AA134" s="2"/>
      <c r="AB134" s="29" t="s">
        <v>585</v>
      </c>
      <c r="AC134" s="25" t="s">
        <v>513</v>
      </c>
      <c r="AD134" s="29" t="s">
        <v>567</v>
      </c>
      <c r="AE134" s="25" t="s">
        <v>514</v>
      </c>
      <c r="AF134" s="29" t="s">
        <v>568</v>
      </c>
      <c r="AG134" s="25" t="s">
        <v>515</v>
      </c>
      <c r="AH134" s="29"/>
      <c r="AI134" s="25"/>
      <c r="AJ134" s="29"/>
      <c r="AK134" s="25"/>
      <c r="AL134" s="29"/>
      <c r="AM134" s="25"/>
      <c r="AN134" s="29"/>
      <c r="AO134" s="25"/>
      <c r="AP134" s="29"/>
      <c r="AQ134" s="25"/>
      <c r="AR134" s="29"/>
      <c r="AS134" s="25"/>
      <c r="AT134" s="29"/>
      <c r="AU134" s="25"/>
      <c r="AV134" s="29"/>
      <c r="AW134" s="25"/>
      <c r="AX134" s="29"/>
      <c r="AY134" s="25"/>
      <c r="AZ134" s="29"/>
      <c r="BA134" s="25"/>
      <c r="BB134" s="29"/>
      <c r="BC134" s="25"/>
      <c r="BD134" s="29"/>
      <c r="BE134" s="25"/>
      <c r="BF134" s="29"/>
      <c r="BG134" s="25"/>
      <c r="BH134" s="29"/>
      <c r="BI134" s="25"/>
      <c r="BJ134" s="29"/>
      <c r="BK134" s="25"/>
      <c r="BL134" s="29"/>
      <c r="BM134" s="25"/>
      <c r="BN134" s="29"/>
      <c r="BO134" s="25"/>
      <c r="BP134" s="29"/>
      <c r="BQ134" s="25"/>
      <c r="BR134" s="29"/>
      <c r="BS134" s="25"/>
      <c r="BT134" s="29"/>
      <c r="BU134" s="25"/>
      <c r="BV134" s="29"/>
      <c r="BW134" s="25"/>
      <c r="BX134" s="29"/>
      <c r="BY134" s="25"/>
      <c r="CA134" s="1" t="str">
        <f t="shared" si="69"/>
        <v>delete from sscd_mast where sscd_idcd = 'move_sale_stat_KOR_common'  and site_idcd = 'common';</v>
      </c>
      <c r="CB134" s="5" t="str">
        <f>IF(E134&lt;&gt;"",CREATE_QUERY($B$1,A$2:AA$2,A134:AA134),"")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('move_sale_stat_KOR_common', 'KOR', 'common', 'move_sale_stat', '이동 출고 상태 정보', 'gb', '', '[["0300","입고대기"],["0400","부분입고"],["0500","입고완료"]]', '0300:입고대기 0400:부분입고 0500:입고완료', '', '0300=입고대기|0400=부분입고|0500=입고완료', '', '0', '0', '0', '0', 'move_sale_stat 이동 출고 상태 정보 [["0300","입고대기"],["0400","부분입고"],["0500","입고완료"]]', ' ', '', '', ' ', '', '', '', '', '', '');</v>
      </c>
    </row>
    <row r="135" spans="1:80" ht="17">
      <c r="A135" s="26" t="str">
        <f t="shared" si="63"/>
        <v>move_dvcd_KOR_common</v>
      </c>
      <c r="B135" s="25" t="s">
        <v>27</v>
      </c>
      <c r="C135" s="25" t="str">
        <f t="shared" si="67"/>
        <v>common</v>
      </c>
      <c r="D135" s="25" t="s">
        <v>330</v>
      </c>
      <c r="E135" s="25" t="s">
        <v>217</v>
      </c>
      <c r="F135" s="25" t="str">
        <f t="shared" si="64"/>
        <v>gb</v>
      </c>
      <c r="G135" s="25"/>
      <c r="H135" s="35" t="str">
        <f t="shared" si="65"/>
        <v>[["1000","창고이동"]]</v>
      </c>
      <c r="I135" s="35" t="str">
        <f t="shared" si="68"/>
        <v>1000:창고이동</v>
      </c>
      <c r="J135" s="35"/>
      <c r="K135" s="35" t="str">
        <f t="shared" si="70"/>
        <v>1000=창고이동</v>
      </c>
      <c r="L135" s="2"/>
      <c r="M135" s="36">
        <v>0</v>
      </c>
      <c r="N135" s="36">
        <v>0</v>
      </c>
      <c r="O135" s="36" t="s">
        <v>31</v>
      </c>
      <c r="P135" s="36" t="s">
        <v>31</v>
      </c>
      <c r="Q135" s="35" t="str">
        <f t="shared" si="66"/>
        <v>move_dvcd 이동구분코드 [["1000","창고이동"]]</v>
      </c>
      <c r="R135" s="2" t="s">
        <v>921</v>
      </c>
      <c r="S135" s="2"/>
      <c r="T135" s="2"/>
      <c r="U135" s="2"/>
      <c r="V135" s="2"/>
      <c r="W135" s="2"/>
      <c r="X135" s="2"/>
      <c r="Y135" s="2"/>
      <c r="Z135" s="2"/>
      <c r="AA135" s="2"/>
      <c r="AB135" s="28" t="s">
        <v>591</v>
      </c>
      <c r="AC135" s="25" t="s">
        <v>804</v>
      </c>
      <c r="AD135" s="28"/>
      <c r="AE135" s="25"/>
      <c r="AF135" s="28"/>
      <c r="AG135" s="25"/>
      <c r="AH135" s="28"/>
      <c r="AI135" s="25"/>
      <c r="AJ135" s="28"/>
      <c r="AK135" s="25"/>
      <c r="AL135" s="28"/>
      <c r="AM135" s="25"/>
      <c r="AN135" s="28"/>
      <c r="AO135" s="25"/>
      <c r="AP135" s="28"/>
      <c r="AQ135" s="25"/>
      <c r="AR135" s="28"/>
      <c r="AS135" s="25"/>
      <c r="AT135" s="28"/>
      <c r="AU135" s="25"/>
      <c r="AV135" s="28"/>
      <c r="AW135" s="25"/>
      <c r="AX135" s="28"/>
      <c r="AY135" s="25"/>
      <c r="AZ135" s="28"/>
      <c r="BA135" s="25"/>
      <c r="BB135" s="28"/>
      <c r="BC135" s="25"/>
      <c r="BD135" s="28"/>
      <c r="BE135" s="25"/>
      <c r="BF135" s="28"/>
      <c r="BG135" s="25"/>
      <c r="BH135" s="28"/>
      <c r="BI135" s="25"/>
      <c r="BJ135" s="28"/>
      <c r="BK135" s="25"/>
      <c r="BL135" s="28"/>
      <c r="BM135" s="25"/>
      <c r="BN135" s="28"/>
      <c r="BO135" s="25"/>
      <c r="BP135" s="28"/>
      <c r="BQ135" s="25"/>
      <c r="BR135" s="28"/>
      <c r="BS135" s="25"/>
      <c r="BT135" s="28"/>
      <c r="BU135" s="25"/>
      <c r="BV135" s="28"/>
      <c r="BW135" s="25"/>
      <c r="BX135" s="28"/>
      <c r="BY135" s="25"/>
      <c r="CA135" s="1" t="str">
        <f t="shared" si="69"/>
        <v>delete from sscd_mast where sscd_idcd = 'move_dvcd_KOR_common'  and site_idcd = 'common';</v>
      </c>
      <c r="CB135" s="5" t="str">
        <f>IF(E135&lt;&gt;"",CREATE_QUERY($B$1,A$2:AA$2,A135:AA135),"")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('move_dvcd_KOR_common', 'KOR', 'common', 'move_dvcd', '이동구분코드', 'gb', '', '[["1000","창고이동"]]', '1000:창고이동', '', '1000=창고이동', '', '0', '0', '0', '0', 'move_dvcd 이동구분코드 [["1000","창고이동"]]', ' ', '', '', '', '', '', '', '', '', '');</v>
      </c>
    </row>
    <row r="136" spans="1:80" ht="17">
      <c r="A136" s="26" t="str">
        <f t="shared" si="63"/>
        <v>dlvy_cond_dvcd_KOR_common</v>
      </c>
      <c r="B136" s="25" t="s">
        <v>27</v>
      </c>
      <c r="C136" s="25" t="str">
        <f t="shared" si="67"/>
        <v>common</v>
      </c>
      <c r="D136" s="25" t="s">
        <v>324</v>
      </c>
      <c r="E136" s="25" t="s">
        <v>211</v>
      </c>
      <c r="F136" s="25" t="str">
        <f t="shared" si="64"/>
        <v>gb</v>
      </c>
      <c r="G136" s="25"/>
      <c r="H136" s="35" t="str">
        <f t="shared" si="65"/>
        <v>[["FOB","FOB"],["CIF","CIF"],["CFR","CFR"],["FAS","FAS"],["FCA","FCA"],["CPT","CPT"],["CIP","CIP"]]</v>
      </c>
      <c r="I136" s="35" t="str">
        <f t="shared" si="68"/>
        <v>FOB:FOB CIF:CIF CFR:CFR FAS:FAS FCA:FCA CPT:CPT CIP:CIP</v>
      </c>
      <c r="J136" s="35"/>
      <c r="K136" s="35" t="str">
        <f t="shared" si="70"/>
        <v>FOB=FOB|CIF=CIF|CFR=CFR|FAS=FAS|FCA=FCA|CPT=CPT|CIP=CIP</v>
      </c>
      <c r="L136" s="2"/>
      <c r="M136" s="36">
        <v>0</v>
      </c>
      <c r="N136" s="36">
        <v>0</v>
      </c>
      <c r="O136" s="36" t="s">
        <v>31</v>
      </c>
      <c r="P136" s="36" t="s">
        <v>31</v>
      </c>
      <c r="Q136" s="35" t="str">
        <f t="shared" si="66"/>
        <v>dlvy_cond_dvcd 인도조건구분코드 [["FOB","FOB"],["CIF","CIF"],["CFR","CFR"],["FAS","FAS"],["FCA","FCA"],["CPT","CPT"],["CIP","CIP"]]</v>
      </c>
      <c r="R136" s="2" t="s">
        <v>921</v>
      </c>
      <c r="S136" s="2"/>
      <c r="T136" s="2"/>
      <c r="U136" s="2"/>
      <c r="V136" s="2"/>
      <c r="W136" s="2"/>
      <c r="X136" s="2"/>
      <c r="Y136" s="2"/>
      <c r="Z136" s="2"/>
      <c r="AA136" s="2"/>
      <c r="AB136" s="28" t="s">
        <v>805</v>
      </c>
      <c r="AC136" s="25" t="s">
        <v>805</v>
      </c>
      <c r="AD136" s="28" t="s">
        <v>806</v>
      </c>
      <c r="AE136" s="25" t="s">
        <v>806</v>
      </c>
      <c r="AF136" s="28" t="s">
        <v>807</v>
      </c>
      <c r="AG136" s="25" t="s">
        <v>807</v>
      </c>
      <c r="AH136" s="28" t="s">
        <v>808</v>
      </c>
      <c r="AI136" s="25" t="s">
        <v>809</v>
      </c>
      <c r="AJ136" s="28" t="s">
        <v>810</v>
      </c>
      <c r="AK136" s="25" t="s">
        <v>811</v>
      </c>
      <c r="AL136" s="28" t="s">
        <v>812</v>
      </c>
      <c r="AM136" s="25" t="s">
        <v>813</v>
      </c>
      <c r="AN136" s="28" t="s">
        <v>814</v>
      </c>
      <c r="AO136" s="25" t="s">
        <v>815</v>
      </c>
      <c r="AP136" s="28"/>
      <c r="AQ136" s="25"/>
      <c r="AR136" s="28"/>
      <c r="AS136" s="25"/>
      <c r="AT136" s="28"/>
      <c r="AU136" s="25"/>
      <c r="AV136" s="28"/>
      <c r="AW136" s="25"/>
      <c r="AX136" s="28"/>
      <c r="AY136" s="25"/>
      <c r="AZ136" s="28"/>
      <c r="BA136" s="25"/>
      <c r="BB136" s="28"/>
      <c r="BC136" s="25"/>
      <c r="BD136" s="28"/>
      <c r="BE136" s="25"/>
      <c r="BF136" s="28"/>
      <c r="BG136" s="25"/>
      <c r="BH136" s="28"/>
      <c r="BI136" s="25"/>
      <c r="BJ136" s="28"/>
      <c r="BK136" s="25"/>
      <c r="BL136" s="28"/>
      <c r="BM136" s="25"/>
      <c r="BN136" s="28"/>
      <c r="BO136" s="25"/>
      <c r="BP136" s="28"/>
      <c r="BQ136" s="25"/>
      <c r="BR136" s="28"/>
      <c r="BS136" s="25"/>
      <c r="BT136" s="28"/>
      <c r="BU136" s="25"/>
      <c r="BV136" s="28"/>
      <c r="BW136" s="25"/>
      <c r="BX136" s="28"/>
      <c r="BY136" s="25"/>
      <c r="CA136" s="1" t="str">
        <f t="shared" si="69"/>
        <v>delete from sscd_mast where sscd_idcd = 'dlvy_cond_dvcd_KOR_common'  and site_idcd = 'common';</v>
      </c>
      <c r="CB136" s="5" t="str">
        <f>IF(E136&lt;&gt;"",CREATE_QUERY($B$1,A$2:AA$2,A136:AA136),"")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('dlvy_cond_dvcd_KOR_common', 'KOR', 'common', 'dlvy_cond_dvcd', '인도조건구분코드', 'gb', '', '[["FOB","FOB"],["CIF","CIF"],["CFR","CFR"],["FAS","FAS"],["FCA","FCA"],["CPT","CPT"],["CIP","CIP"]]', 'FOB:FOB CIF:CIF CFR:CFR FAS:FAS FCA:FCA CPT:CPT CIP:CIP', '', 'FOB=FOB|CIF=CIF|CFR=CFR|FAS=FAS|FCA=FCA|CPT=CPT|CIP=CIP', '', '0', '0', '0', '0', 'dlvy_cond_dvcd 인도조건구분코드 [["FOB","FOB"],["CIF","CIF"],["CFR","CFR"],["FAS","FAS"],["FCA","FCA"],["CPT","CPT"],["CIP","CIP"]]', ' ', '', '', '', '', '', '', '', '', '');</v>
      </c>
    </row>
    <row r="137" spans="1:80" ht="17">
      <c r="A137" s="26" t="str">
        <f t="shared" si="63"/>
        <v>tagg_dvcd_KOR_common</v>
      </c>
      <c r="B137" s="25" t="s">
        <v>27</v>
      </c>
      <c r="C137" s="25" t="str">
        <f t="shared" si="67"/>
        <v>common</v>
      </c>
      <c r="D137" s="25" t="s">
        <v>333</v>
      </c>
      <c r="E137" s="25" t="s">
        <v>221</v>
      </c>
      <c r="F137" s="25" t="str">
        <f t="shared" si="64"/>
        <v>gb</v>
      </c>
      <c r="G137" s="25"/>
      <c r="H137" s="35" t="str">
        <f t="shared" si="65"/>
        <v>[["0",""],["1","미정","red"]]</v>
      </c>
      <c r="I137" s="35" t="str">
        <f t="shared" si="68"/>
        <v>0: 1:미정:red</v>
      </c>
      <c r="J137" s="35"/>
      <c r="K137" s="35" t="str">
        <f t="shared" si="70"/>
        <v>0=|1=미정:red</v>
      </c>
      <c r="L137" s="2"/>
      <c r="M137" s="36">
        <v>0</v>
      </c>
      <c r="N137" s="36">
        <v>0</v>
      </c>
      <c r="O137" s="36" t="s">
        <v>31</v>
      </c>
      <c r="P137" s="36" t="s">
        <v>31</v>
      </c>
      <c r="Q137" s="35" t="str">
        <f t="shared" si="66"/>
        <v>tagg_dvcd 인식표구분코드 [["0",""],["1","미정","red"]]</v>
      </c>
      <c r="R137" s="2" t="s">
        <v>921</v>
      </c>
      <c r="S137" s="2"/>
      <c r="T137" s="2"/>
      <c r="U137" s="2"/>
      <c r="V137" s="2"/>
      <c r="W137" s="2"/>
      <c r="X137" s="2"/>
      <c r="Y137" s="2"/>
      <c r="Z137" s="2"/>
      <c r="AA137" s="2"/>
      <c r="AB137" s="29" t="s">
        <v>31</v>
      </c>
      <c r="AC137" s="25"/>
      <c r="AD137" s="29">
        <v>1</v>
      </c>
      <c r="AE137" s="25" t="s">
        <v>574</v>
      </c>
      <c r="AF137" s="29"/>
      <c r="AG137" s="25"/>
      <c r="AH137" s="29"/>
      <c r="AI137" s="25"/>
      <c r="AJ137" s="29"/>
      <c r="AK137" s="25"/>
      <c r="AL137" s="29"/>
      <c r="AM137" s="25"/>
      <c r="AN137" s="29"/>
      <c r="AO137" s="25"/>
      <c r="AP137" s="29"/>
      <c r="AQ137" s="25"/>
      <c r="AR137" s="29"/>
      <c r="AS137" s="25"/>
      <c r="AT137" s="29"/>
      <c r="AU137" s="25"/>
      <c r="AV137" s="29"/>
      <c r="AW137" s="25"/>
      <c r="AX137" s="29"/>
      <c r="AY137" s="25"/>
      <c r="AZ137" s="29"/>
      <c r="BA137" s="25"/>
      <c r="BB137" s="29"/>
      <c r="BC137" s="25"/>
      <c r="BD137" s="29"/>
      <c r="BE137" s="25"/>
      <c r="BF137" s="29"/>
      <c r="BG137" s="25"/>
      <c r="BH137" s="29"/>
      <c r="BI137" s="25"/>
      <c r="BJ137" s="29"/>
      <c r="BK137" s="25"/>
      <c r="BL137" s="29"/>
      <c r="BM137" s="25"/>
      <c r="BN137" s="29"/>
      <c r="BO137" s="25"/>
      <c r="BP137" s="29"/>
      <c r="BQ137" s="25"/>
      <c r="BR137" s="29"/>
      <c r="BS137" s="25"/>
      <c r="BT137" s="29"/>
      <c r="BU137" s="25"/>
      <c r="BV137" s="29"/>
      <c r="BW137" s="25"/>
      <c r="BX137" s="29"/>
      <c r="BY137" s="25"/>
      <c r="CA137" s="1" t="str">
        <f t="shared" si="69"/>
        <v>delete from sscd_mast where sscd_idcd = 'tagg_dvcd_KOR_common'  and site_idcd = 'common';</v>
      </c>
      <c r="CB137" s="5" t="str">
        <f>IF(E137&lt;&gt;"",CREATE_QUERY($B$1,A$2:AA$2,A137:AA137),"")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('tagg_dvcd_KOR_common', 'KOR', 'common', 'tagg_dvcd', '인식표구분코드', 'gb', '', '[["0",""],["1","미정","red"]]', '0: 1:미정:red', '', '0=|1=미정:red', '', '0', '0', '0', '0', 'tagg_dvcd 인식표구분코드 [["0",""],["1","미정","red"]]', ' ', '', '', '', '', '', '', '', '', '');</v>
      </c>
    </row>
    <row r="138" spans="1:80" ht="17">
      <c r="A138" s="26" t="str">
        <f t="shared" si="63"/>
        <v>recv_date_dvcd_KOR_common</v>
      </c>
      <c r="B138" s="25" t="s">
        <v>27</v>
      </c>
      <c r="C138" s="25" t="str">
        <f t="shared" si="67"/>
        <v>common</v>
      </c>
      <c r="D138" s="25" t="s">
        <v>265</v>
      </c>
      <c r="E138" s="25" t="s">
        <v>67</v>
      </c>
      <c r="F138" s="25" t="str">
        <f t="shared" si="64"/>
        <v>gb</v>
      </c>
      <c r="G138" s="25"/>
      <c r="H138" s="35" t="str">
        <f t="shared" si="65"/>
        <v>[["1","입고일자"],["2","전표일자"],["3","매입확정일"]]</v>
      </c>
      <c r="I138" s="35" t="str">
        <f t="shared" si="68"/>
        <v>1:입고일자 2:전표일자 3:매입확정일</v>
      </c>
      <c r="J138" s="35"/>
      <c r="K138" s="35" t="str">
        <f t="shared" si="70"/>
        <v>1=입고일자|2=전표일자|3=매입확정일</v>
      </c>
      <c r="L138" s="2"/>
      <c r="M138" s="36">
        <v>0</v>
      </c>
      <c r="N138" s="36">
        <v>0</v>
      </c>
      <c r="O138" s="36" t="s">
        <v>31</v>
      </c>
      <c r="P138" s="36" t="s">
        <v>31</v>
      </c>
      <c r="Q138" s="35" t="str">
        <f t="shared" si="66"/>
        <v>recv_date_dvcd 일고일자구분 [["1","입고일자"],["2","전표일자"],["3","매입확정일"]]</v>
      </c>
      <c r="R138" s="2" t="s">
        <v>921</v>
      </c>
      <c r="S138" s="2"/>
      <c r="T138" s="2"/>
      <c r="U138" s="2" t="s">
        <v>32</v>
      </c>
      <c r="V138" s="2"/>
      <c r="W138" s="2"/>
      <c r="X138" s="2"/>
      <c r="Y138" s="2"/>
      <c r="Z138" s="2"/>
      <c r="AA138" s="2"/>
      <c r="AB138" s="29" t="s">
        <v>370</v>
      </c>
      <c r="AC138" s="25" t="s">
        <v>220</v>
      </c>
      <c r="AD138" s="29">
        <v>2</v>
      </c>
      <c r="AE138" s="25" t="s">
        <v>516</v>
      </c>
      <c r="AF138" s="29">
        <v>3</v>
      </c>
      <c r="AG138" s="25" t="s">
        <v>517</v>
      </c>
      <c r="AH138" s="29"/>
      <c r="AI138" s="25"/>
      <c r="AJ138" s="29"/>
      <c r="AK138" s="25"/>
      <c r="AL138" s="29"/>
      <c r="AM138" s="25"/>
      <c r="AN138" s="29"/>
      <c r="AO138" s="25"/>
      <c r="AP138" s="29"/>
      <c r="AQ138" s="25"/>
      <c r="AR138" s="29"/>
      <c r="AS138" s="25"/>
      <c r="AT138" s="29"/>
      <c r="AU138" s="25"/>
      <c r="AV138" s="29"/>
      <c r="AW138" s="25"/>
      <c r="AX138" s="29"/>
      <c r="AY138" s="25"/>
      <c r="AZ138" s="29"/>
      <c r="BA138" s="25"/>
      <c r="BB138" s="29"/>
      <c r="BC138" s="25"/>
      <c r="BD138" s="29"/>
      <c r="BE138" s="25"/>
      <c r="BF138" s="29"/>
      <c r="BG138" s="25"/>
      <c r="BH138" s="29"/>
      <c r="BI138" s="25"/>
      <c r="BJ138" s="29"/>
      <c r="BK138" s="25"/>
      <c r="BL138" s="29"/>
      <c r="BM138" s="25"/>
      <c r="BN138" s="29"/>
      <c r="BO138" s="25"/>
      <c r="BP138" s="29"/>
      <c r="BQ138" s="25"/>
      <c r="BR138" s="29"/>
      <c r="BS138" s="25"/>
      <c r="BT138" s="29"/>
      <c r="BU138" s="25"/>
      <c r="BV138" s="29"/>
      <c r="BW138" s="25"/>
      <c r="BX138" s="29"/>
      <c r="BY138" s="25"/>
      <c r="CA138" s="1" t="str">
        <f t="shared" si="69"/>
        <v>delete from sscd_mast where sscd_idcd = 'recv_date_dvcd_KOR_common'  and site_idcd = 'common';</v>
      </c>
      <c r="CB138" s="5" t="str">
        <f>IF(E138&lt;&gt;"",CREATE_QUERY($B$1,A$2:AA$2,A138:AA138),"")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('recv_date_dvcd_KOR_common', 'KOR', 'common', 'recv_date_dvcd', '일고일자구분', 'gb', '', '[["1","입고일자"],["2","전표일자"],["3","매입확정일"]]', '1:입고일자 2:전표일자 3:매입확정일', '', '1=입고일자|2=전표일자|3=매입확정일', '', '0', '0', '0', '0', 'recv_date_dvcd 일고일자구분 [["1","입고일자"],["2","전표일자"],["3","매입확정일"]]', ' ', '', '', ' ', '', '', '', '', '', '');</v>
      </c>
    </row>
    <row r="139" spans="1:80" ht="17">
      <c r="A139" s="26" t="str">
        <f t="shared" si="63"/>
        <v>recv_stat_KOR_common</v>
      </c>
      <c r="B139" s="25" t="s">
        <v>27</v>
      </c>
      <c r="C139" s="25" t="str">
        <f t="shared" si="67"/>
        <v>common</v>
      </c>
      <c r="D139" s="25" t="s">
        <v>266</v>
      </c>
      <c r="E139" s="25" t="s">
        <v>38</v>
      </c>
      <c r="F139" s="25" t="str">
        <f t="shared" si="64"/>
        <v>gb</v>
      </c>
      <c r="G139" s="25"/>
      <c r="H139" s="35" t="str">
        <f t="shared" ref="H139:H155" si="71">"[["""&amp;
SUBSTITUTE(SUBSTITUTE(I139,":",""",""")," ","""],[""")
&amp;"""]]"</f>
        <v>[["1000","검사대기"],["2000","검사완료"],["3000","입고완료"],["4000","반품대기"]]</v>
      </c>
      <c r="I139" s="35" t="str">
        <f t="shared" si="68"/>
        <v>1000:검사대기 2000:검사완료 3000:입고완료 4000:반품대기</v>
      </c>
      <c r="J139" s="35"/>
      <c r="K139" s="35" t="str">
        <f t="shared" si="70"/>
        <v>1000=검사대기|2000=검사완료|3000=입고완료|4000=반품대기</v>
      </c>
      <c r="L139" s="2"/>
      <c r="M139" s="36">
        <v>0</v>
      </c>
      <c r="N139" s="36">
        <v>0</v>
      </c>
      <c r="O139" s="36" t="s">
        <v>31</v>
      </c>
      <c r="P139" s="36" t="s">
        <v>31</v>
      </c>
      <c r="Q139" s="35" t="str">
        <f t="shared" ref="Q139:Q167" si="72">IF(D139="","",D139&amp;" "&amp;E139&amp;" "&amp;H139)</f>
        <v>recv_stat 입고 상태 정보 [["1000","검사대기"],["2000","검사완료"],["3000","입고완료"],["4000","반품대기"]]</v>
      </c>
      <c r="R139" s="2" t="s">
        <v>921</v>
      </c>
      <c r="S139" s="2"/>
      <c r="T139" s="2"/>
      <c r="U139" s="2" t="s">
        <v>32</v>
      </c>
      <c r="V139" s="2"/>
      <c r="W139" s="2"/>
      <c r="X139" s="2"/>
      <c r="Y139" s="2"/>
      <c r="Z139" s="2"/>
      <c r="AA139" s="2"/>
      <c r="AB139" s="28" t="s">
        <v>591</v>
      </c>
      <c r="AC139" s="25" t="s">
        <v>816</v>
      </c>
      <c r="AD139" s="28" t="s">
        <v>592</v>
      </c>
      <c r="AE139" s="25" t="s">
        <v>817</v>
      </c>
      <c r="AF139" s="28" t="s">
        <v>600</v>
      </c>
      <c r="AG139" s="25" t="s">
        <v>818</v>
      </c>
      <c r="AH139" s="28" t="s">
        <v>601</v>
      </c>
      <c r="AI139" s="25" t="s">
        <v>819</v>
      </c>
      <c r="AJ139" s="28"/>
      <c r="AK139" s="25"/>
      <c r="AL139" s="28"/>
      <c r="AM139" s="25"/>
      <c r="AN139" s="28"/>
      <c r="AO139" s="25"/>
      <c r="AP139" s="28"/>
      <c r="AQ139" s="25"/>
      <c r="AR139" s="28"/>
      <c r="AS139" s="25"/>
      <c r="AT139" s="28"/>
      <c r="AU139" s="25"/>
      <c r="AV139" s="28"/>
      <c r="AW139" s="25"/>
      <c r="AX139" s="28"/>
      <c r="AY139" s="25"/>
      <c r="AZ139" s="28"/>
      <c r="BA139" s="25"/>
      <c r="BB139" s="28"/>
      <c r="BC139" s="25"/>
      <c r="BD139" s="28"/>
      <c r="BE139" s="25"/>
      <c r="BF139" s="28"/>
      <c r="BG139" s="25"/>
      <c r="BH139" s="28"/>
      <c r="BI139" s="25"/>
      <c r="BJ139" s="28"/>
      <c r="BK139" s="25"/>
      <c r="BL139" s="28"/>
      <c r="BM139" s="25"/>
      <c r="BN139" s="28"/>
      <c r="BO139" s="25"/>
      <c r="BP139" s="28"/>
      <c r="BQ139" s="25"/>
      <c r="BR139" s="28"/>
      <c r="BS139" s="25"/>
      <c r="BT139" s="28"/>
      <c r="BU139" s="25"/>
      <c r="BV139" s="28"/>
      <c r="BW139" s="25"/>
      <c r="BX139" s="28"/>
      <c r="BY139" s="25"/>
      <c r="CA139" s="1" t="str">
        <f t="shared" si="69"/>
        <v>delete from sscd_mast where sscd_idcd = 'recv_stat_KOR_common'  and site_idcd = 'common';</v>
      </c>
      <c r="CB139" s="5" t="str">
        <f>IF(E139&lt;&gt;"",CREATE_QUERY($B$1,A$2:AA$2,A139:AA139),"")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('recv_stat_KOR_common', 'KOR', 'common', 'recv_stat', '입고 상태 정보', 'gb', '', '[["1000","검사대기"],["2000","검사완료"],["3000","입고완료"],["4000","반품대기"]]', '1000:검사대기 2000:검사완료 3000:입고완료 4000:반품대기', '', '1000=검사대기|2000=검사완료|3000=입고완료|4000=반품대기', '', '0', '0', '0', '0', 'recv_stat 입고 상태 정보 [["1000","검사대기"],["2000","검사완료"],["3000","입고완료"],["4000","반품대기"]]', ' ', '', '', ' ', '', '', '', '', '', '');</v>
      </c>
    </row>
    <row r="140" spans="1:80" ht="17">
      <c r="A140" s="26" t="str">
        <f t="shared" ca="1" si="63"/>
        <v>cstm_dvcd_KOR_common</v>
      </c>
      <c r="B140" s="25" t="str">
        <f ca="1">IF(E140="","",OFFSET(B140,-1,0))</f>
        <v>KOR</v>
      </c>
      <c r="C140" s="25" t="str">
        <f t="shared" si="67"/>
        <v>common</v>
      </c>
      <c r="D140" s="25" t="s">
        <v>345</v>
      </c>
      <c r="E140" s="25" t="s">
        <v>2370</v>
      </c>
      <c r="F140" s="25" t="str">
        <f t="shared" ca="1" si="64"/>
        <v>gb</v>
      </c>
      <c r="G140" s="25"/>
      <c r="H140" s="35" t="str">
        <f t="shared" si="71"/>
        <v>[["1","생산공정"],["2","사내일반부서"],["3","외주거래처"],["4","구매거래처"],["5","판매거래처"],["9","기타"]]</v>
      </c>
      <c r="I140" s="35" t="str">
        <f t="shared" si="68"/>
        <v>1:생산공정 2:사내일반부서 3:외주거래처 4:구매거래처 5:판매거래처 9:기타</v>
      </c>
      <c r="J140" s="35"/>
      <c r="K140" s="35" t="str">
        <f t="shared" si="70"/>
        <v>1=생산공정|2=사내일반부서|3=외주거래처|4=구매거래처|5=판매거래처|9=기타</v>
      </c>
      <c r="L140" s="2"/>
      <c r="M140" s="36" t="str">
        <f ca="1">IF(A140="","","0")</f>
        <v>0</v>
      </c>
      <c r="N140" s="36" t="str">
        <f ca="1">IF(B140="","","0")</f>
        <v>0</v>
      </c>
      <c r="O140" s="36" t="str">
        <f>IF(C140="","","0")</f>
        <v>0</v>
      </c>
      <c r="P140" s="36" t="str">
        <f>IF(D140="","","0")</f>
        <v>0</v>
      </c>
      <c r="Q140" s="35" t="str">
        <f t="shared" si="72"/>
        <v>cstm_dvcd 거래처구분코드 [["1","생산공정"],["2","사내일반부서"],["3","외주거래처"],["4","구매거래처"],["5","판매거래처"],["9","기타"]]</v>
      </c>
      <c r="R140" s="2" t="s">
        <v>921</v>
      </c>
      <c r="S140" s="2"/>
      <c r="T140" s="2"/>
      <c r="U140" s="2"/>
      <c r="V140" s="2"/>
      <c r="W140" s="2"/>
      <c r="X140" s="2"/>
      <c r="Y140" s="2"/>
      <c r="Z140" s="2"/>
      <c r="AA140" s="2"/>
      <c r="AB140" s="31" t="s">
        <v>684</v>
      </c>
      <c r="AC140" s="25" t="s">
        <v>925</v>
      </c>
      <c r="AD140" s="31" t="s">
        <v>685</v>
      </c>
      <c r="AE140" s="25" t="s">
        <v>926</v>
      </c>
      <c r="AF140" s="31" t="s">
        <v>687</v>
      </c>
      <c r="AG140" s="25" t="s">
        <v>927</v>
      </c>
      <c r="AH140" s="31" t="s">
        <v>688</v>
      </c>
      <c r="AI140" s="25" t="s">
        <v>928</v>
      </c>
      <c r="AJ140" s="31" t="s">
        <v>576</v>
      </c>
      <c r="AK140" s="25" t="s">
        <v>929</v>
      </c>
      <c r="AL140" s="31" t="s">
        <v>570</v>
      </c>
      <c r="AM140" s="25" t="s">
        <v>612</v>
      </c>
      <c r="AN140" s="31"/>
      <c r="AO140" s="25"/>
      <c r="AP140" s="31"/>
      <c r="AQ140" s="25"/>
      <c r="AR140" s="31"/>
      <c r="AS140" s="25"/>
      <c r="AT140" s="31"/>
      <c r="AU140" s="25"/>
      <c r="AV140" s="31"/>
      <c r="AW140" s="25"/>
      <c r="AX140" s="31"/>
      <c r="AY140" s="25"/>
      <c r="AZ140" s="31"/>
      <c r="BA140" s="25"/>
      <c r="BB140" s="31"/>
      <c r="BC140" s="25"/>
      <c r="BD140" s="31"/>
      <c r="BE140" s="25"/>
      <c r="BF140" s="31"/>
      <c r="BG140" s="25"/>
      <c r="BH140" s="31"/>
      <c r="BI140" s="25"/>
      <c r="BJ140" s="31"/>
      <c r="BK140" s="25"/>
      <c r="BL140" s="31"/>
      <c r="BM140" s="25"/>
      <c r="BN140" s="31"/>
      <c r="BO140" s="25"/>
      <c r="BP140" s="31"/>
      <c r="BQ140" s="25"/>
      <c r="BR140" s="31"/>
      <c r="BS140" s="25"/>
      <c r="BT140" s="31"/>
      <c r="BU140" s="25"/>
      <c r="BV140" s="31"/>
      <c r="BW140" s="25"/>
      <c r="BX140" s="31"/>
      <c r="BY140" s="25"/>
      <c r="CA140" s="1" t="str">
        <f t="shared" ca="1" si="69"/>
        <v>delete from sscd_mast where sscd_idcd = 'cstm_dvcd_KOR_common'  and site_idcd = 'common';</v>
      </c>
      <c r="CB140" s="5" t="str">
        <f ca="1">IF(E140&lt;&gt;"",CREATE_QUERY($B$1,A$2:AA$2,A140:AA140),"")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('cstm_dvcd_KOR_common', 'KOR', 'common', 'cstm_dvcd', '거래처구분코드', 'gb', '', '[["1","생산공정"],["2","사내일반부서"],["3","외주거래처"],["4","구매거래처"],["5","판매거래처"],["9","기타"]]', '1:생산공정 2:사내일반부서 3:외주거래처 4:구매거래처 5:판매거래처 9:기타', '', '1=생산공정|2=사내일반부서|3=외주거래처|4=구매거래처|5=판매거래처|9=기타', '', '0', '0', '0', '0', 'cstm_dvcd 거래처구분코드 [["1","생산공정"],["2","사내일반부서"],["3","외주거래처"],["4","구매거래처"],["5","판매거래처"],["9","기타"]]', ' ', '', '', '', '', '', '', '', '', '');</v>
      </c>
    </row>
    <row r="141" spans="1:80" ht="17">
      <c r="A141" s="26" t="str">
        <f t="shared" ref="A141:A194" si="73">IF(D141="","",D141&amp;"_"&amp;B141&amp;"_"&amp;C141)</f>
        <v>fund_dvcd_KOR_common</v>
      </c>
      <c r="B141" s="25" t="s">
        <v>27</v>
      </c>
      <c r="C141" s="25" t="str">
        <f t="shared" si="67"/>
        <v>common</v>
      </c>
      <c r="D141" s="25" t="s">
        <v>335</v>
      </c>
      <c r="E141" s="25" t="s">
        <v>223</v>
      </c>
      <c r="F141" s="25" t="str">
        <f t="shared" ref="F141:F194" si="74">IF(A141="","","gb")</f>
        <v>gb</v>
      </c>
      <c r="G141" s="25"/>
      <c r="H141" s="35" t="str">
        <f t="shared" si="71"/>
        <v>[["0",""],["1","미정","red"]]</v>
      </c>
      <c r="I141" s="35" t="str">
        <f t="shared" si="68"/>
        <v>0: 1:미정:red</v>
      </c>
      <c r="J141" s="35"/>
      <c r="K141" s="35" t="str">
        <f t="shared" si="70"/>
        <v>0=|1=미정:red</v>
      </c>
      <c r="L141" s="2"/>
      <c r="M141" s="36">
        <v>0</v>
      </c>
      <c r="N141" s="36">
        <v>0</v>
      </c>
      <c r="O141" s="36" t="s">
        <v>31</v>
      </c>
      <c r="P141" s="36" t="s">
        <v>31</v>
      </c>
      <c r="Q141" s="35" t="str">
        <f t="shared" si="72"/>
        <v>fund_dvcd 자금구분코드 [["0",""],["1","미정","red"]]</v>
      </c>
      <c r="R141" s="2" t="s">
        <v>921</v>
      </c>
      <c r="S141" s="2"/>
      <c r="T141" s="2"/>
      <c r="U141" s="2"/>
      <c r="V141" s="2"/>
      <c r="W141" s="2"/>
      <c r="X141" s="2"/>
      <c r="Y141" s="2"/>
      <c r="Z141" s="2"/>
      <c r="AA141" s="2"/>
      <c r="AB141" s="29" t="s">
        <v>31</v>
      </c>
      <c r="AC141" s="25"/>
      <c r="AD141" s="29">
        <v>1</v>
      </c>
      <c r="AE141" s="25" t="s">
        <v>574</v>
      </c>
      <c r="AF141" s="29"/>
      <c r="AG141" s="25"/>
      <c r="AH141" s="29"/>
      <c r="AI141" s="25"/>
      <c r="AJ141" s="29"/>
      <c r="AK141" s="25"/>
      <c r="AL141" s="29"/>
      <c r="AM141" s="25"/>
      <c r="AN141" s="29"/>
      <c r="AO141" s="25"/>
      <c r="AP141" s="29"/>
      <c r="AQ141" s="25"/>
      <c r="AR141" s="29"/>
      <c r="AS141" s="25"/>
      <c r="AT141" s="29"/>
      <c r="AU141" s="25"/>
      <c r="AV141" s="29"/>
      <c r="AW141" s="25"/>
      <c r="AX141" s="29"/>
      <c r="AY141" s="25"/>
      <c r="AZ141" s="29"/>
      <c r="BA141" s="25"/>
      <c r="BB141" s="29"/>
      <c r="BC141" s="25"/>
      <c r="BD141" s="29"/>
      <c r="BE141" s="25"/>
      <c r="BF141" s="29"/>
      <c r="BG141" s="25"/>
      <c r="BH141" s="29"/>
      <c r="BI141" s="25"/>
      <c r="BJ141" s="29"/>
      <c r="BK141" s="25"/>
      <c r="BL141" s="29"/>
      <c r="BM141" s="25"/>
      <c r="BN141" s="29"/>
      <c r="BO141" s="25"/>
      <c r="BP141" s="29"/>
      <c r="BQ141" s="25"/>
      <c r="BR141" s="29"/>
      <c r="BS141" s="25"/>
      <c r="BT141" s="29"/>
      <c r="BU141" s="25"/>
      <c r="BV141" s="29"/>
      <c r="BW141" s="25"/>
      <c r="BX141" s="29"/>
      <c r="BY141" s="25"/>
      <c r="CA141" s="1" t="str">
        <f t="shared" si="69"/>
        <v>delete from sscd_mast where sscd_idcd = 'fund_dvcd_KOR_common'  and site_idcd = 'common';</v>
      </c>
      <c r="CB141" s="5" t="str">
        <f>IF(E141&lt;&gt;"",CREATE_QUERY($B$1,A$2:AA$2,A141:AA141),"")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('fund_dvcd_KOR_common', 'KOR', 'common', 'fund_dvcd', '자금구분코드', 'gb', '', '[["0",""],["1","미정","red"]]', '0: 1:미정:red', '', '0=|1=미정:red', '', '0', '0', '0', '0', 'fund_dvcd 자금구분코드 [["0",""],["1","미정","red"]]', ' ', '', '', '', '', '', '', '', '', '');</v>
      </c>
    </row>
    <row r="142" spans="1:80" ht="17">
      <c r="A142" s="26" t="str">
        <f t="shared" si="73"/>
        <v>aset_clss_dvcd_KOR_common</v>
      </c>
      <c r="B142" s="25" t="s">
        <v>27</v>
      </c>
      <c r="C142" s="25" t="str">
        <f t="shared" si="67"/>
        <v>common</v>
      </c>
      <c r="D142" s="25" t="s">
        <v>284</v>
      </c>
      <c r="E142" s="25" t="s">
        <v>170</v>
      </c>
      <c r="F142" s="25" t="str">
        <f t="shared" si="74"/>
        <v>gb</v>
      </c>
      <c r="G142" s="25"/>
      <c r="H142" s="35" t="str">
        <f t="shared" si="71"/>
        <v>[["1000","원재료"],["1002","부재료"],["1003","소모품"],["2001","재공품"],["2002","반제품"],["3000","제품"],["4000","상품"],["5000","집기비품"],["6000","공구기구"]]</v>
      </c>
      <c r="I142" s="35" t="str">
        <f t="shared" si="68"/>
        <v>1000:원재료 1002:부재료 1003:소모품 2001:재공품 2002:반제품 3000:제품 4000:상품 5000:집기비품 6000:공구기구</v>
      </c>
      <c r="J142" s="35"/>
      <c r="K142" s="35" t="str">
        <f t="shared" si="70"/>
        <v>1000=원재료|1002=부재료|1003=소모품|2001=재공품|2002=반제품|3000=제품|4000=상품|5000=집기비품|6000=공구기구</v>
      </c>
      <c r="L142" s="2"/>
      <c r="M142" s="36">
        <v>0</v>
      </c>
      <c r="N142" s="36">
        <v>0</v>
      </c>
      <c r="O142" s="36" t="s">
        <v>31</v>
      </c>
      <c r="P142" s="36" t="s">
        <v>31</v>
      </c>
      <c r="Q142" s="35" t="str">
        <f t="shared" si="72"/>
        <v>aset_clss_dvcd 자산분류구분코드 [["1000","원재료"],["1002","부재료"],["1003","소모품"],["2001","재공품"],["2002","반제품"],["3000","제품"],["4000","상품"],["5000","집기비품"],["6000","공구기구"]]</v>
      </c>
      <c r="R142" s="2" t="s">
        <v>921</v>
      </c>
      <c r="S142" s="2"/>
      <c r="T142" s="2"/>
      <c r="U142" s="2"/>
      <c r="V142" s="2"/>
      <c r="W142" s="2"/>
      <c r="X142" s="2"/>
      <c r="Y142" s="2"/>
      <c r="Z142" s="2"/>
      <c r="AA142" s="2"/>
      <c r="AB142" s="29" t="s">
        <v>412</v>
      </c>
      <c r="AC142" s="25" t="s">
        <v>413</v>
      </c>
      <c r="AD142" s="28" t="s">
        <v>655</v>
      </c>
      <c r="AE142" s="25" t="s">
        <v>627</v>
      </c>
      <c r="AF142" s="28" t="s">
        <v>656</v>
      </c>
      <c r="AG142" s="25" t="s">
        <v>1453</v>
      </c>
      <c r="AH142" s="28" t="s">
        <v>692</v>
      </c>
      <c r="AI142" s="25" t="s">
        <v>2358</v>
      </c>
      <c r="AJ142" s="28" t="s">
        <v>693</v>
      </c>
      <c r="AK142" s="25" t="s">
        <v>1458</v>
      </c>
      <c r="AL142" s="28" t="s">
        <v>600</v>
      </c>
      <c r="AM142" s="25" t="s">
        <v>625</v>
      </c>
      <c r="AN142" s="28" t="s">
        <v>601</v>
      </c>
      <c r="AO142" s="25" t="s">
        <v>1456</v>
      </c>
      <c r="AP142" s="28" t="s">
        <v>626</v>
      </c>
      <c r="AQ142" s="25" t="s">
        <v>1457</v>
      </c>
      <c r="AR142" s="28" t="s">
        <v>628</v>
      </c>
      <c r="AS142" s="25" t="s">
        <v>1459</v>
      </c>
      <c r="AT142" s="29"/>
      <c r="AU142" s="25"/>
      <c r="AV142" s="29"/>
      <c r="AW142" s="25"/>
      <c r="AX142" s="29"/>
      <c r="AY142" s="25"/>
      <c r="AZ142" s="29"/>
      <c r="BA142" s="25"/>
      <c r="BB142" s="29"/>
      <c r="BC142" s="25"/>
      <c r="BD142" s="29"/>
      <c r="BE142" s="25"/>
      <c r="BF142" s="29"/>
      <c r="BG142" s="25"/>
      <c r="BH142" s="29"/>
      <c r="BI142" s="25"/>
      <c r="BJ142" s="29"/>
      <c r="BK142" s="25"/>
      <c r="BL142" s="29"/>
      <c r="BM142" s="25"/>
      <c r="BN142" s="29"/>
      <c r="BO142" s="25"/>
      <c r="BP142" s="29"/>
      <c r="BQ142" s="25"/>
      <c r="BR142" s="29"/>
      <c r="BS142" s="25"/>
      <c r="BT142" s="29"/>
      <c r="BU142" s="25"/>
      <c r="BV142" s="29"/>
      <c r="BW142" s="25"/>
      <c r="BX142" s="29"/>
      <c r="BY142" s="25"/>
      <c r="CA142" s="1" t="str">
        <f t="shared" si="69"/>
        <v>delete from sscd_mast where sscd_idcd = 'aset_clss_dvcd_KOR_common'  and site_idcd = 'common';</v>
      </c>
      <c r="CB142" s="5" t="str">
        <f>IF(E142&lt;&gt;"",CREATE_QUERY($B$1,A$2:AA$2,A142:AA142),"")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('aset_clss_dvcd_KOR_common', 'KOR', 'common', 'aset_clss_dvcd', '자산분류구분코드', 'gb', '', '[["1000","원재료"],["1002","부재료"],["1003","소모품"],["2001","재공품"],["2002","반제품"],["3000","제품"],["4000","상품"],["5000","집기비품"],["6000","공구기구"]]', '1000:원재료 1002:부재료 1003:소모품 2001:재공품 2002:반제품 3000:제품 4000:상품 5000:집기비품 6000:공구기구', '', '1000=원재료|1002=부재료|1003=소모품|2001=재공품|2002=반제품|3000=제품|4000=상품|5000=집기비품|6000=공구기구', '', '0', '0', '0', '0', 'aset_clss_dvcd 자산분류구분코드 [["1000","원재료"],["1002","부재료"],["1003","소모품"],["2001","재공품"],["2002","반제품"],["3000","제품"],["4000","상품"],["5000","집기비품"],["6000","공구기구"]]', ' ', '', '', '', '', '', '', '', '', '');</v>
      </c>
    </row>
    <row r="143" spans="1:80" ht="17">
      <c r="A143" s="26" t="str">
        <f t="shared" si="73"/>
        <v>work_time_kind_dvcd_KOR_common</v>
      </c>
      <c r="B143" s="25" t="s">
        <v>27</v>
      </c>
      <c r="C143" s="25" t="str">
        <f t="shared" si="67"/>
        <v>common</v>
      </c>
      <c r="D143" s="25" t="s">
        <v>338</v>
      </c>
      <c r="E143" s="25" t="s">
        <v>226</v>
      </c>
      <c r="F143" s="25" t="str">
        <f t="shared" si="74"/>
        <v>gb</v>
      </c>
      <c r="G143" s="25"/>
      <c r="H143" s="35" t="str">
        <f t="shared" si="71"/>
        <v>[["1","분"],["2","시"],["3","일"],["4","주"]]</v>
      </c>
      <c r="I143" s="35" t="str">
        <f t="shared" si="68"/>
        <v>1:분 2:시 3:일 4:주</v>
      </c>
      <c r="J143" s="35"/>
      <c r="K143" s="35" t="str">
        <f t="shared" si="70"/>
        <v>1=분|2=시|3=일|4=주</v>
      </c>
      <c r="L143" s="2"/>
      <c r="M143" s="36">
        <v>0</v>
      </c>
      <c r="N143" s="36">
        <v>0</v>
      </c>
      <c r="O143" s="36" t="s">
        <v>31</v>
      </c>
      <c r="P143" s="36" t="s">
        <v>31</v>
      </c>
      <c r="Q143" s="35" t="str">
        <f t="shared" si="72"/>
        <v>work_time_kind_dvcd 작업시간종류구분코드 [["1","분"],["2","시"],["3","일"],["4","주"]]</v>
      </c>
      <c r="R143" s="2" t="s">
        <v>921</v>
      </c>
      <c r="S143" s="2"/>
      <c r="T143" s="2"/>
      <c r="U143" s="2"/>
      <c r="V143" s="2"/>
      <c r="W143" s="2"/>
      <c r="X143" s="2"/>
      <c r="Y143" s="2"/>
      <c r="Z143" s="2"/>
      <c r="AA143" s="2"/>
      <c r="AB143" s="28" t="s">
        <v>684</v>
      </c>
      <c r="AC143" s="25" t="s">
        <v>820</v>
      </c>
      <c r="AD143" s="28" t="s">
        <v>685</v>
      </c>
      <c r="AE143" s="25" t="s">
        <v>821</v>
      </c>
      <c r="AF143" s="28">
        <v>3</v>
      </c>
      <c r="AG143" s="25" t="s">
        <v>822</v>
      </c>
      <c r="AH143" s="28">
        <v>4</v>
      </c>
      <c r="AI143" s="25" t="s">
        <v>823</v>
      </c>
      <c r="AJ143" s="28"/>
      <c r="AK143" s="25"/>
      <c r="AL143" s="28"/>
      <c r="AM143" s="25"/>
      <c r="AN143" s="28"/>
      <c r="AO143" s="25"/>
      <c r="AP143" s="28"/>
      <c r="AQ143" s="25"/>
      <c r="AR143" s="28"/>
      <c r="AS143" s="25"/>
      <c r="AT143" s="28"/>
      <c r="AU143" s="25"/>
      <c r="AV143" s="28"/>
      <c r="AW143" s="25"/>
      <c r="AX143" s="28"/>
      <c r="AY143" s="25"/>
      <c r="AZ143" s="28"/>
      <c r="BA143" s="25"/>
      <c r="BB143" s="28"/>
      <c r="BC143" s="25"/>
      <c r="BD143" s="28"/>
      <c r="BE143" s="25"/>
      <c r="BF143" s="28"/>
      <c r="BG143" s="25"/>
      <c r="BH143" s="28"/>
      <c r="BI143" s="25"/>
      <c r="BJ143" s="28"/>
      <c r="BK143" s="25"/>
      <c r="BL143" s="28"/>
      <c r="BM143" s="25"/>
      <c r="BN143" s="28"/>
      <c r="BO143" s="25"/>
      <c r="BP143" s="28"/>
      <c r="BQ143" s="25"/>
      <c r="BR143" s="28"/>
      <c r="BS143" s="25"/>
      <c r="BT143" s="28"/>
      <c r="BU143" s="25"/>
      <c r="BV143" s="28"/>
      <c r="BW143" s="25"/>
      <c r="BX143" s="28"/>
      <c r="BY143" s="25"/>
      <c r="CA143" s="1" t="str">
        <f t="shared" si="69"/>
        <v>delete from sscd_mast where sscd_idcd = 'work_time_kind_dvcd_KOR_common'  and site_idcd = 'common';</v>
      </c>
      <c r="CB143" s="5" t="str">
        <f>IF(E143&lt;&gt;"",CREATE_QUERY($B$1,A$2:AA$2,A143:AA143),"")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('work_time_kind_dvcd_KOR_common', 'KOR', 'common', 'work_time_kind_dvcd', '작업시간종류구분코드', 'gb', '', '[["1","분"],["2","시"],["3","일"],["4","주"]]', '1:분 2:시 3:일 4:주', '', '1=분|2=시|3=일|4=주', '', '0', '0', '0', '0', 'work_time_kind_dvcd 작업시간종류구분코드 [["1","분"],["2","시"],["3","일"],["4","주"]]', ' ', '', '', '', '', '', '', '', '', '');</v>
      </c>
    </row>
    <row r="144" spans="1:80" ht="17">
      <c r="A144" s="26" t="str">
        <f t="shared" si="73"/>
        <v>work_pcnt_dvcd_KOR_common</v>
      </c>
      <c r="B144" s="25" t="s">
        <v>27</v>
      </c>
      <c r="C144" s="25" t="str">
        <f t="shared" si="67"/>
        <v>common</v>
      </c>
      <c r="D144" s="25" t="s">
        <v>340</v>
      </c>
      <c r="E144" s="25" t="s">
        <v>228</v>
      </c>
      <c r="F144" s="25" t="str">
        <f t="shared" si="74"/>
        <v>gb</v>
      </c>
      <c r="G144" s="25"/>
      <c r="H144" s="35" t="str">
        <f t="shared" si="71"/>
        <v>[["1","숙련공"],["2","준숙련공"],["3","중급기술"],["4","작업보조"],["5","연수"]]</v>
      </c>
      <c r="I144" s="35" t="str">
        <f t="shared" si="68"/>
        <v>1:숙련공 2:준숙련공 3:중급기술 4:작업보조 5:연수</v>
      </c>
      <c r="J144" s="35"/>
      <c r="K144" s="35" t="str">
        <f t="shared" si="70"/>
        <v>1=숙련공|2=준숙련공|3=중급기술|4=작업보조|5=연수</v>
      </c>
      <c r="L144" s="2"/>
      <c r="M144" s="36">
        <v>0</v>
      </c>
      <c r="N144" s="36">
        <v>0</v>
      </c>
      <c r="O144" s="36" t="s">
        <v>31</v>
      </c>
      <c r="P144" s="36" t="s">
        <v>31</v>
      </c>
      <c r="Q144" s="35" t="str">
        <f t="shared" si="72"/>
        <v>work_pcnt_dvcd 작업인원구분코드 [["1","숙련공"],["2","준숙련공"],["3","중급기술"],["4","작업보조"],["5","연수"]]</v>
      </c>
      <c r="R144" s="2" t="s">
        <v>921</v>
      </c>
      <c r="S144" s="2"/>
      <c r="T144" s="2"/>
      <c r="U144" s="2"/>
      <c r="V144" s="2"/>
      <c r="W144" s="2"/>
      <c r="X144" s="2"/>
      <c r="Y144" s="2"/>
      <c r="Z144" s="2"/>
      <c r="AA144" s="2"/>
      <c r="AB144" s="28" t="s">
        <v>684</v>
      </c>
      <c r="AC144" s="25" t="s">
        <v>876</v>
      </c>
      <c r="AD144" s="28" t="s">
        <v>685</v>
      </c>
      <c r="AE144" s="25" t="s">
        <v>877</v>
      </c>
      <c r="AF144" s="28" t="s">
        <v>687</v>
      </c>
      <c r="AG144" s="25" t="s">
        <v>878</v>
      </c>
      <c r="AH144" s="28" t="s">
        <v>688</v>
      </c>
      <c r="AI144" s="25" t="s">
        <v>879</v>
      </c>
      <c r="AJ144" s="28" t="s">
        <v>576</v>
      </c>
      <c r="AK144" s="25" t="s">
        <v>880</v>
      </c>
      <c r="AL144" s="28"/>
      <c r="AM144" s="25"/>
      <c r="AN144" s="28"/>
      <c r="AO144" s="25"/>
      <c r="AP144" s="28"/>
      <c r="AQ144" s="25"/>
      <c r="AR144" s="28"/>
      <c r="AS144" s="25"/>
      <c r="AT144" s="28"/>
      <c r="AU144" s="25"/>
      <c r="AV144" s="28"/>
      <c r="AW144" s="25"/>
      <c r="AX144" s="28"/>
      <c r="AY144" s="25"/>
      <c r="AZ144" s="28"/>
      <c r="BA144" s="25"/>
      <c r="BB144" s="28"/>
      <c r="BC144" s="25"/>
      <c r="BD144" s="28"/>
      <c r="BE144" s="25"/>
      <c r="BF144" s="28"/>
      <c r="BG144" s="25"/>
      <c r="BH144" s="28"/>
      <c r="BI144" s="25"/>
      <c r="BJ144" s="28"/>
      <c r="BK144" s="25"/>
      <c r="BL144" s="28"/>
      <c r="BM144" s="25"/>
      <c r="BN144" s="28"/>
      <c r="BO144" s="25"/>
      <c r="BP144" s="28"/>
      <c r="BQ144" s="25"/>
      <c r="BR144" s="28"/>
      <c r="BS144" s="25"/>
      <c r="BT144" s="28"/>
      <c r="BU144" s="25"/>
      <c r="BV144" s="28"/>
      <c r="BW144" s="25"/>
      <c r="BX144" s="28"/>
      <c r="BY144" s="25"/>
      <c r="CA144" s="1" t="str">
        <f t="shared" si="69"/>
        <v>delete from sscd_mast where sscd_idcd = 'work_pcnt_dvcd_KOR_common'  and site_idcd = 'common';</v>
      </c>
      <c r="CB144" s="5" t="str">
        <f>IF(E144&lt;&gt;"",CREATE_QUERY($B$1,A$2:AA$2,A144:AA144),"")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('work_pcnt_dvcd_KOR_common', 'KOR', 'common', 'work_pcnt_dvcd', '작업인원구분코드', 'gb', '', '[["1","숙련공"],["2","준숙련공"],["3","중급기술"],["4","작업보조"],["5","연수"]]', '1:숙련공 2:준숙련공 3:중급기술 4:작업보조 5:연수', '', '1=숙련공|2=준숙련공|3=중급기술|4=작업보조|5=연수', '', '0', '0', '0', '0', 'work_pcnt_dvcd 작업인원구분코드 [["1","숙련공"],["2","준숙련공"],["3","중급기술"],["4","작업보조"],["5","연수"]]', ' ', '', '', '', '', '', '', '', '', '');</v>
      </c>
    </row>
    <row r="145" spans="1:80" ht="17">
      <c r="A145" s="26" t="str">
        <f t="shared" si="73"/>
        <v>hoof_stat_dvcd_KOR_common</v>
      </c>
      <c r="B145" s="25" t="s">
        <v>27</v>
      </c>
      <c r="C145" s="25" t="str">
        <f t="shared" si="67"/>
        <v>common</v>
      </c>
      <c r="D145" s="25" t="s">
        <v>2468</v>
      </c>
      <c r="E145" s="25" t="s">
        <v>160</v>
      </c>
      <c r="F145" s="25" t="str">
        <f t="shared" si="74"/>
        <v>gb</v>
      </c>
      <c r="G145" s="25"/>
      <c r="H145" s="35" t="str">
        <f t="shared" si="71"/>
        <v>[["0","재직"],["1","수습"],["2","발령대기"],["3","휴직"],["9","퇴직"]]</v>
      </c>
      <c r="I145" s="35" t="str">
        <f t="shared" si="68"/>
        <v>0:재직 1:수습 2:발령대기 3:휴직 9:퇴직</v>
      </c>
      <c r="J145" s="35"/>
      <c r="K145" s="35" t="str">
        <f t="shared" si="70"/>
        <v>0=재직|1=수습|2=발령대기|3=휴직|9=퇴직</v>
      </c>
      <c r="L145" s="2"/>
      <c r="M145" s="36">
        <v>0</v>
      </c>
      <c r="N145" s="36">
        <v>0</v>
      </c>
      <c r="O145" s="36" t="s">
        <v>31</v>
      </c>
      <c r="P145" s="36" t="s">
        <v>31</v>
      </c>
      <c r="Q145" s="35" t="str">
        <f t="shared" si="72"/>
        <v>hoof_stat_dvcd 재직상태 [["0","재직"],["1","수습"],["2","발령대기"],["3","휴직"],["9","퇴직"]]</v>
      </c>
      <c r="R145" s="2" t="s">
        <v>921</v>
      </c>
      <c r="S145" s="2"/>
      <c r="T145" s="2"/>
      <c r="U145" s="2" t="s">
        <v>32</v>
      </c>
      <c r="V145" s="2"/>
      <c r="W145" s="2"/>
      <c r="X145" s="2"/>
      <c r="Y145" s="2"/>
      <c r="Z145" s="2"/>
      <c r="AA145" s="2"/>
      <c r="AB145" s="29" t="s">
        <v>31</v>
      </c>
      <c r="AC145" s="25" t="s">
        <v>519</v>
      </c>
      <c r="AD145" s="29">
        <v>1</v>
      </c>
      <c r="AE145" s="25" t="s">
        <v>520</v>
      </c>
      <c r="AF145" s="29">
        <v>2</v>
      </c>
      <c r="AG145" s="25" t="s">
        <v>521</v>
      </c>
      <c r="AH145" s="29">
        <v>3</v>
      </c>
      <c r="AI145" s="25" t="s">
        <v>522</v>
      </c>
      <c r="AJ145" s="29">
        <v>9</v>
      </c>
      <c r="AK145" s="25" t="s">
        <v>523</v>
      </c>
      <c r="AL145" s="29"/>
      <c r="AM145" s="25"/>
      <c r="AN145" s="29"/>
      <c r="AO145" s="25"/>
      <c r="AP145" s="29"/>
      <c r="AQ145" s="25"/>
      <c r="AR145" s="29"/>
      <c r="AS145" s="25"/>
      <c r="AT145" s="29"/>
      <c r="AU145" s="25"/>
      <c r="AV145" s="29"/>
      <c r="AW145" s="25"/>
      <c r="AX145" s="29"/>
      <c r="AY145" s="25"/>
      <c r="AZ145" s="29"/>
      <c r="BA145" s="25"/>
      <c r="BB145" s="29"/>
      <c r="BC145" s="25"/>
      <c r="BD145" s="29"/>
      <c r="BE145" s="25"/>
      <c r="BF145" s="29"/>
      <c r="BG145" s="25"/>
      <c r="BH145" s="29"/>
      <c r="BI145" s="25"/>
      <c r="BJ145" s="29"/>
      <c r="BK145" s="25"/>
      <c r="BL145" s="29"/>
      <c r="BM145" s="25"/>
      <c r="BN145" s="29"/>
      <c r="BO145" s="25"/>
      <c r="BP145" s="29"/>
      <c r="BQ145" s="25"/>
      <c r="BR145" s="29"/>
      <c r="BS145" s="25"/>
      <c r="BT145" s="29"/>
      <c r="BU145" s="25"/>
      <c r="BV145" s="29"/>
      <c r="BW145" s="25"/>
      <c r="BX145" s="29"/>
      <c r="BY145" s="25"/>
      <c r="CA145" s="1" t="str">
        <f t="shared" si="69"/>
        <v>delete from sscd_mast where sscd_idcd = 'hoof_stat_dvcd_KOR_common'  and site_idcd = 'common';</v>
      </c>
      <c r="CB145" s="5" t="str">
        <f>IF(E145&lt;&gt;"",CREATE_QUERY($B$1,A$2:AA$2,A145:AA145),"")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('hoof_stat_dvcd_KOR_common', 'KOR', 'common', 'hoof_stat_dvcd', '재직상태', 'gb', '', '[["0","재직"],["1","수습"],["2","발령대기"],["3","휴직"],["9","퇴직"]]', '0:재직 1:수습 2:발령대기 3:휴직 9:퇴직', '', '0=재직|1=수습|2=발령대기|3=휴직|9=퇴직', '', '0', '0', '0', '0', 'hoof_stat_dvcd 재직상태 [["0","재직"],["1","수습"],["2","발령대기"],["3","휴직"],["9","퇴직"]]', ' ', '', '', ' ', '', '', '', '', '', '');</v>
      </c>
    </row>
    <row r="146" spans="1:80" ht="17">
      <c r="A146" s="26" t="str">
        <f t="shared" si="73"/>
        <v>mtrl_dvcd_2snd_KOR_common</v>
      </c>
      <c r="B146" s="25" t="s">
        <v>27</v>
      </c>
      <c r="C146" s="25" t="str">
        <f t="shared" si="67"/>
        <v>common</v>
      </c>
      <c r="D146" s="25" t="s">
        <v>313</v>
      </c>
      <c r="E146" s="25" t="s">
        <v>199</v>
      </c>
      <c r="F146" s="25" t="str">
        <f t="shared" si="74"/>
        <v>gb</v>
      </c>
      <c r="G146" s="25"/>
      <c r="H146" s="35" t="str">
        <f t="shared" si="71"/>
        <v>[["0",""],["1","미정","red"]]</v>
      </c>
      <c r="I146" s="35" t="str">
        <f t="shared" si="68"/>
        <v>0: 1:미정:red</v>
      </c>
      <c r="J146" s="35"/>
      <c r="K146" s="35" t="str">
        <f t="shared" si="70"/>
        <v>0=|1=미정:red</v>
      </c>
      <c r="L146" s="2"/>
      <c r="M146" s="36">
        <v>0</v>
      </c>
      <c r="N146" s="36">
        <v>0</v>
      </c>
      <c r="O146" s="36" t="s">
        <v>31</v>
      </c>
      <c r="P146" s="36" t="s">
        <v>31</v>
      </c>
      <c r="Q146" s="35" t="str">
        <f t="shared" si="72"/>
        <v>mtrl_dvcd_2snd 재질구분코드2 [["0",""],["1","미정","red"]]</v>
      </c>
      <c r="R146" s="2" t="s">
        <v>921</v>
      </c>
      <c r="S146" s="2"/>
      <c r="T146" s="2"/>
      <c r="U146" s="2"/>
      <c r="V146" s="2"/>
      <c r="W146" s="2"/>
      <c r="X146" s="2"/>
      <c r="Y146" s="2"/>
      <c r="Z146" s="2"/>
      <c r="AA146" s="2"/>
      <c r="AB146" s="29" t="s">
        <v>31</v>
      </c>
      <c r="AC146" s="25"/>
      <c r="AD146" s="29">
        <v>1</v>
      </c>
      <c r="AE146" s="25" t="s">
        <v>574</v>
      </c>
      <c r="AF146" s="29"/>
      <c r="AG146" s="25"/>
      <c r="AH146" s="29"/>
      <c r="AI146" s="25"/>
      <c r="AJ146" s="29"/>
      <c r="AK146" s="25"/>
      <c r="AL146" s="29"/>
      <c r="AM146" s="25"/>
      <c r="AN146" s="29"/>
      <c r="AO146" s="25"/>
      <c r="AP146" s="29"/>
      <c r="AQ146" s="25"/>
      <c r="AR146" s="29"/>
      <c r="AS146" s="25"/>
      <c r="AT146" s="29"/>
      <c r="AU146" s="25"/>
      <c r="AV146" s="29"/>
      <c r="AW146" s="25"/>
      <c r="AX146" s="29"/>
      <c r="AY146" s="25"/>
      <c r="AZ146" s="29"/>
      <c r="BA146" s="25"/>
      <c r="BB146" s="29"/>
      <c r="BC146" s="25"/>
      <c r="BD146" s="29"/>
      <c r="BE146" s="25"/>
      <c r="BF146" s="29"/>
      <c r="BG146" s="25"/>
      <c r="BH146" s="29"/>
      <c r="BI146" s="25"/>
      <c r="BJ146" s="29"/>
      <c r="BK146" s="25"/>
      <c r="BL146" s="29"/>
      <c r="BM146" s="25"/>
      <c r="BN146" s="29"/>
      <c r="BO146" s="25"/>
      <c r="BP146" s="29"/>
      <c r="BQ146" s="25"/>
      <c r="BR146" s="29"/>
      <c r="BS146" s="25"/>
      <c r="BT146" s="29"/>
      <c r="BU146" s="25"/>
      <c r="BV146" s="29"/>
      <c r="BW146" s="25"/>
      <c r="BX146" s="29"/>
      <c r="BY146" s="25"/>
      <c r="CA146" s="1" t="str">
        <f t="shared" si="69"/>
        <v>delete from sscd_mast where sscd_idcd = 'mtrl_dvcd_2snd_KOR_common'  and site_idcd = 'common';</v>
      </c>
      <c r="CB146" s="5" t="str">
        <f>IF(E146&lt;&gt;"",CREATE_QUERY($B$1,A$2:AA$2,A146:AA146),"")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('mtrl_dvcd_2snd_KOR_common', 'KOR', 'common', 'mtrl_dvcd_2snd', '재질구분코드2', 'gb', '', '[["0",""],["1","미정","red"]]', '0: 1:미정:red', '', '0=|1=미정:red', '', '0', '0', '0', '0', 'mtrl_dvcd_2snd 재질구분코드2 [["0",""],["1","미정","red"]]', ' ', '', '', '', '', '', '', '', '', '');</v>
      </c>
    </row>
    <row r="147" spans="1:80" ht="17">
      <c r="A147" s="26" t="str">
        <f t="shared" si="73"/>
        <v>etax_idcd_KOR_common</v>
      </c>
      <c r="B147" s="25" t="s">
        <v>27</v>
      </c>
      <c r="C147" s="25" t="str">
        <f t="shared" si="67"/>
        <v>common</v>
      </c>
      <c r="D147" s="25" t="s">
        <v>153</v>
      </c>
      <c r="E147" s="25" t="s">
        <v>102</v>
      </c>
      <c r="F147" s="25" t="str">
        <f t="shared" si="74"/>
        <v>gb</v>
      </c>
      <c r="G147" s="25"/>
      <c r="H147" s="35" t="str">
        <f t="shared" si="71"/>
        <v>[["0000","미사용"],["1000","효성"]]</v>
      </c>
      <c r="I147" s="35" t="str">
        <f t="shared" si="68"/>
        <v>0000:미사용 1000:효성</v>
      </c>
      <c r="J147" s="35"/>
      <c r="K147" s="35" t="str">
        <f t="shared" si="70"/>
        <v>0000=미사용|1000=효성</v>
      </c>
      <c r="L147" s="2"/>
      <c r="M147" s="36">
        <v>0</v>
      </c>
      <c r="N147" s="36">
        <v>0</v>
      </c>
      <c r="O147" s="36" t="s">
        <v>31</v>
      </c>
      <c r="P147" s="36" t="s">
        <v>31</v>
      </c>
      <c r="Q147" s="35" t="str">
        <f t="shared" si="72"/>
        <v>etax_idcd 전자 세금계산서 업체 [["0000","미사용"],["1000","효성"]]</v>
      </c>
      <c r="R147" s="2" t="s">
        <v>921</v>
      </c>
      <c r="S147" s="2"/>
      <c r="T147" s="2"/>
      <c r="U147" s="2" t="s">
        <v>32</v>
      </c>
      <c r="V147" s="2"/>
      <c r="W147" s="2"/>
      <c r="X147" s="2"/>
      <c r="Y147" s="2"/>
      <c r="Z147" s="2"/>
      <c r="AA147" s="2"/>
      <c r="AB147" s="29" t="s">
        <v>776</v>
      </c>
      <c r="AC147" s="25" t="s">
        <v>362</v>
      </c>
      <c r="AD147" s="29" t="s">
        <v>630</v>
      </c>
      <c r="AE147" s="25" t="s">
        <v>368</v>
      </c>
      <c r="AF147" s="29"/>
      <c r="AG147" s="25"/>
      <c r="AH147" s="29"/>
      <c r="AI147" s="25"/>
      <c r="AJ147" s="29"/>
      <c r="AK147" s="25"/>
      <c r="AL147" s="29"/>
      <c r="AM147" s="25"/>
      <c r="AN147" s="29"/>
      <c r="AO147" s="25"/>
      <c r="AP147" s="29"/>
      <c r="AQ147" s="25"/>
      <c r="AR147" s="29"/>
      <c r="AS147" s="25"/>
      <c r="AT147" s="29"/>
      <c r="AU147" s="25"/>
      <c r="AV147" s="29"/>
      <c r="AW147" s="25"/>
      <c r="AX147" s="29"/>
      <c r="AY147" s="25"/>
      <c r="AZ147" s="29"/>
      <c r="BA147" s="25"/>
      <c r="BB147" s="29"/>
      <c r="BC147" s="25"/>
      <c r="BD147" s="29"/>
      <c r="BE147" s="25"/>
      <c r="BF147" s="29"/>
      <c r="BG147" s="25"/>
      <c r="BH147" s="29"/>
      <c r="BI147" s="25"/>
      <c r="BJ147" s="29"/>
      <c r="BK147" s="25"/>
      <c r="BL147" s="29"/>
      <c r="BM147" s="25"/>
      <c r="BN147" s="29"/>
      <c r="BO147" s="25"/>
      <c r="BP147" s="29"/>
      <c r="BQ147" s="25"/>
      <c r="BR147" s="29"/>
      <c r="BS147" s="25"/>
      <c r="BT147" s="29"/>
      <c r="BU147" s="25"/>
      <c r="BV147" s="29"/>
      <c r="BW147" s="25"/>
      <c r="BX147" s="29"/>
      <c r="BY147" s="25"/>
      <c r="CA147" s="1" t="str">
        <f t="shared" si="69"/>
        <v>delete from sscd_mast where sscd_idcd = 'etax_idcd_KOR_common'  and site_idcd = 'common';</v>
      </c>
      <c r="CB147" s="5" t="str">
        <f>IF(E147&lt;&gt;"",CREATE_QUERY($B$1,A$2:AA$2,A147:AA147),"")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('etax_idcd_KOR_common', 'KOR', 'common', 'etax_idcd', '전자 세금계산서 업체', 'gb', '', '[["0000","미사용"],["1000","효성"]]', '0000:미사용 1000:효성', '', '0000=미사용|1000=효성', '', '0', '0', '0', '0', 'etax_idcd 전자 세금계산서 업체 [["0000","미사용"],["1000","효성"]]', ' ', '', '', ' ', '', '', '', '', '', '');</v>
      </c>
    </row>
    <row r="148" spans="1:80" ht="17">
      <c r="A148" s="26" t="str">
        <f t="shared" si="73"/>
        <v>mail_idcd_KOR_common</v>
      </c>
      <c r="B148" s="25" t="s">
        <v>27</v>
      </c>
      <c r="C148" s="25" t="str">
        <f t="shared" si="67"/>
        <v>common</v>
      </c>
      <c r="D148" s="25" t="s">
        <v>267</v>
      </c>
      <c r="E148" s="25" t="s">
        <v>62</v>
      </c>
      <c r="F148" s="25" t="str">
        <f t="shared" si="74"/>
        <v>gb</v>
      </c>
      <c r="G148" s="25"/>
      <c r="H148" s="35" t="str">
        <f t="shared" si="71"/>
        <v>[["0","미사용"],["1000","네이버"],["2000","한메일"],["3000","지메일"],["z","기타"]]</v>
      </c>
      <c r="I148" s="35" t="str">
        <f t="shared" si="68"/>
        <v>0:미사용 1000:네이버 2000:한메일 3000:지메일 z:기타</v>
      </c>
      <c r="J148" s="35"/>
      <c r="K148" s="35" t="str">
        <f t="shared" si="70"/>
        <v>0=미사용|1000=네이버|2000=한메일|3000=지메일|z=기타</v>
      </c>
      <c r="L148" s="2"/>
      <c r="M148" s="36">
        <v>0</v>
      </c>
      <c r="N148" s="36">
        <v>0</v>
      </c>
      <c r="O148" s="36" t="s">
        <v>31</v>
      </c>
      <c r="P148" s="36" t="s">
        <v>31</v>
      </c>
      <c r="Q148" s="35" t="str">
        <f t="shared" si="72"/>
        <v>mail_idcd 전자메일 구분 [["0","미사용"],["1000","네이버"],["2000","한메일"],["3000","지메일"],["z","기타"]]</v>
      </c>
      <c r="R148" s="2" t="s">
        <v>921</v>
      </c>
      <c r="S148" s="2"/>
      <c r="T148" s="2"/>
      <c r="U148" s="2" t="s">
        <v>32</v>
      </c>
      <c r="V148" s="2"/>
      <c r="W148" s="2"/>
      <c r="X148" s="2"/>
      <c r="Y148" s="2"/>
      <c r="Z148" s="2"/>
      <c r="AA148" s="2"/>
      <c r="AB148" s="29" t="s">
        <v>686</v>
      </c>
      <c r="AC148" s="25" t="s">
        <v>362</v>
      </c>
      <c r="AD148" s="29" t="s">
        <v>591</v>
      </c>
      <c r="AE148" s="25" t="s">
        <v>524</v>
      </c>
      <c r="AF148" s="29" t="s">
        <v>592</v>
      </c>
      <c r="AG148" s="25" t="s">
        <v>525</v>
      </c>
      <c r="AH148" s="29" t="s">
        <v>600</v>
      </c>
      <c r="AI148" s="25" t="s">
        <v>526</v>
      </c>
      <c r="AJ148" s="29" t="s">
        <v>2449</v>
      </c>
      <c r="AK148" s="25" t="s">
        <v>414</v>
      </c>
      <c r="AL148" s="29"/>
      <c r="AM148" s="25"/>
      <c r="AN148" s="29"/>
      <c r="AO148" s="25"/>
      <c r="AP148" s="29"/>
      <c r="AQ148" s="25"/>
      <c r="AR148" s="29"/>
      <c r="AS148" s="25"/>
      <c r="AT148" s="29"/>
      <c r="AU148" s="25"/>
      <c r="AV148" s="29"/>
      <c r="AW148" s="25"/>
      <c r="AX148" s="29"/>
      <c r="AY148" s="25"/>
      <c r="AZ148" s="29"/>
      <c r="BA148" s="25"/>
      <c r="BB148" s="29"/>
      <c r="BC148" s="25"/>
      <c r="BD148" s="29"/>
      <c r="BE148" s="25"/>
      <c r="BF148" s="29"/>
      <c r="BG148" s="25"/>
      <c r="BH148" s="29"/>
      <c r="BI148" s="25"/>
      <c r="BJ148" s="29"/>
      <c r="BK148" s="25"/>
      <c r="BL148" s="29"/>
      <c r="BM148" s="25"/>
      <c r="BN148" s="29"/>
      <c r="BO148" s="25"/>
      <c r="BP148" s="29"/>
      <c r="BQ148" s="25"/>
      <c r="BR148" s="29"/>
      <c r="BS148" s="25"/>
      <c r="BT148" s="29"/>
      <c r="BU148" s="25"/>
      <c r="BV148" s="29"/>
      <c r="BW148" s="25"/>
      <c r="BX148" s="29"/>
      <c r="BY148" s="25"/>
      <c r="CA148" s="1" t="str">
        <f t="shared" si="69"/>
        <v>delete from sscd_mast where sscd_idcd = 'mail_idcd_KOR_common'  and site_idcd = 'common';</v>
      </c>
      <c r="CB148" s="5" t="str">
        <f>IF(E148&lt;&gt;"",CREATE_QUERY($B$1,A$2:AA$2,A148:AA148),"")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('mail_idcd_KOR_common', 'KOR', 'common', 'mail_idcd', '전자메일 구분', 'gb', '', '[["0","미사용"],["1000","네이버"],["2000","한메일"],["3000","지메일"],["z","기타"]]', '0:미사용 1000:네이버 2000:한메일 3000:지메일 z:기타', '', '0=미사용|1000=네이버|2000=한메일|3000=지메일|z=기타', '', '0', '0', '0', '0', 'mail_idcd 전자메일 구분 [["0","미사용"],["1000","네이버"],["2000","한메일"],["3000","지메일"],["z","기타"]]', ' ', '', '', ' ', '', '', '', '', '', '');</v>
      </c>
    </row>
    <row r="149" spans="1:80" ht="17">
      <c r="A149" s="26" t="str">
        <f t="shared" si="73"/>
        <v>rund_type_KOR_common</v>
      </c>
      <c r="B149" s="25" t="s">
        <v>27</v>
      </c>
      <c r="C149" s="25" t="str">
        <f t="shared" si="67"/>
        <v>common</v>
      </c>
      <c r="D149" s="25" t="s">
        <v>268</v>
      </c>
      <c r="E149" s="25" t="s">
        <v>66</v>
      </c>
      <c r="F149" s="25" t="str">
        <f t="shared" si="74"/>
        <v>gb</v>
      </c>
      <c r="G149" s="25"/>
      <c r="H149" s="35" t="str">
        <f t="shared" si="71"/>
        <v>[["0","1원미만절사"],["1","1원미만반올림"],["2","1원단위절사"],["3","1원단위반올림"],["4","10원단위절사"],["5","10원단위반올림"]]</v>
      </c>
      <c r="I149" s="35" t="str">
        <f t="shared" si="68"/>
        <v>0:1원미만절사 1:1원미만반올림 2:1원단위절사 3:1원단위반올림 4:10원단위절사 5:10원단위반올림</v>
      </c>
      <c r="J149" s="35"/>
      <c r="K149" s="35" t="str">
        <f t="shared" si="70"/>
        <v>0=1원미만절사|1=1원미만반올림|2=1원단위절사|3=1원단위반올림|4=10원단위절사|5=10원단위반올림</v>
      </c>
      <c r="L149" s="2"/>
      <c r="M149" s="36">
        <v>0</v>
      </c>
      <c r="N149" s="36">
        <v>0</v>
      </c>
      <c r="O149" s="36" t="s">
        <v>31</v>
      </c>
      <c r="P149" s="36" t="s">
        <v>31</v>
      </c>
      <c r="Q149" s="35" t="str">
        <f t="shared" si="72"/>
        <v>rund_type 절사 타입 [["0","1원미만절사"],["1","1원미만반올림"],["2","1원단위절사"],["3","1원단위반올림"],["4","10원단위절사"],["5","10원단위반올림"]]</v>
      </c>
      <c r="R149" s="2" t="s">
        <v>921</v>
      </c>
      <c r="S149" s="2"/>
      <c r="T149" s="2"/>
      <c r="U149" s="2" t="s">
        <v>32</v>
      </c>
      <c r="V149" s="2"/>
      <c r="W149" s="2"/>
      <c r="X149" s="2"/>
      <c r="Y149" s="2"/>
      <c r="Z149" s="2"/>
      <c r="AA149" s="2"/>
      <c r="AB149" s="29" t="s">
        <v>31</v>
      </c>
      <c r="AC149" s="25" t="s">
        <v>631</v>
      </c>
      <c r="AD149" s="29">
        <v>1</v>
      </c>
      <c r="AE149" s="25" t="s">
        <v>632</v>
      </c>
      <c r="AF149" s="29">
        <v>2</v>
      </c>
      <c r="AG149" s="25" t="s">
        <v>633</v>
      </c>
      <c r="AH149" s="29">
        <v>3</v>
      </c>
      <c r="AI149" s="25" t="s">
        <v>634</v>
      </c>
      <c r="AJ149" s="29">
        <v>4</v>
      </c>
      <c r="AK149" s="25" t="s">
        <v>635</v>
      </c>
      <c r="AL149" s="29">
        <v>5</v>
      </c>
      <c r="AM149" s="25" t="s">
        <v>636</v>
      </c>
      <c r="AN149" s="29"/>
      <c r="AO149" s="25"/>
      <c r="AP149" s="29"/>
      <c r="AQ149" s="25"/>
      <c r="AR149" s="29"/>
      <c r="AS149" s="25"/>
      <c r="AT149" s="29"/>
      <c r="AU149" s="25"/>
      <c r="AV149" s="29"/>
      <c r="AW149" s="25"/>
      <c r="AX149" s="29"/>
      <c r="AY149" s="25"/>
      <c r="AZ149" s="29"/>
      <c r="BA149" s="25"/>
      <c r="BB149" s="29"/>
      <c r="BC149" s="25"/>
      <c r="BD149" s="29"/>
      <c r="BE149" s="25"/>
      <c r="BF149" s="29"/>
      <c r="BG149" s="25"/>
      <c r="BH149" s="29"/>
      <c r="BI149" s="25"/>
      <c r="BJ149" s="29"/>
      <c r="BK149" s="25"/>
      <c r="BL149" s="29"/>
      <c r="BM149" s="25"/>
      <c r="BN149" s="29"/>
      <c r="BO149" s="25"/>
      <c r="BP149" s="29"/>
      <c r="BQ149" s="25"/>
      <c r="BR149" s="29"/>
      <c r="BS149" s="25"/>
      <c r="BT149" s="29"/>
      <c r="BU149" s="25"/>
      <c r="BV149" s="29"/>
      <c r="BW149" s="25"/>
      <c r="BX149" s="29"/>
      <c r="BY149" s="25"/>
      <c r="CA149" s="1" t="str">
        <f t="shared" si="69"/>
        <v>delete from sscd_mast where sscd_idcd = 'rund_type_KOR_common'  and site_idcd = 'common';</v>
      </c>
      <c r="CB149" s="5" t="str">
        <f>IF(E149&lt;&gt;"",CREATE_QUERY($B$1,A$2:AA$2,A149:AA149),"")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('rund_type_KOR_common', 'KOR', 'common', 'rund_type', '절사 타입', 'gb', '', '[["0","1원미만절사"],["1","1원미만반올림"],["2","1원단위절사"],["3","1원단위반올림"],["4","10원단위절사"],["5","10원단위반올림"]]', '0:1원미만절사 1:1원미만반올림 2:1원단위절사 3:1원단위반올림 4:10원단위절사 5:10원단위반올림', '', '0=1원미만절사|1=1원미만반올림|2=1원단위절사|3=1원단위반올림|4=10원단위절사|5=10원단위반올림', '', '0', '0', '0', '0', 'rund_type 절사 타입 [["0","1원미만절사"],["1","1원미만반올림"],["2","1원단위절사"],["3","1원단위반올림"],["4","10원단위절사"],["5","10원단위반올림"]]', ' ', '', '', ' ', '', '', '', '', '', '');</v>
      </c>
    </row>
    <row r="150" spans="1:80" ht="17">
      <c r="A150" s="26" t="str">
        <f t="shared" si="73"/>
        <v>rund_mthd_KOR_common</v>
      </c>
      <c r="B150" s="25" t="s">
        <v>27</v>
      </c>
      <c r="C150" s="25" t="str">
        <f t="shared" si="67"/>
        <v>common</v>
      </c>
      <c r="D150" s="25" t="s">
        <v>269</v>
      </c>
      <c r="E150" s="25" t="s">
        <v>78</v>
      </c>
      <c r="F150" s="25" t="str">
        <f t="shared" si="74"/>
        <v>gb</v>
      </c>
      <c r="G150" s="25"/>
      <c r="H150" s="35" t="str">
        <f t="shared" si="71"/>
        <v>[["N10","절사없음"]]</v>
      </c>
      <c r="I150" s="35" t="str">
        <f t="shared" si="68"/>
        <v>N10:절사없음</v>
      </c>
      <c r="J150" s="35"/>
      <c r="K150" s="35" t="str">
        <f t="shared" si="70"/>
        <v>N10=절사없음</v>
      </c>
      <c r="L150" s="2"/>
      <c r="M150" s="36">
        <v>0</v>
      </c>
      <c r="N150" s="36">
        <v>0</v>
      </c>
      <c r="O150" s="36" t="s">
        <v>31</v>
      </c>
      <c r="P150" s="36" t="s">
        <v>31</v>
      </c>
      <c r="Q150" s="35" t="str">
        <f t="shared" si="72"/>
        <v>rund_mthd 절사방식 [["N10","절사없음"]]</v>
      </c>
      <c r="R150" s="2" t="s">
        <v>921</v>
      </c>
      <c r="S150" s="2"/>
      <c r="T150" s="2"/>
      <c r="U150" s="2" t="s">
        <v>32</v>
      </c>
      <c r="V150" s="2"/>
      <c r="W150" s="2"/>
      <c r="X150" s="2"/>
      <c r="Y150" s="2"/>
      <c r="Z150" s="2"/>
      <c r="AA150" s="2"/>
      <c r="AB150" s="29" t="s">
        <v>527</v>
      </c>
      <c r="AC150" s="25" t="s">
        <v>528</v>
      </c>
      <c r="AD150" s="29"/>
      <c r="AE150" s="25"/>
      <c r="AF150" s="29"/>
      <c r="AG150" s="25"/>
      <c r="AH150" s="29"/>
      <c r="AI150" s="25"/>
      <c r="AJ150" s="29"/>
      <c r="AK150" s="25"/>
      <c r="AL150" s="29"/>
      <c r="AM150" s="25"/>
      <c r="AN150" s="29"/>
      <c r="AO150" s="25"/>
      <c r="AP150" s="29"/>
      <c r="AQ150" s="25"/>
      <c r="AR150" s="29"/>
      <c r="AS150" s="25"/>
      <c r="AT150" s="29"/>
      <c r="AU150" s="25"/>
      <c r="AV150" s="29"/>
      <c r="AW150" s="25"/>
      <c r="AX150" s="29"/>
      <c r="AY150" s="25"/>
      <c r="AZ150" s="29"/>
      <c r="BA150" s="25"/>
      <c r="BB150" s="29"/>
      <c r="BC150" s="25"/>
      <c r="BD150" s="29"/>
      <c r="BE150" s="25"/>
      <c r="BF150" s="29"/>
      <c r="BG150" s="25"/>
      <c r="BH150" s="29"/>
      <c r="BI150" s="25"/>
      <c r="BJ150" s="29"/>
      <c r="BK150" s="25"/>
      <c r="BL150" s="29"/>
      <c r="BM150" s="25"/>
      <c r="BN150" s="29"/>
      <c r="BO150" s="25"/>
      <c r="BP150" s="29"/>
      <c r="BQ150" s="25"/>
      <c r="BR150" s="29"/>
      <c r="BS150" s="25"/>
      <c r="BT150" s="29"/>
      <c r="BU150" s="25"/>
      <c r="BV150" s="29"/>
      <c r="BW150" s="25"/>
      <c r="BX150" s="29"/>
      <c r="BY150" s="25"/>
      <c r="CA150" s="1" t="str">
        <f t="shared" si="69"/>
        <v>delete from sscd_mast where sscd_idcd = 'rund_mthd_KOR_common'  and site_idcd = 'common';</v>
      </c>
      <c r="CB150" s="5" t="str">
        <f>IF(E150&lt;&gt;"",CREATE_QUERY($B$1,A$2:AA$2,A150:AA150),"")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('rund_mthd_KOR_common', 'KOR', 'common', 'rund_mthd', '절사방식', 'gb', '', '[["N10","절사없음"]]', 'N10:절사없음', '', 'N10=절사없음', '', '0', '0', '0', '0', 'rund_mthd 절사방식 [["N10","절사없음"]]', ' ', '', '', ' ', '', '', '', '', '', '');</v>
      </c>
    </row>
    <row r="151" spans="1:80" ht="17">
      <c r="A151" s="26" t="str">
        <f t="shared" si="73"/>
        <v>chek_dvcd_KOR_common</v>
      </c>
      <c r="B151" s="25" t="s">
        <v>27</v>
      </c>
      <c r="C151" s="25" t="str">
        <f t="shared" si="67"/>
        <v>common</v>
      </c>
      <c r="D151" s="25" t="s">
        <v>309</v>
      </c>
      <c r="E151" s="25" t="s">
        <v>195</v>
      </c>
      <c r="F151" s="25" t="str">
        <f t="shared" si="74"/>
        <v>gb</v>
      </c>
      <c r="G151" s="25"/>
      <c r="H151" s="35" t="str">
        <f t="shared" si="71"/>
        <v>[["1","정기"],["2","임의"],["3","고장"]]</v>
      </c>
      <c r="I151" s="35" t="str">
        <f t="shared" si="68"/>
        <v>1:정기 2:임의 3:고장</v>
      </c>
      <c r="J151" s="35"/>
      <c r="K151" s="35" t="str">
        <f t="shared" si="70"/>
        <v>1=정기|2=임의|3=고장</v>
      </c>
      <c r="L151" s="2"/>
      <c r="M151" s="36">
        <v>0</v>
      </c>
      <c r="N151" s="36">
        <v>0</v>
      </c>
      <c r="O151" s="36" t="s">
        <v>31</v>
      </c>
      <c r="P151" s="36" t="s">
        <v>31</v>
      </c>
      <c r="Q151" s="35" t="str">
        <f t="shared" si="72"/>
        <v>chek_dvcd 점검구분코드 [["1","정기"],["2","임의"],["3","고장"]]</v>
      </c>
      <c r="R151" s="2" t="s">
        <v>921</v>
      </c>
      <c r="S151" s="2"/>
      <c r="T151" s="2"/>
      <c r="U151" s="2"/>
      <c r="V151" s="2"/>
      <c r="W151" s="2"/>
      <c r="X151" s="2"/>
      <c r="Y151" s="2"/>
      <c r="Z151" s="2"/>
      <c r="AA151" s="2"/>
      <c r="AB151" s="28" t="s">
        <v>684</v>
      </c>
      <c r="AC151" s="25" t="s">
        <v>873</v>
      </c>
      <c r="AD151" s="28" t="s">
        <v>685</v>
      </c>
      <c r="AE151" s="25" t="s">
        <v>874</v>
      </c>
      <c r="AF151" s="28" t="s">
        <v>687</v>
      </c>
      <c r="AG151" s="25" t="s">
        <v>875</v>
      </c>
      <c r="AH151" s="28"/>
      <c r="AI151" s="25"/>
      <c r="AJ151" s="28"/>
      <c r="AK151" s="25"/>
      <c r="AL151" s="28"/>
      <c r="AM151" s="25"/>
      <c r="AN151" s="28"/>
      <c r="AO151" s="25"/>
      <c r="AP151" s="28"/>
      <c r="AQ151" s="25"/>
      <c r="AR151" s="28"/>
      <c r="AS151" s="25"/>
      <c r="AT151" s="28"/>
      <c r="AU151" s="25"/>
      <c r="AV151" s="28"/>
      <c r="AW151" s="25"/>
      <c r="AX151" s="28"/>
      <c r="AY151" s="25"/>
      <c r="AZ151" s="28"/>
      <c r="BA151" s="25"/>
      <c r="BB151" s="28"/>
      <c r="BC151" s="25"/>
      <c r="BD151" s="28"/>
      <c r="BE151" s="25"/>
      <c r="BF151" s="28"/>
      <c r="BG151" s="25"/>
      <c r="BH151" s="28"/>
      <c r="BI151" s="25"/>
      <c r="BJ151" s="28"/>
      <c r="BK151" s="25"/>
      <c r="BL151" s="28"/>
      <c r="BM151" s="25"/>
      <c r="BN151" s="28"/>
      <c r="BO151" s="25"/>
      <c r="BP151" s="28"/>
      <c r="BQ151" s="25"/>
      <c r="BR151" s="28"/>
      <c r="BS151" s="25"/>
      <c r="BT151" s="28"/>
      <c r="BU151" s="25"/>
      <c r="BV151" s="28"/>
      <c r="BW151" s="25"/>
      <c r="BX151" s="28"/>
      <c r="BY151" s="25"/>
      <c r="CA151" s="1" t="str">
        <f t="shared" si="69"/>
        <v>delete from sscd_mast where sscd_idcd = 'chek_dvcd_KOR_common'  and site_idcd = 'common';</v>
      </c>
      <c r="CB151" s="5" t="str">
        <f>IF(E151&lt;&gt;"",CREATE_QUERY($B$1,A$2:AA$2,A151:AA151),"")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('chek_dvcd_KOR_common', 'KOR', 'common', 'chek_dvcd', '점검구분코드', 'gb', '', '[["1","정기"],["2","임의"],["3","고장"]]', '1:정기 2:임의 3:고장', '', '1=정기|2=임의|3=고장', '', '0', '0', '0', '0', 'chek_dvcd 점검구분코드 [["1","정기"],["2","임의"],["3","고장"]]', ' ', '', '', '', '', '', '', '', '', '');</v>
      </c>
    </row>
    <row r="152" spans="1:80" ht="17">
      <c r="A152" s="26" t="str">
        <f t="shared" si="73"/>
        <v>chek_ccle_dvcd_KOR_common</v>
      </c>
      <c r="B152" s="25" t="s">
        <v>27</v>
      </c>
      <c r="C152" s="25" t="str">
        <f t="shared" si="67"/>
        <v>common</v>
      </c>
      <c r="D152" s="25" t="s">
        <v>308</v>
      </c>
      <c r="E152" s="25" t="s">
        <v>194</v>
      </c>
      <c r="F152" s="25" t="str">
        <f t="shared" si="74"/>
        <v>gb</v>
      </c>
      <c r="G152" s="25"/>
      <c r="H152" s="35" t="str">
        <f t="shared" si="71"/>
        <v>[["1","일일"],["2","주간"],["3","격주1"],["4","격주2"],["5","월간"],["6","분기"],["7","년간"]]</v>
      </c>
      <c r="I152" s="35" t="str">
        <f t="shared" si="68"/>
        <v>1:일일 2:주간 3:격주1 4:격주2 5:월간 6:분기 7:년간</v>
      </c>
      <c r="J152" s="35"/>
      <c r="K152" s="35" t="str">
        <f t="shared" si="70"/>
        <v>1=일일|2=주간|3=격주1|4=격주2|5=월간|6=분기|7=년간</v>
      </c>
      <c r="L152" s="2"/>
      <c r="M152" s="36">
        <v>0</v>
      </c>
      <c r="N152" s="36">
        <v>0</v>
      </c>
      <c r="O152" s="36" t="s">
        <v>31</v>
      </c>
      <c r="P152" s="36" t="s">
        <v>31</v>
      </c>
      <c r="Q152" s="35" t="str">
        <f t="shared" si="72"/>
        <v>chek_ccle_dvcd 점검주기구분코드 [["1","일일"],["2","주간"],["3","격주1"],["4","격주2"],["5","월간"],["6","분기"],["7","년간"]]</v>
      </c>
      <c r="R152" s="2" t="s">
        <v>921</v>
      </c>
      <c r="S152" s="2"/>
      <c r="T152" s="2"/>
      <c r="U152" s="2"/>
      <c r="V152" s="2"/>
      <c r="W152" s="2"/>
      <c r="X152" s="2"/>
      <c r="Y152" s="2"/>
      <c r="Z152" s="2"/>
      <c r="AA152" s="2"/>
      <c r="AB152" s="28" t="s">
        <v>684</v>
      </c>
      <c r="AC152" s="25" t="s">
        <v>865</v>
      </c>
      <c r="AD152" s="28" t="s">
        <v>685</v>
      </c>
      <c r="AE152" s="25" t="s">
        <v>866</v>
      </c>
      <c r="AF152" s="28" t="s">
        <v>687</v>
      </c>
      <c r="AG152" s="25" t="s">
        <v>867</v>
      </c>
      <c r="AH152" s="28" t="s">
        <v>688</v>
      </c>
      <c r="AI152" s="25" t="s">
        <v>868</v>
      </c>
      <c r="AJ152" s="28" t="s">
        <v>576</v>
      </c>
      <c r="AK152" s="25" t="s">
        <v>869</v>
      </c>
      <c r="AL152" s="28" t="s">
        <v>582</v>
      </c>
      <c r="AM152" s="25" t="s">
        <v>870</v>
      </c>
      <c r="AN152" s="28" t="s">
        <v>871</v>
      </c>
      <c r="AO152" s="25" t="s">
        <v>872</v>
      </c>
      <c r="AP152" s="28"/>
      <c r="AQ152" s="25"/>
      <c r="AR152" s="28"/>
      <c r="AS152" s="25"/>
      <c r="AT152" s="28"/>
      <c r="AU152" s="25"/>
      <c r="AV152" s="28"/>
      <c r="AW152" s="25"/>
      <c r="AX152" s="28"/>
      <c r="AY152" s="25"/>
      <c r="AZ152" s="28"/>
      <c r="BA152" s="25"/>
      <c r="BB152" s="28"/>
      <c r="BC152" s="25"/>
      <c r="BD152" s="28"/>
      <c r="BE152" s="25"/>
      <c r="BF152" s="28"/>
      <c r="BG152" s="25"/>
      <c r="BH152" s="28"/>
      <c r="BI152" s="25"/>
      <c r="BJ152" s="28"/>
      <c r="BK152" s="25"/>
      <c r="BL152" s="28"/>
      <c r="BM152" s="25"/>
      <c r="BN152" s="28"/>
      <c r="BO152" s="25"/>
      <c r="BP152" s="28"/>
      <c r="BQ152" s="25"/>
      <c r="BR152" s="28"/>
      <c r="BS152" s="25"/>
      <c r="BT152" s="28"/>
      <c r="BU152" s="25"/>
      <c r="BV152" s="28"/>
      <c r="BW152" s="25"/>
      <c r="BX152" s="28"/>
      <c r="BY152" s="25"/>
      <c r="CA152" s="1" t="str">
        <f t="shared" si="69"/>
        <v>delete from sscd_mast where sscd_idcd = 'chek_ccle_dvcd_KOR_common'  and site_idcd = 'common';</v>
      </c>
      <c r="CB152" s="5" t="str">
        <f>IF(E152&lt;&gt;"",CREATE_QUERY($B$1,A$2:AA$2,A152:AA152),"")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('chek_ccle_dvcd_KOR_common', 'KOR', 'common', 'chek_ccle_dvcd', '점검주기구분코드', 'gb', '', '[["1","일일"],["2","주간"],["3","격주1"],["4","격주2"],["5","월간"],["6","분기"],["7","년간"]]', '1:일일 2:주간 3:격주1 4:격주2 5:월간 6:분기 7:년간', '', '1=일일|2=주간|3=격주1|4=격주2|5=월간|6=분기|7=년간', '', '0', '0', '0', '0', 'chek_ccle_dvcd 점검주기구분코드 [["1","일일"],["2","주간"],["3","격주1"],["4","격주2"],["5","월간"],["6","분기"],["7","년간"]]', ' ', '', '', '', '', '', '', '', '', '');</v>
      </c>
    </row>
    <row r="153" spans="1:80" ht="17">
      <c r="A153" s="26" t="str">
        <f t="shared" si="73"/>
        <v>fxrl_dvcd_KOR_common</v>
      </c>
      <c r="B153" s="25" t="s">
        <v>27</v>
      </c>
      <c r="C153" s="25" t="str">
        <f t="shared" si="67"/>
        <v>common</v>
      </c>
      <c r="D153" s="25" t="s">
        <v>270</v>
      </c>
      <c r="E153" s="25" t="s">
        <v>119</v>
      </c>
      <c r="F153" s="25" t="str">
        <f t="shared" si="74"/>
        <v>gb</v>
      </c>
      <c r="G153" s="25"/>
      <c r="H153" s="35" t="str">
        <f t="shared" si="71"/>
        <v>[["1000","비정규직"],["2000","정규직"]]</v>
      </c>
      <c r="I153" s="35" t="str">
        <f t="shared" si="68"/>
        <v>1000:비정규직 2000:정규직</v>
      </c>
      <c r="J153" s="35"/>
      <c r="K153" s="35" t="str">
        <f t="shared" si="70"/>
        <v>1000=비정규직|2000=정규직</v>
      </c>
      <c r="L153" s="2"/>
      <c r="M153" s="36">
        <v>0</v>
      </c>
      <c r="N153" s="36">
        <v>0</v>
      </c>
      <c r="O153" s="36" t="s">
        <v>31</v>
      </c>
      <c r="P153" s="36" t="s">
        <v>31</v>
      </c>
      <c r="Q153" s="35" t="str">
        <f t="shared" si="72"/>
        <v>fxrl_dvcd 정규직여부 [["1000","비정규직"],["2000","정규직"]]</v>
      </c>
      <c r="R153" s="2" t="s">
        <v>921</v>
      </c>
      <c r="S153" s="2"/>
      <c r="T153" s="2"/>
      <c r="U153" s="2" t="s">
        <v>32</v>
      </c>
      <c r="V153" s="2"/>
      <c r="W153" s="2"/>
      <c r="X153" s="2"/>
      <c r="Y153" s="2"/>
      <c r="Z153" s="2"/>
      <c r="AA153" s="2"/>
      <c r="AB153" s="28" t="s">
        <v>591</v>
      </c>
      <c r="AC153" s="25" t="s">
        <v>529</v>
      </c>
      <c r="AD153" s="28" t="s">
        <v>592</v>
      </c>
      <c r="AE153" s="25" t="s">
        <v>530</v>
      </c>
      <c r="AF153" s="28"/>
      <c r="AG153" s="25"/>
      <c r="AH153" s="28"/>
      <c r="AI153" s="25"/>
      <c r="AJ153" s="28"/>
      <c r="AK153" s="25"/>
      <c r="AL153" s="28"/>
      <c r="AM153" s="25"/>
      <c r="AN153" s="28"/>
      <c r="AO153" s="25"/>
      <c r="AP153" s="28"/>
      <c r="AQ153" s="25"/>
      <c r="AR153" s="28"/>
      <c r="AS153" s="25"/>
      <c r="AT153" s="28"/>
      <c r="AU153" s="25"/>
      <c r="AV153" s="28"/>
      <c r="AW153" s="25"/>
      <c r="AX153" s="28"/>
      <c r="AY153" s="25"/>
      <c r="AZ153" s="28"/>
      <c r="BA153" s="25"/>
      <c r="BB153" s="28"/>
      <c r="BC153" s="25"/>
      <c r="BD153" s="28"/>
      <c r="BE153" s="25"/>
      <c r="BF153" s="28"/>
      <c r="BG153" s="25"/>
      <c r="BH153" s="28"/>
      <c r="BI153" s="25"/>
      <c r="BJ153" s="28"/>
      <c r="BK153" s="25"/>
      <c r="BL153" s="28"/>
      <c r="BM153" s="25"/>
      <c r="BN153" s="28"/>
      <c r="BO153" s="25"/>
      <c r="BP153" s="28"/>
      <c r="BQ153" s="25"/>
      <c r="BR153" s="28"/>
      <c r="BS153" s="25"/>
      <c r="BT153" s="28"/>
      <c r="BU153" s="25"/>
      <c r="BV153" s="28"/>
      <c r="BW153" s="25"/>
      <c r="BX153" s="28"/>
      <c r="BY153" s="25"/>
      <c r="CA153" s="1" t="str">
        <f t="shared" si="69"/>
        <v>delete from sscd_mast where sscd_idcd = 'fxrl_dvcd_KOR_common'  and site_idcd = 'common';</v>
      </c>
      <c r="CB153" s="5" t="str">
        <f>IF(E153&lt;&gt;"",CREATE_QUERY($B$1,A$2:AA$2,A153:AA153),"")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('fxrl_dvcd_KOR_common', 'KOR', 'common', 'fxrl_dvcd', '정규직여부', 'gb', '', '[["1000","비정규직"],["2000","정규직"]]', '1000:비정규직 2000:정규직', '', '1000=비정규직|2000=정규직', '', '0', '0', '0', '0', 'fxrl_dvcd 정규직여부 [["1000","비정규직"],["2000","정규직"]]', ' ', '', '', ' ', '', '', '', '', '', '');</v>
      </c>
    </row>
    <row r="154" spans="1:80" ht="17">
      <c r="A154" s="26" t="str">
        <f t="shared" si="73"/>
        <v>trtm_dvcd_KOR_common</v>
      </c>
      <c r="B154" s="25" t="s">
        <v>27</v>
      </c>
      <c r="C154" s="25" t="str">
        <f t="shared" si="67"/>
        <v>common</v>
      </c>
      <c r="D154" s="25" t="s">
        <v>311</v>
      </c>
      <c r="E154" s="25" t="s">
        <v>197</v>
      </c>
      <c r="F154" s="25" t="str">
        <f t="shared" si="74"/>
        <v>gb</v>
      </c>
      <c r="G154" s="25"/>
      <c r="H154" s="35" t="str">
        <f t="shared" si="71"/>
        <v>[["1000","처리대기"],["2000","완료"],["3000","보류"],["4000","취소"]]</v>
      </c>
      <c r="I154" s="35" t="str">
        <f t="shared" si="68"/>
        <v>1000:처리대기 2000:완료 3000:보류 4000:취소</v>
      </c>
      <c r="J154" s="35"/>
      <c r="K154" s="35" t="str">
        <f t="shared" si="70"/>
        <v>1000=처리대기|2000=완료|3000=보류|4000=취소</v>
      </c>
      <c r="L154" s="2"/>
      <c r="M154" s="36">
        <v>0</v>
      </c>
      <c r="N154" s="36">
        <v>0</v>
      </c>
      <c r="O154" s="36" t="s">
        <v>31</v>
      </c>
      <c r="P154" s="36" t="s">
        <v>31</v>
      </c>
      <c r="Q154" s="35" t="str">
        <f t="shared" si="72"/>
        <v>trtm_dvcd 조치구분코드 [["1000","처리대기"],["2000","완료"],["3000","보류"],["4000","취소"]]</v>
      </c>
      <c r="R154" s="2" t="s">
        <v>921</v>
      </c>
      <c r="S154" s="2"/>
      <c r="T154" s="2"/>
      <c r="U154" s="2"/>
      <c r="V154" s="2"/>
      <c r="W154" s="2"/>
      <c r="X154" s="2"/>
      <c r="Y154" s="2"/>
      <c r="Z154" s="2"/>
      <c r="AA154" s="2"/>
      <c r="AB154" s="28" t="s">
        <v>591</v>
      </c>
      <c r="AC154" s="25" t="s">
        <v>850</v>
      </c>
      <c r="AD154" s="28" t="s">
        <v>592</v>
      </c>
      <c r="AE154" s="25" t="s">
        <v>851</v>
      </c>
      <c r="AF154" s="28" t="s">
        <v>600</v>
      </c>
      <c r="AG154" s="25" t="s">
        <v>852</v>
      </c>
      <c r="AH154" s="28" t="s">
        <v>601</v>
      </c>
      <c r="AI154" s="25" t="s">
        <v>853</v>
      </c>
      <c r="AJ154" s="28"/>
      <c r="AK154" s="25"/>
      <c r="AL154" s="28"/>
      <c r="AM154" s="25"/>
      <c r="AN154" s="28"/>
      <c r="AO154" s="25"/>
      <c r="AP154" s="28"/>
      <c r="AQ154" s="25"/>
      <c r="AR154" s="28"/>
      <c r="AS154" s="25"/>
      <c r="AT154" s="28"/>
      <c r="AU154" s="25"/>
      <c r="AV154" s="28"/>
      <c r="AW154" s="25"/>
      <c r="AX154" s="28"/>
      <c r="AY154" s="25"/>
      <c r="AZ154" s="28"/>
      <c r="BA154" s="25"/>
      <c r="BB154" s="28"/>
      <c r="BC154" s="25"/>
      <c r="BD154" s="28"/>
      <c r="BE154" s="25"/>
      <c r="BF154" s="28"/>
      <c r="BG154" s="25"/>
      <c r="BH154" s="28"/>
      <c r="BI154" s="25"/>
      <c r="BJ154" s="28"/>
      <c r="BK154" s="25"/>
      <c r="BL154" s="28"/>
      <c r="BM154" s="25"/>
      <c r="BN154" s="28"/>
      <c r="BO154" s="25"/>
      <c r="BP154" s="28"/>
      <c r="BQ154" s="25"/>
      <c r="BR154" s="28"/>
      <c r="BS154" s="25"/>
      <c r="BT154" s="28"/>
      <c r="BU154" s="25"/>
      <c r="BV154" s="28"/>
      <c r="BW154" s="25"/>
      <c r="BX154" s="28"/>
      <c r="BY154" s="25"/>
      <c r="CA154" s="1" t="str">
        <f t="shared" si="69"/>
        <v>delete from sscd_mast where sscd_idcd = 'trtm_dvcd_KOR_common'  and site_idcd = 'common';</v>
      </c>
      <c r="CB154" s="5" t="str">
        <f>IF(E154&lt;&gt;"",CREATE_QUERY($B$1,A$2:AA$2,A154:AA154),"")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('trtm_dvcd_KOR_common', 'KOR', 'common', 'trtm_dvcd', '조치구분코드', 'gb', '', '[["1000","처리대기"],["2000","완료"],["3000","보류"],["4000","취소"]]', '1000:처리대기 2000:완료 3000:보류 4000:취소', '', '1000=처리대기|2000=완료|3000=보류|4000=취소', '', '0', '0', '0', '0', 'trtm_dvcd 조치구분코드 [["1000","처리대기"],["2000","완료"],["3000","보류"],["4000","취소"]]', ' ', '', '', '', '', '', '', '', '', '');</v>
      </c>
    </row>
    <row r="155" spans="1:80" ht="17">
      <c r="A155" s="26" t="str">
        <f t="shared" si="73"/>
        <v>inqy_dvcd_KOR_common</v>
      </c>
      <c r="B155" s="25" t="s">
        <v>27</v>
      </c>
      <c r="C155" s="25" t="str">
        <f t="shared" si="67"/>
        <v>common</v>
      </c>
      <c r="D155" s="25" t="s">
        <v>271</v>
      </c>
      <c r="E155" s="25" t="s">
        <v>35</v>
      </c>
      <c r="F155" s="25" t="str">
        <f t="shared" si="74"/>
        <v>gb</v>
      </c>
      <c r="G155" s="25"/>
      <c r="H155" s="35" t="str">
        <f t="shared" si="71"/>
        <v>[["1","품목코드"],["2","품목명"]]</v>
      </c>
      <c r="I155" s="35" t="str">
        <f t="shared" si="68"/>
        <v>1:품목코드 2:품목명</v>
      </c>
      <c r="J155" s="35"/>
      <c r="K155" s="35" t="str">
        <f t="shared" si="70"/>
        <v>1=품목코드|2=품목명</v>
      </c>
      <c r="L155" s="2"/>
      <c r="M155" s="36">
        <v>0</v>
      </c>
      <c r="N155" s="36">
        <v>0</v>
      </c>
      <c r="O155" s="36" t="s">
        <v>31</v>
      </c>
      <c r="P155" s="36" t="s">
        <v>31</v>
      </c>
      <c r="Q155" s="35" t="str">
        <f t="shared" si="72"/>
        <v>inqy_dvcd 조회구분 [["1","품목코드"],["2","품목명"]]</v>
      </c>
      <c r="R155" s="2" t="s">
        <v>921</v>
      </c>
      <c r="S155" s="2"/>
      <c r="T155" s="2"/>
      <c r="U155" s="2" t="s">
        <v>32</v>
      </c>
      <c r="V155" s="2"/>
      <c r="W155" s="2"/>
      <c r="X155" s="2"/>
      <c r="Y155" s="2"/>
      <c r="Z155" s="2"/>
      <c r="AA155" s="2"/>
      <c r="AB155" s="29" t="s">
        <v>370</v>
      </c>
      <c r="AC155" s="25" t="s">
        <v>637</v>
      </c>
      <c r="AD155" s="29">
        <v>2</v>
      </c>
      <c r="AE155" s="25" t="s">
        <v>638</v>
      </c>
      <c r="AF155" s="29"/>
      <c r="AG155" s="25"/>
      <c r="AH155" s="29"/>
      <c r="AI155" s="25"/>
      <c r="AJ155" s="29"/>
      <c r="AK155" s="25"/>
      <c r="AL155" s="29"/>
      <c r="AM155" s="25"/>
      <c r="AN155" s="29"/>
      <c r="AO155" s="25"/>
      <c r="AP155" s="29"/>
      <c r="AQ155" s="25"/>
      <c r="AR155" s="29"/>
      <c r="AS155" s="25"/>
      <c r="AT155" s="29"/>
      <c r="AU155" s="25"/>
      <c r="AV155" s="29"/>
      <c r="AW155" s="25"/>
      <c r="AX155" s="29"/>
      <c r="AY155" s="25"/>
      <c r="AZ155" s="29"/>
      <c r="BA155" s="25"/>
      <c r="BB155" s="29"/>
      <c r="BC155" s="25"/>
      <c r="BD155" s="29"/>
      <c r="BE155" s="25"/>
      <c r="BF155" s="29"/>
      <c r="BG155" s="25"/>
      <c r="BH155" s="29"/>
      <c r="BI155" s="25"/>
      <c r="BJ155" s="29"/>
      <c r="BK155" s="25"/>
      <c r="BL155" s="29"/>
      <c r="BM155" s="25"/>
      <c r="BN155" s="29"/>
      <c r="BO155" s="25"/>
      <c r="BP155" s="29"/>
      <c r="BQ155" s="25"/>
      <c r="BR155" s="29"/>
      <c r="BS155" s="25"/>
      <c r="BT155" s="29"/>
      <c r="BU155" s="25"/>
      <c r="BV155" s="29"/>
      <c r="BW155" s="25"/>
      <c r="BX155" s="29"/>
      <c r="BY155" s="25"/>
      <c r="CA155" s="1" t="str">
        <f t="shared" si="69"/>
        <v>delete from sscd_mast where sscd_idcd = 'inqy_dvcd_KOR_common'  and site_idcd = 'common';</v>
      </c>
      <c r="CB155" s="5" t="str">
        <f>IF(E155&lt;&gt;"",CREATE_QUERY($B$1,A$2:AA$2,A155:AA155),"")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('inqy_dvcd_KOR_common', 'KOR', 'common', 'inqy_dvcd', '조회구분', 'gb', '', '[["1","품목코드"],["2","품목명"]]', '1:품목코드 2:품목명', '', '1=품목코드|2=품목명', '', '0', '0', '0', '0', 'inqy_dvcd 조회구분 [["1","품목코드"],["2","품목명"]]', ' ', '', '', ' ', '', '', '', '', '', '');</v>
      </c>
    </row>
    <row r="156" spans="1:80" ht="17">
      <c r="A156" s="26" t="str">
        <f t="shared" si="73"/>
        <v>search_all_KOR_common</v>
      </c>
      <c r="B156" s="25" t="s">
        <v>27</v>
      </c>
      <c r="C156" s="25" t="str">
        <f t="shared" si="67"/>
        <v>common</v>
      </c>
      <c r="D156" s="25" t="s">
        <v>36</v>
      </c>
      <c r="E156" s="25" t="s">
        <v>81</v>
      </c>
      <c r="F156" s="25" t="str">
        <f t="shared" si="74"/>
        <v>gb</v>
      </c>
      <c r="G156" s="25"/>
      <c r="H156" s="35" t="s">
        <v>922</v>
      </c>
      <c r="I156" s="35" t="str">
        <f t="shared" si="68"/>
        <v xml:space="preserve"> :전체</v>
      </c>
      <c r="J156" s="35"/>
      <c r="K156" s="35" t="str">
        <f t="shared" si="70"/>
        <v xml:space="preserve"> =전체</v>
      </c>
      <c r="L156" s="2"/>
      <c r="M156" s="36">
        <v>0</v>
      </c>
      <c r="N156" s="36">
        <v>0</v>
      </c>
      <c r="O156" s="36" t="s">
        <v>31</v>
      </c>
      <c r="P156" s="36" t="s">
        <v>31</v>
      </c>
      <c r="Q156" s="35" t="str">
        <f t="shared" si="72"/>
        <v>search_all 조회조건 전체 [["","전체"]]</v>
      </c>
      <c r="R156" s="2" t="s">
        <v>921</v>
      </c>
      <c r="S156" s="2"/>
      <c r="T156" s="2"/>
      <c r="U156" s="2" t="s">
        <v>32</v>
      </c>
      <c r="V156" s="2"/>
      <c r="W156" s="2"/>
      <c r="X156" s="2"/>
      <c r="Y156" s="2"/>
      <c r="Z156" s="2"/>
      <c r="AA156" s="2"/>
      <c r="AB156" s="30" t="s">
        <v>921</v>
      </c>
      <c r="AC156" s="25" t="s">
        <v>531</v>
      </c>
      <c r="AD156" s="30"/>
      <c r="AE156" s="25"/>
      <c r="AF156" s="30"/>
      <c r="AG156" s="25"/>
      <c r="AH156" s="30"/>
      <c r="AI156" s="25"/>
      <c r="AJ156" s="30"/>
      <c r="AK156" s="25"/>
      <c r="AL156" s="30"/>
      <c r="AM156" s="25"/>
      <c r="AN156" s="30"/>
      <c r="AO156" s="25"/>
      <c r="AP156" s="30"/>
      <c r="AQ156" s="25"/>
      <c r="AR156" s="30"/>
      <c r="AS156" s="25"/>
      <c r="AT156" s="30"/>
      <c r="AU156" s="25"/>
      <c r="AV156" s="30"/>
      <c r="AW156" s="25"/>
      <c r="AX156" s="30"/>
      <c r="AY156" s="25"/>
      <c r="AZ156" s="30"/>
      <c r="BA156" s="25"/>
      <c r="BB156" s="30"/>
      <c r="BC156" s="25"/>
      <c r="BD156" s="30"/>
      <c r="BE156" s="25"/>
      <c r="BF156" s="30"/>
      <c r="BG156" s="25"/>
      <c r="BH156" s="30"/>
      <c r="BI156" s="25"/>
      <c r="BJ156" s="30"/>
      <c r="BK156" s="25"/>
      <c r="BL156" s="30"/>
      <c r="BM156" s="25"/>
      <c r="BN156" s="30"/>
      <c r="BO156" s="25"/>
      <c r="BP156" s="30"/>
      <c r="BQ156" s="25"/>
      <c r="BR156" s="30"/>
      <c r="BS156" s="25"/>
      <c r="BT156" s="30"/>
      <c r="BU156" s="25"/>
      <c r="BV156" s="30"/>
      <c r="BW156" s="25"/>
      <c r="BX156" s="30"/>
      <c r="BY156" s="25"/>
      <c r="CA156" s="1" t="str">
        <f t="shared" si="69"/>
        <v>delete from sscd_mast where sscd_idcd = 'search_all_KOR_common'  and site_idcd = 'common';</v>
      </c>
      <c r="CB156" s="5" t="str">
        <f>IF(E156&lt;&gt;"",CREATE_QUERY($B$1,A$2:AA$2,A156:AA156),"")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('search_all_KOR_common', 'KOR', 'common', 'search_all', '조회조건 전체', 'gb', '', '[["","전체"]]', ' :전체', '', ' =전체', '', '0', '0', '0', '0', 'search_all 조회조건 전체 [["","전체"]]', ' ', '', '', ' ', '', '', '', '', '', '');</v>
      </c>
    </row>
    <row r="157" spans="1:80" ht="17">
      <c r="A157" s="26" t="str">
        <f t="shared" si="73"/>
        <v>todt_dvcd_KOR_common</v>
      </c>
      <c r="B157" s="25" t="s">
        <v>27</v>
      </c>
      <c r="C157" s="25" t="str">
        <f t="shared" si="67"/>
        <v>common</v>
      </c>
      <c r="D157" s="25" t="s">
        <v>143</v>
      </c>
      <c r="E157" s="25" t="s">
        <v>49</v>
      </c>
      <c r="F157" s="25" t="str">
        <f t="shared" si="74"/>
        <v>gb</v>
      </c>
      <c r="G157" s="25"/>
      <c r="H157" s="35" t="str">
        <f t="shared" ref="H157:H183" si="75">"[["""&amp;
SUBSTITUTE(SUBSTITUTE(I157,":",""",""")," ","""],[""")
&amp;"""]]"</f>
        <v>[["TO10","1주일"],["TO20","2주일"],["TO30","1개월"],["TO40","2개월"]]</v>
      </c>
      <c r="I157" s="35" t="str">
        <f t="shared" si="68"/>
        <v>TO10:1주일 TO20:2주일 TO30:1개월 TO40:2개월</v>
      </c>
      <c r="J157" s="35"/>
      <c r="K157" s="35" t="str">
        <f t="shared" si="70"/>
        <v>TO10=1주일|TO20=2주일|TO30=1개월|TO40=2개월</v>
      </c>
      <c r="L157" s="2"/>
      <c r="M157" s="36">
        <v>0</v>
      </c>
      <c r="N157" s="36">
        <v>0</v>
      </c>
      <c r="O157" s="36" t="s">
        <v>31</v>
      </c>
      <c r="P157" s="36" t="s">
        <v>31</v>
      </c>
      <c r="Q157" s="35" t="str">
        <f t="shared" si="72"/>
        <v>todt_dvcd 종료 일자 선택 구분 [["TO10","1주일"],["TO20","2주일"],["TO30","1개월"],["TO40","2개월"]]</v>
      </c>
      <c r="R157" s="2" t="s">
        <v>921</v>
      </c>
      <c r="S157" s="2"/>
      <c r="T157" s="2"/>
      <c r="U157" s="2" t="s">
        <v>32</v>
      </c>
      <c r="V157" s="2"/>
      <c r="W157" s="2"/>
      <c r="X157" s="2"/>
      <c r="Y157" s="2"/>
      <c r="Z157" s="2"/>
      <c r="AA157" s="2"/>
      <c r="AB157" s="29" t="s">
        <v>532</v>
      </c>
      <c r="AC157" s="25" t="s">
        <v>474</v>
      </c>
      <c r="AD157" s="29" t="s">
        <v>533</v>
      </c>
      <c r="AE157" s="25" t="s">
        <v>475</v>
      </c>
      <c r="AF157" s="29" t="s">
        <v>534</v>
      </c>
      <c r="AG157" s="25" t="s">
        <v>476</v>
      </c>
      <c r="AH157" s="29" t="s">
        <v>535</v>
      </c>
      <c r="AI157" s="25" t="s">
        <v>477</v>
      </c>
      <c r="AJ157" s="29"/>
      <c r="AK157" s="25"/>
      <c r="AL157" s="29"/>
      <c r="AM157" s="25"/>
      <c r="AN157" s="29"/>
      <c r="AO157" s="25"/>
      <c r="AP157" s="29"/>
      <c r="AQ157" s="25"/>
      <c r="AR157" s="29"/>
      <c r="AS157" s="25"/>
      <c r="AT157" s="29"/>
      <c r="AU157" s="25"/>
      <c r="AV157" s="29"/>
      <c r="AW157" s="25"/>
      <c r="AX157" s="29"/>
      <c r="AY157" s="25"/>
      <c r="AZ157" s="29"/>
      <c r="BA157" s="25"/>
      <c r="BB157" s="29"/>
      <c r="BC157" s="25"/>
      <c r="BD157" s="29"/>
      <c r="BE157" s="25"/>
      <c r="BF157" s="29"/>
      <c r="BG157" s="25"/>
      <c r="BH157" s="29"/>
      <c r="BI157" s="25"/>
      <c r="BJ157" s="29"/>
      <c r="BK157" s="25"/>
      <c r="BL157" s="29"/>
      <c r="BM157" s="25"/>
      <c r="BN157" s="29"/>
      <c r="BO157" s="25"/>
      <c r="BP157" s="29"/>
      <c r="BQ157" s="25"/>
      <c r="BR157" s="29"/>
      <c r="BS157" s="25"/>
      <c r="BT157" s="29"/>
      <c r="BU157" s="25"/>
      <c r="BV157" s="29"/>
      <c r="BW157" s="25"/>
      <c r="BX157" s="29"/>
      <c r="BY157" s="25"/>
      <c r="CA157" s="1" t="str">
        <f t="shared" si="69"/>
        <v>delete from sscd_mast where sscd_idcd = 'todt_dvcd_KOR_common'  and site_idcd = 'common';</v>
      </c>
      <c r="CB157" s="5" t="str">
        <f>IF(E157&lt;&gt;"",CREATE_QUERY($B$1,A$2:AA$2,A157:AA157),"")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('todt_dvcd_KOR_common', 'KOR', 'common', 'todt_dvcd', '종료 일자 선택 구분', 'gb', '', '[["TO10","1주일"],["TO20","2주일"],["TO30","1개월"],["TO40","2개월"]]', 'TO10:1주일 TO20:2주일 TO30:1개월 TO40:2개월', '', 'TO10=1주일|TO20=2주일|TO30=1개월|TO40=2개월', '', '0', '0', '0', '0', 'todt_dvcd 종료 일자 선택 구분 [["TO10","1주일"],["TO20","2주일"],["TO30","1개월"],["TO40","2개월"]]', ' ', '', '', ' ', '', '', '', '', '', '');</v>
      </c>
    </row>
    <row r="158" spans="1:80" ht="17">
      <c r="A158" s="26" t="str">
        <f t="shared" si="73"/>
        <v>order_query_word_KOR_common</v>
      </c>
      <c r="B158" s="25" t="s">
        <v>27</v>
      </c>
      <c r="C158" s="25" t="str">
        <f t="shared" si="67"/>
        <v>common</v>
      </c>
      <c r="D158" s="25" t="s">
        <v>100</v>
      </c>
      <c r="E158" s="25" t="s">
        <v>101</v>
      </c>
      <c r="F158" s="25" t="str">
        <f t="shared" si="74"/>
        <v>gb</v>
      </c>
      <c r="G158" s="25"/>
      <c r="H158" s="35" t="str">
        <f t="shared" si="75"/>
        <v>[["1","주문번호"],["2","고객명"],["3","품목명"]]</v>
      </c>
      <c r="I158" s="35" t="str">
        <f t="shared" si="68"/>
        <v>1:주문번호 2:고객명 3:품목명</v>
      </c>
      <c r="J158" s="35"/>
      <c r="K158" s="35" t="str">
        <f t="shared" si="70"/>
        <v>1=주문번호|2=고객명|3=품목명</v>
      </c>
      <c r="L158" s="2"/>
      <c r="M158" s="36">
        <v>0</v>
      </c>
      <c r="N158" s="36">
        <v>0</v>
      </c>
      <c r="O158" s="36" t="s">
        <v>31</v>
      </c>
      <c r="P158" s="36" t="s">
        <v>31</v>
      </c>
      <c r="Q158" s="35" t="str">
        <f t="shared" si="72"/>
        <v>order_query_word 주문 검색조건 [["1","주문번호"],["2","고객명"],["3","품목명"]]</v>
      </c>
      <c r="R158" s="2" t="s">
        <v>921</v>
      </c>
      <c r="S158" s="2"/>
      <c r="T158" s="2"/>
      <c r="U158" s="2" t="s">
        <v>32</v>
      </c>
      <c r="V158" s="2"/>
      <c r="W158" s="2"/>
      <c r="X158" s="2"/>
      <c r="Y158" s="2"/>
      <c r="Z158" s="2"/>
      <c r="AA158" s="2"/>
      <c r="AB158" s="29" t="s">
        <v>370</v>
      </c>
      <c r="AC158" s="25" t="s">
        <v>536</v>
      </c>
      <c r="AD158" s="29">
        <v>2</v>
      </c>
      <c r="AE158" s="25" t="s">
        <v>537</v>
      </c>
      <c r="AF158" s="29">
        <v>3</v>
      </c>
      <c r="AG158" s="25" t="s">
        <v>703</v>
      </c>
      <c r="AH158" s="29"/>
      <c r="AI158" s="25"/>
      <c r="AJ158" s="29"/>
      <c r="AK158" s="25"/>
      <c r="AL158" s="29"/>
      <c r="AM158" s="25"/>
      <c r="AN158" s="29"/>
      <c r="AO158" s="25"/>
      <c r="AP158" s="29"/>
      <c r="AQ158" s="25"/>
      <c r="AR158" s="29"/>
      <c r="AS158" s="25"/>
      <c r="AT158" s="29"/>
      <c r="AU158" s="25"/>
      <c r="AV158" s="29"/>
      <c r="AW158" s="25"/>
      <c r="AX158" s="29"/>
      <c r="AY158" s="25"/>
      <c r="AZ158" s="29"/>
      <c r="BA158" s="25"/>
      <c r="BB158" s="29"/>
      <c r="BC158" s="25"/>
      <c r="BD158" s="29"/>
      <c r="BE158" s="25"/>
      <c r="BF158" s="29"/>
      <c r="BG158" s="25"/>
      <c r="BH158" s="29"/>
      <c r="BI158" s="25"/>
      <c r="BJ158" s="29"/>
      <c r="BK158" s="25"/>
      <c r="BL158" s="29"/>
      <c r="BM158" s="25"/>
      <c r="BN158" s="29"/>
      <c r="BO158" s="25"/>
      <c r="BP158" s="29"/>
      <c r="BQ158" s="25"/>
      <c r="BR158" s="29"/>
      <c r="BS158" s="25"/>
      <c r="BT158" s="29"/>
      <c r="BU158" s="25"/>
      <c r="BV158" s="29"/>
      <c r="BW158" s="25"/>
      <c r="BX158" s="29"/>
      <c r="BY158" s="25"/>
      <c r="CA158" s="1" t="str">
        <f t="shared" si="69"/>
        <v>delete from sscd_mast where sscd_idcd = 'order_query_word_KOR_common'  and site_idcd = 'common';</v>
      </c>
      <c r="CB158" s="5" t="str">
        <f>IF(E158&lt;&gt;"",CREATE_QUERY($B$1,A$2:AA$2,A158:AA158),"")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('order_query_word_KOR_common', 'KOR', 'common', 'order_query_word', '주문 검색조건', 'gb', '', '[["1","주문번호"],["2","고객명"],["3","품목명"]]', '1:주문번호 2:고객명 3:품목명', '', '1=주문번호|2=고객명|3=품목명', '', '0', '0', '0', '0', 'order_query_word 주문 검색조건 [["1","주문번호"],["2","고객명"],["3","품목명"]]', ' ', '', '', ' ', '', '', '', '', '', '');</v>
      </c>
    </row>
    <row r="159" spans="1:80" ht="17">
      <c r="A159" s="26" t="str">
        <f t="shared" si="73"/>
        <v>po_dvcd_KOR_common</v>
      </c>
      <c r="B159" s="25" t="s">
        <v>27</v>
      </c>
      <c r="C159" s="25" t="str">
        <f t="shared" si="67"/>
        <v>common</v>
      </c>
      <c r="D159" s="25" t="s">
        <v>139</v>
      </c>
      <c r="E159" s="25" t="s">
        <v>96</v>
      </c>
      <c r="F159" s="25" t="str">
        <f t="shared" si="74"/>
        <v>gb</v>
      </c>
      <c r="G159" s="25"/>
      <c r="H159" s="35" t="str">
        <f t="shared" si="75"/>
        <v>[["1","주문"],["2","반품"]]</v>
      </c>
      <c r="I159" s="35" t="str">
        <f t="shared" si="68"/>
        <v>1:주문 2:반품</v>
      </c>
      <c r="J159" s="35"/>
      <c r="K159" s="35" t="str">
        <f t="shared" si="70"/>
        <v>1=주문|2=반품</v>
      </c>
      <c r="L159" s="2"/>
      <c r="M159" s="36">
        <v>0</v>
      </c>
      <c r="N159" s="36">
        <v>0</v>
      </c>
      <c r="O159" s="36" t="s">
        <v>31</v>
      </c>
      <c r="P159" s="36" t="s">
        <v>31</v>
      </c>
      <c r="Q159" s="35" t="str">
        <f t="shared" si="72"/>
        <v>po_dvcd 주문 반품 구분 [["1","주문"],["2","반품"]]</v>
      </c>
      <c r="R159" s="2" t="s">
        <v>921</v>
      </c>
      <c r="S159" s="2"/>
      <c r="T159" s="2"/>
      <c r="U159" s="2" t="s">
        <v>32</v>
      </c>
      <c r="V159" s="2"/>
      <c r="W159" s="2"/>
      <c r="X159" s="2"/>
      <c r="Y159" s="2"/>
      <c r="Z159" s="2"/>
      <c r="AA159" s="2"/>
      <c r="AB159" s="29" t="s">
        <v>370</v>
      </c>
      <c r="AC159" s="25" t="s">
        <v>538</v>
      </c>
      <c r="AD159" s="29">
        <v>2</v>
      </c>
      <c r="AE159" s="25" t="s">
        <v>452</v>
      </c>
      <c r="AF159" s="29"/>
      <c r="AG159" s="25"/>
      <c r="AH159" s="29"/>
      <c r="AI159" s="25"/>
      <c r="AJ159" s="29"/>
      <c r="AK159" s="25"/>
      <c r="AL159" s="29"/>
      <c r="AM159" s="25"/>
      <c r="AN159" s="29"/>
      <c r="AO159" s="25"/>
      <c r="AP159" s="29"/>
      <c r="AQ159" s="25"/>
      <c r="AR159" s="29"/>
      <c r="AS159" s="25"/>
      <c r="AT159" s="29"/>
      <c r="AU159" s="25"/>
      <c r="AV159" s="29"/>
      <c r="AW159" s="25"/>
      <c r="AX159" s="29"/>
      <c r="AY159" s="25"/>
      <c r="AZ159" s="29"/>
      <c r="BA159" s="25"/>
      <c r="BB159" s="29"/>
      <c r="BC159" s="25"/>
      <c r="BD159" s="29"/>
      <c r="BE159" s="25"/>
      <c r="BF159" s="29"/>
      <c r="BG159" s="25"/>
      <c r="BH159" s="29"/>
      <c r="BI159" s="25"/>
      <c r="BJ159" s="29"/>
      <c r="BK159" s="25"/>
      <c r="BL159" s="29"/>
      <c r="BM159" s="25"/>
      <c r="BN159" s="29"/>
      <c r="BO159" s="25"/>
      <c r="BP159" s="29"/>
      <c r="BQ159" s="25"/>
      <c r="BR159" s="29"/>
      <c r="BS159" s="25"/>
      <c r="BT159" s="29"/>
      <c r="BU159" s="25"/>
      <c r="BV159" s="29"/>
      <c r="BW159" s="25"/>
      <c r="BX159" s="29"/>
      <c r="BY159" s="25"/>
      <c r="CA159" s="1" t="str">
        <f t="shared" si="69"/>
        <v>delete from sscd_mast where sscd_idcd = 'po_dvcd_KOR_common'  and site_idcd = 'common';</v>
      </c>
      <c r="CB159" s="5" t="str">
        <f>IF(E159&lt;&gt;"",CREATE_QUERY($B$1,A$2:AA$2,A159:AA159),"")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('po_dvcd_KOR_common', 'KOR', 'common', 'po_dvcd', '주문 반품 구분', 'gb', '', '[["1","주문"],["2","반품"]]', '1:주문 2:반품', '', '1=주문|2=반품', '', '0', '0', '0', '0', 'po_dvcd 주문 반품 구분 [["1","주문"],["2","반품"]]', ' ', '', '', ' ', '', '', '', '', '', '');</v>
      </c>
    </row>
    <row r="160" spans="1:80" ht="17">
      <c r="A160" s="26" t="str">
        <f t="shared" si="73"/>
        <v>acpt_stat_dvcd_KOR_common</v>
      </c>
      <c r="B160" s="25" t="s">
        <v>27</v>
      </c>
      <c r="C160" s="25" t="str">
        <f t="shared" si="67"/>
        <v>common</v>
      </c>
      <c r="D160" s="25" t="s">
        <v>2366</v>
      </c>
      <c r="E160" s="25" t="s">
        <v>2367</v>
      </c>
      <c r="F160" s="25" t="str">
        <f t="shared" si="74"/>
        <v>gb</v>
      </c>
      <c r="G160" s="25"/>
      <c r="H160" s="35" t="str">
        <f t="shared" si="75"/>
        <v>[["0010","승인대기","black"],["0011","승인완료"],["0200","출고대기","red"],["0400","부분출고","brown"],["0600","출고완료","blue"]]</v>
      </c>
      <c r="I160" s="35" t="str">
        <f t="shared" si="68"/>
        <v>0010:승인대기:black 0011:승인완료 0200:출고대기:red 0400:부분출고:brown 0600:출고완료:blue</v>
      </c>
      <c r="J160" s="35"/>
      <c r="K160" s="35" t="str">
        <f t="shared" si="70"/>
        <v>0010=승인대기:black|0011=승인완료|0200=출고대기:red|0400=부분출고:brown|0600=출고완료:blue</v>
      </c>
      <c r="L160" s="2"/>
      <c r="M160" s="36">
        <v>0</v>
      </c>
      <c r="N160" s="36">
        <v>0</v>
      </c>
      <c r="O160" s="36" t="s">
        <v>31</v>
      </c>
      <c r="P160" s="36" t="s">
        <v>31</v>
      </c>
      <c r="Q160" s="35" t="str">
        <f t="shared" si="72"/>
        <v>acpt_stat_dvcd 수주상태구분코드 [["0010","승인대기","black"],["0011","승인완료"],["0200","출고대기","red"],["0400","부분출고","brown"],["0600","출고완료","blue"]]</v>
      </c>
      <c r="R160" s="2" t="s">
        <v>921</v>
      </c>
      <c r="S160" s="2"/>
      <c r="T160" s="2"/>
      <c r="U160" s="2" t="s">
        <v>32</v>
      </c>
      <c r="V160" s="2"/>
      <c r="W160" s="2"/>
      <c r="X160" s="2"/>
      <c r="Y160" s="2"/>
      <c r="Z160" s="2"/>
      <c r="AA160" s="2"/>
      <c r="AB160" s="29" t="s">
        <v>2457</v>
      </c>
      <c r="AC160" s="25" t="s">
        <v>639</v>
      </c>
      <c r="AD160" s="29" t="s">
        <v>2368</v>
      </c>
      <c r="AE160" s="25" t="s">
        <v>2369</v>
      </c>
      <c r="AF160" s="29" t="s">
        <v>584</v>
      </c>
      <c r="AG160" s="25" t="s">
        <v>2785</v>
      </c>
      <c r="AH160" s="29"/>
      <c r="AI160" s="25"/>
      <c r="AJ160" s="29" t="s">
        <v>567</v>
      </c>
      <c r="AK160" s="25" t="s">
        <v>2784</v>
      </c>
      <c r="AL160" s="29"/>
      <c r="AM160" s="25"/>
      <c r="AN160" s="29" t="s">
        <v>611</v>
      </c>
      <c r="AO160" s="25" t="s">
        <v>2783</v>
      </c>
      <c r="AP160" s="29"/>
      <c r="AQ160" s="25"/>
      <c r="AR160" s="29"/>
      <c r="AS160" s="25"/>
      <c r="AT160" s="29"/>
      <c r="AU160" s="25"/>
      <c r="AV160" s="29"/>
      <c r="AW160" s="25"/>
      <c r="AX160" s="29"/>
      <c r="AY160" s="25"/>
      <c r="AZ160" s="29"/>
      <c r="BA160" s="25"/>
      <c r="BB160" s="29"/>
      <c r="BC160" s="25"/>
      <c r="BD160" s="29"/>
      <c r="BE160" s="25"/>
      <c r="BF160" s="29"/>
      <c r="BG160" s="25"/>
      <c r="BH160" s="29"/>
      <c r="BI160" s="25"/>
      <c r="BJ160" s="29"/>
      <c r="BK160" s="25"/>
      <c r="BL160" s="29"/>
      <c r="BM160" s="25"/>
      <c r="BN160" s="29"/>
      <c r="BO160" s="25"/>
      <c r="BP160" s="29"/>
      <c r="BQ160" s="25"/>
      <c r="BR160" s="29"/>
      <c r="BS160" s="25"/>
      <c r="BT160" s="29"/>
      <c r="BU160" s="25"/>
      <c r="BV160" s="29"/>
      <c r="BW160" s="25"/>
      <c r="BX160" s="29"/>
      <c r="BY160" s="25"/>
      <c r="CA160" s="1" t="str">
        <f t="shared" si="69"/>
        <v>delete from sscd_mast where sscd_idcd = 'acpt_stat_dvcd_KOR_common'  and site_idcd = 'common';</v>
      </c>
      <c r="CB160" s="5" t="str">
        <f>IF(E160&lt;&gt;"",CREATE_QUERY($B$1,A$2:AA$2,A160:AA160),"")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('acpt_stat_dvcd_KOR_common', 'KOR', 'common', 'acpt_stat_dvcd', '수주상태구분코드', 'gb', '', '[["0010","승인대기","black"],["0011","승인완료"],["0200","출고대기","red"],["0400","부분출고","brown"],["0600","출고완료","blue"]]', '0010:승인대기:black 0011:승인완료 0200:출고대기:red 0400:부분출고:brown 0600:출고완료:blue', '', '0010=승인대기:black|0011=승인완료|0200=출고대기:red|0400=부분출고:brown|0600=출고완료:blue', '', '0', '0', '0', '0', 'acpt_stat_dvcd 수주상태구분코드 [["0010","승인대기","black"],["0011","승인완료"],["0200","출고대기","red"],["0400","부분출고","brown"],["0600","출고완료","blue"]]', ' ', '', '', ' ', '', '', '', '', '', '');</v>
      </c>
    </row>
    <row r="161" spans="1:80" ht="17">
      <c r="A161" s="26" t="str">
        <f t="shared" si="73"/>
        <v>po_date_dvcd_KOR_common</v>
      </c>
      <c r="B161" s="25" t="s">
        <v>27</v>
      </c>
      <c r="C161" s="25" t="str">
        <f t="shared" si="67"/>
        <v>common</v>
      </c>
      <c r="D161" s="25" t="s">
        <v>138</v>
      </c>
      <c r="E161" s="25" t="s">
        <v>37</v>
      </c>
      <c r="F161" s="25" t="str">
        <f t="shared" si="74"/>
        <v>gb</v>
      </c>
      <c r="G161" s="25"/>
      <c r="H161" s="35" t="str">
        <f t="shared" si="75"/>
        <v>[["1","발주일자"],["2","납기일자"]]</v>
      </c>
      <c r="I161" s="35" t="str">
        <f t="shared" si="68"/>
        <v>1:발주일자 2:납기일자</v>
      </c>
      <c r="J161" s="35"/>
      <c r="K161" s="35" t="str">
        <f t="shared" si="70"/>
        <v>1=발주일자|2=납기일자</v>
      </c>
      <c r="L161" s="2"/>
      <c r="M161" s="36">
        <v>0</v>
      </c>
      <c r="N161" s="36">
        <v>0</v>
      </c>
      <c r="O161" s="36" t="s">
        <v>31</v>
      </c>
      <c r="P161" s="36" t="s">
        <v>31</v>
      </c>
      <c r="Q161" s="35" t="str">
        <f t="shared" si="72"/>
        <v>po_date_dvcd 주문 일자 구분 [["1","발주일자"],["2","납기일자"]]</v>
      </c>
      <c r="R161" s="2" t="s">
        <v>921</v>
      </c>
      <c r="S161" s="2"/>
      <c r="T161" s="2"/>
      <c r="U161" s="2" t="s">
        <v>32</v>
      </c>
      <c r="V161" s="2"/>
      <c r="W161" s="2"/>
      <c r="X161" s="2"/>
      <c r="Y161" s="2"/>
      <c r="Z161" s="2"/>
      <c r="AA161" s="2"/>
      <c r="AB161" s="29" t="s">
        <v>370</v>
      </c>
      <c r="AC161" s="25" t="s">
        <v>539</v>
      </c>
      <c r="AD161" s="29">
        <v>2</v>
      </c>
      <c r="AE161" s="25" t="s">
        <v>206</v>
      </c>
      <c r="AF161" s="29"/>
      <c r="AG161" s="25"/>
      <c r="AH161" s="29"/>
      <c r="AI161" s="25"/>
      <c r="AJ161" s="29"/>
      <c r="AK161" s="25"/>
      <c r="AL161" s="29"/>
      <c r="AM161" s="25"/>
      <c r="AN161" s="29"/>
      <c r="AO161" s="25"/>
      <c r="AP161" s="29"/>
      <c r="AQ161" s="25"/>
      <c r="AR161" s="29"/>
      <c r="AS161" s="25"/>
      <c r="AT161" s="29"/>
      <c r="AU161" s="25"/>
      <c r="AV161" s="29"/>
      <c r="AW161" s="25"/>
      <c r="AX161" s="29"/>
      <c r="AY161" s="25"/>
      <c r="AZ161" s="29"/>
      <c r="BA161" s="25"/>
      <c r="BB161" s="29"/>
      <c r="BC161" s="25"/>
      <c r="BD161" s="29"/>
      <c r="BE161" s="25"/>
      <c r="BF161" s="29"/>
      <c r="BG161" s="25"/>
      <c r="BH161" s="29"/>
      <c r="BI161" s="25"/>
      <c r="BJ161" s="29"/>
      <c r="BK161" s="25"/>
      <c r="BL161" s="29"/>
      <c r="BM161" s="25"/>
      <c r="BN161" s="29"/>
      <c r="BO161" s="25"/>
      <c r="BP161" s="29"/>
      <c r="BQ161" s="25"/>
      <c r="BR161" s="29"/>
      <c r="BS161" s="25"/>
      <c r="BT161" s="29"/>
      <c r="BU161" s="25"/>
      <c r="BV161" s="29"/>
      <c r="BW161" s="25"/>
      <c r="BX161" s="29"/>
      <c r="BY161" s="25"/>
      <c r="CA161" s="1" t="str">
        <f t="shared" si="69"/>
        <v>delete from sscd_mast where sscd_idcd = 'po_date_dvcd_KOR_common'  and site_idcd = 'common';</v>
      </c>
      <c r="CB161" s="5" t="str">
        <f>IF(E161&lt;&gt;"",CREATE_QUERY($B$1,A$2:AA$2,A161:AA161),"")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('po_date_dvcd_KOR_common', 'KOR', 'common', 'po_date_dvcd', '주문 일자 구분', 'gb', '', '[["1","발주일자"],["2","납기일자"]]', '1:발주일자 2:납기일자', '', '1=발주일자|2=납기일자', '', '0', '0', '0', '0', 'po_date_dvcd 주문 일자 구분 [["1","발주일자"],["2","납기일자"]]', ' ', '', '', ' ', '', '', '', '', '', '');</v>
      </c>
    </row>
    <row r="162" spans="1:80" ht="17">
      <c r="A162" s="26" t="str">
        <f t="shared" si="73"/>
        <v>sale_no_word_KOR_common</v>
      </c>
      <c r="B162" s="25" t="s">
        <v>27</v>
      </c>
      <c r="C162" s="25" t="str">
        <f t="shared" si="67"/>
        <v>common</v>
      </c>
      <c r="D162" s="25" t="s">
        <v>104</v>
      </c>
      <c r="E162" s="25" t="s">
        <v>105</v>
      </c>
      <c r="F162" s="25" t="str">
        <f t="shared" si="74"/>
        <v>gb</v>
      </c>
      <c r="G162" s="25"/>
      <c r="H162" s="35" t="str">
        <f t="shared" si="75"/>
        <v>[["1","매출번호"],["2","주문번호"]]</v>
      </c>
      <c r="I162" s="35" t="str">
        <f t="shared" si="68"/>
        <v>1:매출번호 2:주문번호</v>
      </c>
      <c r="J162" s="35"/>
      <c r="K162" s="35" t="str">
        <f t="shared" si="70"/>
        <v>1=매출번호|2=주문번호</v>
      </c>
      <c r="L162" s="2"/>
      <c r="M162" s="36">
        <v>0</v>
      </c>
      <c r="N162" s="36">
        <v>0</v>
      </c>
      <c r="O162" s="36" t="s">
        <v>31</v>
      </c>
      <c r="P162" s="36" t="s">
        <v>31</v>
      </c>
      <c r="Q162" s="35" t="str">
        <f t="shared" si="72"/>
        <v>sale_no_word 주문/매출번호 [["1","매출번호"],["2","주문번호"]]</v>
      </c>
      <c r="R162" s="2" t="s">
        <v>921</v>
      </c>
      <c r="S162" s="2"/>
      <c r="T162" s="2"/>
      <c r="U162" s="2" t="s">
        <v>32</v>
      </c>
      <c r="V162" s="2"/>
      <c r="W162" s="2"/>
      <c r="X162" s="2"/>
      <c r="Y162" s="2"/>
      <c r="Z162" s="2"/>
      <c r="AA162" s="2"/>
      <c r="AB162" s="29" t="s">
        <v>370</v>
      </c>
      <c r="AC162" s="25" t="s">
        <v>540</v>
      </c>
      <c r="AD162" s="29">
        <v>2</v>
      </c>
      <c r="AE162" s="25" t="s">
        <v>536</v>
      </c>
      <c r="AF162" s="29"/>
      <c r="AG162" s="25"/>
      <c r="AH162" s="29"/>
      <c r="AI162" s="25"/>
      <c r="AJ162" s="29"/>
      <c r="AK162" s="25"/>
      <c r="AL162" s="29"/>
      <c r="AM162" s="25"/>
      <c r="AN162" s="29"/>
      <c r="AO162" s="25"/>
      <c r="AP162" s="29"/>
      <c r="AQ162" s="25"/>
      <c r="AR162" s="29"/>
      <c r="AS162" s="25"/>
      <c r="AT162" s="29"/>
      <c r="AU162" s="25"/>
      <c r="AV162" s="29"/>
      <c r="AW162" s="25"/>
      <c r="AX162" s="29"/>
      <c r="AY162" s="25"/>
      <c r="AZ162" s="29"/>
      <c r="BA162" s="25"/>
      <c r="BB162" s="29"/>
      <c r="BC162" s="25"/>
      <c r="BD162" s="29"/>
      <c r="BE162" s="25"/>
      <c r="BF162" s="29"/>
      <c r="BG162" s="25"/>
      <c r="BH162" s="29"/>
      <c r="BI162" s="25"/>
      <c r="BJ162" s="29"/>
      <c r="BK162" s="25"/>
      <c r="BL162" s="29"/>
      <c r="BM162" s="25"/>
      <c r="BN162" s="29"/>
      <c r="BO162" s="25"/>
      <c r="BP162" s="29"/>
      <c r="BQ162" s="25"/>
      <c r="BR162" s="29"/>
      <c r="BS162" s="25"/>
      <c r="BT162" s="29"/>
      <c r="BU162" s="25"/>
      <c r="BV162" s="29"/>
      <c r="BW162" s="25"/>
      <c r="BX162" s="29"/>
      <c r="BY162" s="25"/>
      <c r="CA162" s="1" t="str">
        <f t="shared" si="69"/>
        <v>delete from sscd_mast where sscd_idcd = 'sale_no_word_KOR_common'  and site_idcd = 'common';</v>
      </c>
      <c r="CB162" s="5" t="str">
        <f>IF(E162&lt;&gt;"",CREATE_QUERY($B$1,A$2:AA$2,A162:AA162),"")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('sale_no_word_KOR_common', 'KOR', 'common', 'sale_no_word', '주문/매출번호', 'gb', '', '[["1","매출번호"],["2","주문번호"]]', '1:매출번호 2:주문번호', '', '1=매출번호|2=주문번호', '', '0', '0', '0', '0', 'sale_no_word 주문/매출번호 [["1","매출번호"],["2","주문번호"]]', ' ', '', '', ' ', '', '', '', '', '', '');</v>
      </c>
    </row>
    <row r="163" spans="1:80" ht="17">
      <c r="A163" s="26" t="str">
        <f t="shared" si="73"/>
        <v>po_path_KOR_common</v>
      </c>
      <c r="B163" s="25" t="s">
        <v>27</v>
      </c>
      <c r="C163" s="25" t="str">
        <f t="shared" si="67"/>
        <v>common</v>
      </c>
      <c r="D163" s="25" t="s">
        <v>94</v>
      </c>
      <c r="E163" s="25" t="s">
        <v>95</v>
      </c>
      <c r="F163" s="25" t="str">
        <f t="shared" si="74"/>
        <v>gb</v>
      </c>
      <c r="G163" s="25"/>
      <c r="H163" s="35" t="str">
        <f t="shared" si="75"/>
        <v>[["1","판매관리"],["2","B2B"],["3","기타"],["9","재고확보"]]</v>
      </c>
      <c r="I163" s="35" t="str">
        <f t="shared" si="68"/>
        <v>1:판매관리 2:B2B 3:기타 9:재고확보</v>
      </c>
      <c r="J163" s="35"/>
      <c r="K163" s="35" t="str">
        <f t="shared" si="70"/>
        <v>1=판매관리|2=B2B|3=기타|9=재고확보</v>
      </c>
      <c r="L163" s="2"/>
      <c r="M163" s="36">
        <v>0</v>
      </c>
      <c r="N163" s="36">
        <v>0</v>
      </c>
      <c r="O163" s="36" t="s">
        <v>31</v>
      </c>
      <c r="P163" s="36" t="s">
        <v>31</v>
      </c>
      <c r="Q163" s="35" t="str">
        <f t="shared" si="72"/>
        <v>po_path 주문경로 [["1","판매관리"],["2","B2B"],["3","기타"],["9","재고확보"]]</v>
      </c>
      <c r="R163" s="2" t="s">
        <v>921</v>
      </c>
      <c r="S163" s="2"/>
      <c r="T163" s="2"/>
      <c r="U163" s="2" t="s">
        <v>32</v>
      </c>
      <c r="V163" s="2"/>
      <c r="W163" s="2"/>
      <c r="X163" s="2"/>
      <c r="Y163" s="2"/>
      <c r="Z163" s="2"/>
      <c r="AA163" s="2"/>
      <c r="AB163" s="29" t="s">
        <v>370</v>
      </c>
      <c r="AC163" s="25" t="s">
        <v>541</v>
      </c>
      <c r="AD163" s="29">
        <v>2</v>
      </c>
      <c r="AE163" s="25" t="s">
        <v>700</v>
      </c>
      <c r="AF163" s="29">
        <v>3</v>
      </c>
      <c r="AG163" s="25" t="s">
        <v>701</v>
      </c>
      <c r="AH163" s="29">
        <v>9</v>
      </c>
      <c r="AI163" s="25" t="s">
        <v>702</v>
      </c>
      <c r="AJ163" s="29"/>
      <c r="AK163" s="25"/>
      <c r="AL163" s="29"/>
      <c r="AM163" s="25"/>
      <c r="AN163" s="29"/>
      <c r="AO163" s="25"/>
      <c r="AP163" s="29"/>
      <c r="AQ163" s="25"/>
      <c r="AR163" s="29"/>
      <c r="AS163" s="25"/>
      <c r="AT163" s="29"/>
      <c r="AU163" s="25"/>
      <c r="AV163" s="29"/>
      <c r="AW163" s="25"/>
      <c r="AX163" s="29"/>
      <c r="AY163" s="25"/>
      <c r="AZ163" s="29"/>
      <c r="BA163" s="25"/>
      <c r="BB163" s="29"/>
      <c r="BC163" s="25"/>
      <c r="BD163" s="29"/>
      <c r="BE163" s="25"/>
      <c r="BF163" s="29"/>
      <c r="BG163" s="25"/>
      <c r="BH163" s="29"/>
      <c r="BI163" s="25"/>
      <c r="BJ163" s="29"/>
      <c r="BK163" s="25"/>
      <c r="BL163" s="29"/>
      <c r="BM163" s="25"/>
      <c r="BN163" s="29"/>
      <c r="BO163" s="25"/>
      <c r="BP163" s="29"/>
      <c r="BQ163" s="25"/>
      <c r="BR163" s="29"/>
      <c r="BS163" s="25"/>
      <c r="BT163" s="29"/>
      <c r="BU163" s="25"/>
      <c r="BV163" s="29"/>
      <c r="BW163" s="25"/>
      <c r="BX163" s="29"/>
      <c r="BY163" s="25"/>
      <c r="CA163" s="1" t="str">
        <f t="shared" si="69"/>
        <v>delete from sscd_mast where sscd_idcd = 'po_path_KOR_common'  and site_idcd = 'common';</v>
      </c>
      <c r="CB163" s="5" t="str">
        <f>IF(E163&lt;&gt;"",CREATE_QUERY($B$1,A$2:AA$2,A163:AA163),"")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('po_path_KOR_common', 'KOR', 'common', 'po_path', '주문경로', 'gb', '', '[["1","판매관리"],["2","B2B"],["3","기타"],["9","재고확보"]]', '1:판매관리 2:B2B 3:기타 9:재고확보', '', '1=판매관리|2=B2B|3=기타|9=재고확보', '', '0', '0', '0', '0', 'po_path 주문경로 [["1","판매관리"],["2","B2B"],["3","기타"],["9","재고확보"]]', ' ', '', '', ' ', '', '', '', '', '', '');</v>
      </c>
    </row>
    <row r="164" spans="1:80" ht="17">
      <c r="A164" s="26" t="str">
        <f t="shared" si="73"/>
        <v>ordr_work_stat_KOR_common</v>
      </c>
      <c r="B164" s="25" t="s">
        <v>27</v>
      </c>
      <c r="C164" s="25" t="str">
        <f t="shared" si="67"/>
        <v>common</v>
      </c>
      <c r="D164" s="25" t="s">
        <v>272</v>
      </c>
      <c r="E164" s="25" t="s">
        <v>60</v>
      </c>
      <c r="F164" s="25" t="str">
        <f t="shared" si="74"/>
        <v>gb</v>
      </c>
      <c r="G164" s="25"/>
      <c r="H164" s="35" t="str">
        <f t="shared" si="75"/>
        <v>[["0200","배송대기","red"],["0400","부분배송","brown"],["0500","배송처리","blue"],["0600","배송완료"]]</v>
      </c>
      <c r="I164" s="35" t="str">
        <f t="shared" si="68"/>
        <v>0200:배송대기:red 0400:부분배송:brown 0500:배송처리:blue 0600:배송완료</v>
      </c>
      <c r="J164" s="35"/>
      <c r="K164" s="35" t="str">
        <f t="shared" si="70"/>
        <v>0200=배송대기:red|0400=부분배송:brown|0500=배송처리:blue|0600=배송완료</v>
      </c>
      <c r="L164" s="2"/>
      <c r="M164" s="36">
        <v>0</v>
      </c>
      <c r="N164" s="36">
        <v>0</v>
      </c>
      <c r="O164" s="36" t="s">
        <v>31</v>
      </c>
      <c r="P164" s="36" t="s">
        <v>31</v>
      </c>
      <c r="Q164" s="35" t="str">
        <f t="shared" si="72"/>
        <v>ordr_work_stat 주문서관리 상태 [["0200","배송대기","red"],["0400","부분배송","brown"],["0500","배송처리","blue"],["0600","배송완료"]]</v>
      </c>
      <c r="R164" s="2" t="s">
        <v>921</v>
      </c>
      <c r="S164" s="2"/>
      <c r="T164" s="2"/>
      <c r="U164" s="2" t="s">
        <v>32</v>
      </c>
      <c r="V164" s="2"/>
      <c r="W164" s="2"/>
      <c r="X164" s="2"/>
      <c r="Y164" s="2"/>
      <c r="Z164" s="2"/>
      <c r="AA164" s="2"/>
      <c r="AB164" s="29" t="s">
        <v>584</v>
      </c>
      <c r="AC164" s="25" t="s">
        <v>641</v>
      </c>
      <c r="AD164" s="29" t="s">
        <v>567</v>
      </c>
      <c r="AE164" s="25" t="s">
        <v>640</v>
      </c>
      <c r="AF164" s="29" t="s">
        <v>568</v>
      </c>
      <c r="AG164" s="25" t="s">
        <v>642</v>
      </c>
      <c r="AH164" s="29" t="s">
        <v>611</v>
      </c>
      <c r="AI164" s="25" t="s">
        <v>643</v>
      </c>
      <c r="AJ164" s="29"/>
      <c r="AK164" s="25"/>
      <c r="AL164" s="29"/>
      <c r="AM164" s="25"/>
      <c r="AN164" s="29"/>
      <c r="AO164" s="25"/>
      <c r="AP164" s="29"/>
      <c r="AQ164" s="25"/>
      <c r="AR164" s="29"/>
      <c r="AS164" s="25"/>
      <c r="AT164" s="29"/>
      <c r="AU164" s="25"/>
      <c r="AV164" s="29"/>
      <c r="AW164" s="25"/>
      <c r="AX164" s="29"/>
      <c r="AY164" s="25"/>
      <c r="AZ164" s="29"/>
      <c r="BA164" s="25"/>
      <c r="BB164" s="29"/>
      <c r="BC164" s="25"/>
      <c r="BD164" s="29"/>
      <c r="BE164" s="25"/>
      <c r="BF164" s="29"/>
      <c r="BG164" s="25"/>
      <c r="BH164" s="29"/>
      <c r="BI164" s="25"/>
      <c r="BJ164" s="29"/>
      <c r="BK164" s="25"/>
      <c r="BL164" s="29"/>
      <c r="BM164" s="25"/>
      <c r="BN164" s="29"/>
      <c r="BO164" s="25"/>
      <c r="BP164" s="29"/>
      <c r="BQ164" s="25"/>
      <c r="BR164" s="29"/>
      <c r="BS164" s="25"/>
      <c r="BT164" s="29"/>
      <c r="BU164" s="25"/>
      <c r="BV164" s="29"/>
      <c r="BW164" s="25"/>
      <c r="BX164" s="29"/>
      <c r="BY164" s="25"/>
      <c r="CA164" s="1" t="str">
        <f t="shared" si="69"/>
        <v>delete from sscd_mast where sscd_idcd = 'ordr_work_stat_KOR_common'  and site_idcd = 'common';</v>
      </c>
      <c r="CB164" s="5" t="str">
        <f>IF(E164&lt;&gt;"",CREATE_QUERY($B$1,A$2:AA$2,A164:AA164),"")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('ordr_work_stat_KOR_common', 'KOR', 'common', 'ordr_work_stat', '주문서관리 상태', 'gb', '', '[["0200","배송대기","red"],["0400","부분배송","brown"],["0500","배송처리","blue"],["0600","배송완료"]]', '0200:배송대기:red 0400:부분배송:brown 0500:배송처리:blue 0600:배송완료', '', '0200=배송대기:red|0400=부분배송:brown|0500=배송처리:blue|0600=배송완료', '', '0', '0', '0', '0', 'ordr_work_stat 주문서관리 상태 [["0200","배송대기","red"],["0400","부분배송","brown"],["0500","배송처리","blue"],["0600","배송완료"]]', ' ', '', '', ' ', '', '', '', '', '', '');</v>
      </c>
    </row>
    <row r="165" spans="1:80" ht="17">
      <c r="A165" s="26" t="str">
        <f t="shared" si="73"/>
        <v>ordr_acpt_stat_KOR_common</v>
      </c>
      <c r="B165" s="25" t="s">
        <v>27</v>
      </c>
      <c r="C165" s="25" t="str">
        <f t="shared" si="67"/>
        <v>common</v>
      </c>
      <c r="D165" s="25" t="s">
        <v>273</v>
      </c>
      <c r="E165" s="25" t="s">
        <v>59</v>
      </c>
      <c r="F165" s="25" t="str">
        <f t="shared" si="74"/>
        <v>gb</v>
      </c>
      <c r="G165" s="25"/>
      <c r="H165" s="35" t="str">
        <f t="shared" si="75"/>
        <v>[["0010","승인대기"],["0200","배송대기","red"],["0400","부분배송","brown"],["0500","배송처리","blue"],["0600","배송완료"]]</v>
      </c>
      <c r="I165" s="35" t="str">
        <f t="shared" si="68"/>
        <v>0010:승인대기 0200:배송대기:red 0400:부분배송:brown 0500:배송처리:blue 0600:배송완료</v>
      </c>
      <c r="J165" s="35"/>
      <c r="K165" s="35" t="str">
        <f t="shared" si="70"/>
        <v>0010=승인대기|0200=배송대기:red|0400=부분배송:brown|0500=배송처리:blue|0600=배송완료</v>
      </c>
      <c r="L165" s="2"/>
      <c r="M165" s="36">
        <v>0</v>
      </c>
      <c r="N165" s="36">
        <v>0</v>
      </c>
      <c r="O165" s="36" t="s">
        <v>31</v>
      </c>
      <c r="P165" s="36" t="s">
        <v>31</v>
      </c>
      <c r="Q165" s="35" t="str">
        <f t="shared" si="72"/>
        <v>ordr_acpt_stat 주문서접수 상태 [["0010","승인대기"],["0200","배송대기","red"],["0400","부분배송","brown"],["0500","배송처리","blue"],["0600","배송완료"]]</v>
      </c>
      <c r="R165" s="2" t="s">
        <v>921</v>
      </c>
      <c r="S165" s="2"/>
      <c r="T165" s="2"/>
      <c r="U165" s="2" t="s">
        <v>32</v>
      </c>
      <c r="V165" s="2"/>
      <c r="W165" s="2"/>
      <c r="X165" s="2"/>
      <c r="Y165" s="2"/>
      <c r="Z165" s="2"/>
      <c r="AA165" s="2"/>
      <c r="AB165" s="29" t="s">
        <v>2457</v>
      </c>
      <c r="AC165" s="25" t="s">
        <v>431</v>
      </c>
      <c r="AD165" s="29" t="s">
        <v>584</v>
      </c>
      <c r="AE165" s="25" t="s">
        <v>644</v>
      </c>
      <c r="AF165" s="29" t="s">
        <v>567</v>
      </c>
      <c r="AG165" s="25" t="s">
        <v>640</v>
      </c>
      <c r="AH165" s="29" t="s">
        <v>568</v>
      </c>
      <c r="AI165" s="25" t="s">
        <v>645</v>
      </c>
      <c r="AJ165" s="29" t="s">
        <v>611</v>
      </c>
      <c r="AK165" s="25" t="s">
        <v>646</v>
      </c>
      <c r="AL165" s="29"/>
      <c r="AM165" s="25"/>
      <c r="AN165" s="29"/>
      <c r="AO165" s="25"/>
      <c r="AP165" s="29"/>
      <c r="AQ165" s="25"/>
      <c r="AR165" s="29"/>
      <c r="AS165" s="25"/>
      <c r="AT165" s="29"/>
      <c r="AU165" s="25"/>
      <c r="AV165" s="29"/>
      <c r="AW165" s="25"/>
      <c r="AX165" s="29"/>
      <c r="AY165" s="25"/>
      <c r="AZ165" s="29"/>
      <c r="BA165" s="25"/>
      <c r="BB165" s="29"/>
      <c r="BC165" s="25"/>
      <c r="BD165" s="29"/>
      <c r="BE165" s="25"/>
      <c r="BF165" s="29"/>
      <c r="BG165" s="25"/>
      <c r="BH165" s="29"/>
      <c r="BI165" s="25"/>
      <c r="BJ165" s="29"/>
      <c r="BK165" s="25"/>
      <c r="BL165" s="29"/>
      <c r="BM165" s="25"/>
      <c r="BN165" s="29"/>
      <c r="BO165" s="25"/>
      <c r="BP165" s="29"/>
      <c r="BQ165" s="25"/>
      <c r="BR165" s="29"/>
      <c r="BS165" s="25"/>
      <c r="BT165" s="29"/>
      <c r="BU165" s="25"/>
      <c r="BV165" s="29"/>
      <c r="BW165" s="25"/>
      <c r="BX165" s="29"/>
      <c r="BY165" s="25"/>
      <c r="CA165" s="1" t="str">
        <f t="shared" si="69"/>
        <v>delete from sscd_mast where sscd_idcd = 'ordr_acpt_stat_KOR_common'  and site_idcd = 'common';</v>
      </c>
      <c r="CB165" s="5" t="str">
        <f>IF(E165&lt;&gt;"",CREATE_QUERY($B$1,A$2:AA$2,A165:AA165),"")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('ordr_acpt_stat_KOR_common', 'KOR', 'common', 'ordr_acpt_stat', '주문서접수 상태', 'gb', '', '[["0010","승인대기"],["0200","배송대기","red"],["0400","부분배송","brown"],["0500","배송처리","blue"],["0600","배송완료"]]', '0010:승인대기 0200:배송대기:red 0400:부분배송:brown 0500:배송처리:blue 0600:배송완료', '', '0010=승인대기|0200=배송대기:red|0400=부분배송:brown|0500=배송처리:blue|0600=배송완료', '', '0', '0', '0', '0', 'ordr_acpt_stat 주문서접수 상태 [["0010","승인대기"],["0200","배송대기","red"],["0400","부분배송","brown"],["0500","배송처리","blue"],["0600","배송완료"]]', ' ', '', '', ' ', '', '', '', '', '', '');</v>
      </c>
    </row>
    <row r="166" spans="1:80" ht="17">
      <c r="A166" s="26" t="str">
        <f t="shared" si="73"/>
        <v>addr_dvcd_KOR_common</v>
      </c>
      <c r="B166" s="25" t="s">
        <v>27</v>
      </c>
      <c r="C166" s="25" t="str">
        <f t="shared" si="67"/>
        <v>common</v>
      </c>
      <c r="D166" s="25" t="s">
        <v>302</v>
      </c>
      <c r="E166" s="25" t="s">
        <v>188</v>
      </c>
      <c r="F166" s="25" t="str">
        <f t="shared" si="74"/>
        <v>gb</v>
      </c>
      <c r="G166" s="25"/>
      <c r="H166" s="35" t="str">
        <f t="shared" si="75"/>
        <v>[["1000","사업장주소"],["2000","사업자등록주소"],["3000","실주소"],["4000","본사주소"]]</v>
      </c>
      <c r="I166" s="35" t="str">
        <f t="shared" si="68"/>
        <v>1000:사업장주소 2000:사업자등록주소 3000:실주소 4000:본사주소</v>
      </c>
      <c r="J166" s="35"/>
      <c r="K166" s="35" t="str">
        <f t="shared" si="70"/>
        <v>1000=사업장주소|2000=사업자등록주소|3000=실주소|4000=본사주소</v>
      </c>
      <c r="L166" s="2"/>
      <c r="M166" s="36">
        <v>0</v>
      </c>
      <c r="N166" s="36">
        <v>0</v>
      </c>
      <c r="O166" s="36" t="s">
        <v>31</v>
      </c>
      <c r="P166" s="36" t="s">
        <v>31</v>
      </c>
      <c r="Q166" s="35" t="str">
        <f t="shared" si="72"/>
        <v>addr_dvcd 주소구분코드 [["1000","사업장주소"],["2000","사업자등록주소"],["3000","실주소"],["4000","본사주소"]]</v>
      </c>
      <c r="R166" s="2" t="s">
        <v>921</v>
      </c>
      <c r="S166" s="2"/>
      <c r="T166" s="2"/>
      <c r="U166" s="2"/>
      <c r="V166" s="2"/>
      <c r="W166" s="2"/>
      <c r="X166" s="2"/>
      <c r="Y166" s="2"/>
      <c r="Z166" s="2"/>
      <c r="AA166" s="2"/>
      <c r="AB166" s="28" t="s">
        <v>591</v>
      </c>
      <c r="AC166" s="25" t="s">
        <v>542</v>
      </c>
      <c r="AD166" s="28" t="s">
        <v>592</v>
      </c>
      <c r="AE166" s="25" t="s">
        <v>543</v>
      </c>
      <c r="AF166" s="28" t="s">
        <v>600</v>
      </c>
      <c r="AG166" s="25" t="s">
        <v>647</v>
      </c>
      <c r="AH166" s="28" t="s">
        <v>601</v>
      </c>
      <c r="AI166" s="25" t="s">
        <v>698</v>
      </c>
      <c r="AJ166" s="28"/>
      <c r="AK166" s="25"/>
      <c r="AL166" s="28"/>
      <c r="AM166" s="25"/>
      <c r="AN166" s="28"/>
      <c r="AO166" s="25"/>
      <c r="AP166" s="28"/>
      <c r="AQ166" s="25"/>
      <c r="AR166" s="28"/>
      <c r="AS166" s="25"/>
      <c r="AT166" s="28"/>
      <c r="AU166" s="25"/>
      <c r="AV166" s="28"/>
      <c r="AW166" s="25"/>
      <c r="AX166" s="28"/>
      <c r="AY166" s="25"/>
      <c r="AZ166" s="28"/>
      <c r="BA166" s="25"/>
      <c r="BB166" s="28"/>
      <c r="BC166" s="25"/>
      <c r="BD166" s="28"/>
      <c r="BE166" s="25"/>
      <c r="BF166" s="28"/>
      <c r="BG166" s="25"/>
      <c r="BH166" s="28"/>
      <c r="BI166" s="25"/>
      <c r="BJ166" s="28"/>
      <c r="BK166" s="25"/>
      <c r="BL166" s="28"/>
      <c r="BM166" s="25"/>
      <c r="BN166" s="28"/>
      <c r="BO166" s="25"/>
      <c r="BP166" s="28"/>
      <c r="BQ166" s="25"/>
      <c r="BR166" s="28"/>
      <c r="BS166" s="25"/>
      <c r="BT166" s="28"/>
      <c r="BU166" s="25"/>
      <c r="BV166" s="28"/>
      <c r="BW166" s="25"/>
      <c r="BX166" s="28"/>
      <c r="BY166" s="25"/>
      <c r="CA166" s="1" t="str">
        <f t="shared" si="69"/>
        <v>delete from sscd_mast where sscd_idcd = 'addr_dvcd_KOR_common'  and site_idcd = 'common';</v>
      </c>
      <c r="CB166" s="5" t="str">
        <f>IF(E166&lt;&gt;"",CREATE_QUERY($B$1,A$2:AA$2,A166:AA166),"")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('addr_dvcd_KOR_common', 'KOR', 'common', 'addr_dvcd', '주소구분코드', 'gb', '', '[["1000","사업장주소"],["2000","사업자등록주소"],["3000","실주소"],["4000","본사주소"]]', '1000:사업장주소 2000:사업자등록주소 3000:실주소 4000:본사주소', '', '1000=사업장주소|2000=사업자등록주소|3000=실주소|4000=본사주소', '', '0', '0', '0', '0', 'addr_dvcd 주소구분코드 [["1000","사업장주소"],["2000","사업자등록주소"],["3000","실주소"],["4000","본사주소"]]', ' ', '', '', '', '', '', '', '', '', '');</v>
      </c>
    </row>
    <row r="167" spans="1:80" ht="17">
      <c r="A167" s="26" t="str">
        <f t="shared" si="73"/>
        <v>lcal_dvcd_KOR_common</v>
      </c>
      <c r="B167" s="25" t="s">
        <v>27</v>
      </c>
      <c r="C167" s="25" t="str">
        <f t="shared" si="67"/>
        <v>common</v>
      </c>
      <c r="D167" s="25" t="s">
        <v>282</v>
      </c>
      <c r="E167" s="25" t="s">
        <v>168</v>
      </c>
      <c r="F167" s="25" t="str">
        <f t="shared" si="74"/>
        <v>gb</v>
      </c>
      <c r="G167" s="25"/>
      <c r="H167" s="35" t="str">
        <f t="shared" si="75"/>
        <v>[["1000","서울"],["2000","경기"],["3000","충청"],["4000","경상"],["5000","전라"],["6000","제주"]]</v>
      </c>
      <c r="I167" s="35" t="str">
        <f t="shared" si="68"/>
        <v>1000:서울 2000:경기 3000:충청 4000:경상 5000:전라 6000:제주</v>
      </c>
      <c r="J167" s="35"/>
      <c r="K167" s="35" t="str">
        <f t="shared" si="70"/>
        <v>1000=서울|2000=경기|3000=충청|4000=경상|5000=전라|6000=제주</v>
      </c>
      <c r="L167" s="2"/>
      <c r="M167" s="36">
        <v>0</v>
      </c>
      <c r="N167" s="36">
        <v>0</v>
      </c>
      <c r="O167" s="36" t="s">
        <v>31</v>
      </c>
      <c r="P167" s="36" t="s">
        <v>31</v>
      </c>
      <c r="Q167" s="35" t="str">
        <f t="shared" si="72"/>
        <v>lcal_dvcd 지역구분코드 [["1000","서울"],["2000","경기"],["3000","충청"],["4000","경상"],["5000","전라"],["6000","제주"]]</v>
      </c>
      <c r="R167" s="2" t="s">
        <v>921</v>
      </c>
      <c r="S167" s="2"/>
      <c r="T167" s="2"/>
      <c r="U167" s="2"/>
      <c r="V167" s="2"/>
      <c r="W167" s="2"/>
      <c r="X167" s="2"/>
      <c r="Y167" s="2"/>
      <c r="Z167" s="2"/>
      <c r="AA167" s="2"/>
      <c r="AB167" s="28" t="s">
        <v>591</v>
      </c>
      <c r="AC167" s="25" t="s">
        <v>854</v>
      </c>
      <c r="AD167" s="28" t="s">
        <v>592</v>
      </c>
      <c r="AE167" s="25" t="s">
        <v>855</v>
      </c>
      <c r="AF167" s="28" t="s">
        <v>600</v>
      </c>
      <c r="AG167" s="25" t="s">
        <v>856</v>
      </c>
      <c r="AH167" s="28" t="s">
        <v>601</v>
      </c>
      <c r="AI167" s="25" t="s">
        <v>857</v>
      </c>
      <c r="AJ167" s="28" t="s">
        <v>626</v>
      </c>
      <c r="AK167" s="25" t="s">
        <v>858</v>
      </c>
      <c r="AL167" s="28" t="s">
        <v>628</v>
      </c>
      <c r="AM167" s="25" t="s">
        <v>859</v>
      </c>
      <c r="AN167" s="28"/>
      <c r="AO167" s="25"/>
      <c r="AP167" s="28"/>
      <c r="AQ167" s="25"/>
      <c r="AR167" s="28"/>
      <c r="AS167" s="25"/>
      <c r="AT167" s="28"/>
      <c r="AU167" s="25"/>
      <c r="AV167" s="28"/>
      <c r="AW167" s="25"/>
      <c r="AX167" s="28"/>
      <c r="AY167" s="25"/>
      <c r="AZ167" s="28"/>
      <c r="BA167" s="25"/>
      <c r="BB167" s="28"/>
      <c r="BC167" s="25"/>
      <c r="BD167" s="28"/>
      <c r="BE167" s="25"/>
      <c r="BF167" s="28"/>
      <c r="BG167" s="25"/>
      <c r="BH167" s="28"/>
      <c r="BI167" s="25"/>
      <c r="BJ167" s="28"/>
      <c r="BK167" s="25"/>
      <c r="BL167" s="28"/>
      <c r="BM167" s="25"/>
      <c r="BN167" s="28"/>
      <c r="BO167" s="25"/>
      <c r="BP167" s="28"/>
      <c r="BQ167" s="25"/>
      <c r="BR167" s="28"/>
      <c r="BS167" s="25"/>
      <c r="BT167" s="28"/>
      <c r="BU167" s="25"/>
      <c r="BV167" s="28"/>
      <c r="BW167" s="25"/>
      <c r="BX167" s="28"/>
      <c r="BY167" s="25"/>
      <c r="CA167" s="1" t="str">
        <f t="shared" si="69"/>
        <v>delete from sscd_mast where sscd_idcd = 'lcal_dvcd_KOR_common'  and site_idcd = 'common';</v>
      </c>
      <c r="CB167" s="5" t="str">
        <f>IF(E167&lt;&gt;"",CREATE_QUERY($B$1,A$2:AA$2,A167:AA167),"")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('lcal_dvcd_KOR_common', 'KOR', 'common', 'lcal_dvcd', '지역구분코드', 'gb', '', '[["1000","서울"],["2000","경기"],["3000","충청"],["4000","경상"],["5000","전라"],["6000","제주"]]', '1000:서울 2000:경기 3000:충청 4000:경상 5000:전라 6000:제주', '', '1000=서울|2000=경기|3000=충청|4000=경상|5000=전라|6000=제주', '', '0', '0', '0', '0', 'lcal_dvcd 지역구분코드 [["1000","서울"],["2000","경기"],["3000","충청"],["4000","경상"],["5000","전라"],["6000","제주"]]', ' ', '', '', '', '', '', '', '', '', '');</v>
      </c>
    </row>
    <row r="168" spans="1:80" ht="17">
      <c r="A168" s="26" t="str">
        <f t="shared" si="73"/>
        <v>duty_dvcd_KOR_common</v>
      </c>
      <c r="B168" s="25" t="s">
        <v>27</v>
      </c>
      <c r="C168" s="25" t="str">
        <f t="shared" si="67"/>
        <v>common</v>
      </c>
      <c r="D168" s="25" t="s">
        <v>124</v>
      </c>
      <c r="E168" s="25" t="s">
        <v>113</v>
      </c>
      <c r="F168" s="25" t="str">
        <f t="shared" si="74"/>
        <v>gb</v>
      </c>
      <c r="G168" s="25"/>
      <c r="H168" s="35" t="str">
        <f t="shared" si="75"/>
        <v>[["1000","일반관리"],["2000","경리"],["3000","생산"],["4000","경비"],["5000","영업"],["6000","생산관리"],["7000","총무"],["8000","설계"]]</v>
      </c>
      <c r="I168" s="35" t="str">
        <f t="shared" si="68"/>
        <v>1000:일반관리 2000:경리 3000:생산 4000:경비 5000:영업 6000:생산관리 7000:총무 8000:설계</v>
      </c>
      <c r="J168" s="35"/>
      <c r="K168" s="35" t="str">
        <f t="shared" si="70"/>
        <v>1000=일반관리|2000=경리|3000=생산|4000=경비|5000=영업|6000=생산관리|7000=총무|8000=설계</v>
      </c>
      <c r="L168" s="2"/>
      <c r="M168" s="36">
        <v>0</v>
      </c>
      <c r="N168" s="36">
        <v>0</v>
      </c>
      <c r="O168" s="36" t="s">
        <v>31</v>
      </c>
      <c r="P168" s="36" t="s">
        <v>31</v>
      </c>
      <c r="Q168" s="35" t="str">
        <f t="shared" ref="Q168:Q183" si="76">IF(D168="","",D168&amp;" "&amp;E168&amp;" "&amp;H168)</f>
        <v>duty_dvcd 직무구분코드 [["1000","일반관리"],["2000","경리"],["3000","생산"],["4000","경비"],["5000","영업"],["6000","생산관리"],["7000","총무"],["8000","설계"]]</v>
      </c>
      <c r="R168" s="2" t="s">
        <v>921</v>
      </c>
      <c r="S168" s="2"/>
      <c r="T168" s="2"/>
      <c r="U168" s="2" t="s">
        <v>32</v>
      </c>
      <c r="V168" s="2"/>
      <c r="W168" s="2"/>
      <c r="X168" s="2"/>
      <c r="Y168" s="2"/>
      <c r="Z168" s="2"/>
      <c r="AA168" s="2"/>
      <c r="AB168" s="28" t="s">
        <v>591</v>
      </c>
      <c r="AC168" s="25" t="s">
        <v>544</v>
      </c>
      <c r="AD168" s="28" t="s">
        <v>592</v>
      </c>
      <c r="AE168" s="25" t="s">
        <v>545</v>
      </c>
      <c r="AF168" s="28" t="s">
        <v>600</v>
      </c>
      <c r="AG168" s="25" t="s">
        <v>546</v>
      </c>
      <c r="AH168" s="28" t="s">
        <v>601</v>
      </c>
      <c r="AI168" s="25" t="s">
        <v>547</v>
      </c>
      <c r="AJ168" s="28" t="s">
        <v>626</v>
      </c>
      <c r="AK168" s="25" t="s">
        <v>648</v>
      </c>
      <c r="AL168" s="28" t="s">
        <v>628</v>
      </c>
      <c r="AM168" s="25" t="s">
        <v>649</v>
      </c>
      <c r="AN168" s="28" t="s">
        <v>629</v>
      </c>
      <c r="AO168" s="25" t="s">
        <v>2448</v>
      </c>
      <c r="AP168" s="28" t="s">
        <v>2442</v>
      </c>
      <c r="AQ168" s="25" t="s">
        <v>2571</v>
      </c>
      <c r="AR168" s="28"/>
      <c r="AS168" s="25"/>
      <c r="AT168" s="28"/>
      <c r="AU168" s="25"/>
      <c r="AV168" s="28"/>
      <c r="AW168" s="25"/>
      <c r="AX168" s="28"/>
      <c r="AY168" s="25"/>
      <c r="AZ168" s="28"/>
      <c r="BA168" s="25"/>
      <c r="BB168" s="28"/>
      <c r="BC168" s="25"/>
      <c r="BD168" s="28"/>
      <c r="BE168" s="25"/>
      <c r="BF168" s="28"/>
      <c r="BG168" s="25"/>
      <c r="BH168" s="28"/>
      <c r="BI168" s="25"/>
      <c r="BJ168" s="28"/>
      <c r="BK168" s="25"/>
      <c r="BL168" s="28"/>
      <c r="BM168" s="25"/>
      <c r="BN168" s="28"/>
      <c r="BO168" s="25"/>
      <c r="BP168" s="28"/>
      <c r="BQ168" s="25"/>
      <c r="BR168" s="28"/>
      <c r="BS168" s="25"/>
      <c r="BT168" s="28"/>
      <c r="BU168" s="25"/>
      <c r="BV168" s="28"/>
      <c r="BW168" s="25"/>
      <c r="BX168" s="28"/>
      <c r="BY168" s="25"/>
      <c r="CA168" s="1" t="str">
        <f t="shared" si="69"/>
        <v>delete from sscd_mast where sscd_idcd = 'duty_dvcd_KOR_common'  and site_idcd = 'common';</v>
      </c>
      <c r="CB168" s="5" t="str">
        <f>IF(E168&lt;&gt;"",CREATE_QUERY($B$1,A$2:AA$2,A168:AA168),"")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('duty_dvcd_KOR_common', 'KOR', 'common', 'duty_dvcd', '직무구분코드', 'gb', '', '[["1000","일반관리"],["2000","경리"],["3000","생산"],["4000","경비"],["5000","영업"],["6000","생산관리"],["7000","총무"],["8000","설계"]]', '1000:일반관리 2000:경리 3000:생산 4000:경비 5000:영업 6000:생산관리 7000:총무 8000:설계', '', '1000=일반관리|2000=경리|3000=생산|4000=경비|5000=영업|6000=생산관리|7000=총무|8000=설계', '', '0', '0', '0', '0', 'duty_dvcd 직무구분코드 [["1000","일반관리"],["2000","경리"],["3000","생산"],["4000","경비"],["5000","영업"],["6000","생산관리"],["7000","총무"],["8000","설계"]]', ' ', '', '', ' ', '', '', '', '', '', '');</v>
      </c>
    </row>
    <row r="169" spans="1:80" ht="17">
      <c r="A169" s="26" t="str">
        <f t="shared" si="73"/>
        <v>user_dvcd_KOR_common</v>
      </c>
      <c r="B169" s="25" t="s">
        <v>27</v>
      </c>
      <c r="C169" s="25" t="str">
        <f t="shared" si="67"/>
        <v>common</v>
      </c>
      <c r="D169" s="25" t="s">
        <v>144</v>
      </c>
      <c r="E169" s="25" t="s">
        <v>58</v>
      </c>
      <c r="F169" s="25" t="str">
        <f t="shared" si="74"/>
        <v>gb</v>
      </c>
      <c r="G169" s="25"/>
      <c r="H169" s="35" t="str">
        <f t="shared" si="75"/>
        <v>[["1000","직원","blue"],["2000","프리","green"],["3000","아르바이트","green"]]</v>
      </c>
      <c r="I169" s="35" t="str">
        <f t="shared" si="68"/>
        <v>1000:직원:blue 2000:프리:green 3000:아르바이트:green</v>
      </c>
      <c r="J169" s="35"/>
      <c r="K169" s="35" t="str">
        <f t="shared" si="70"/>
        <v>1000=직원:blue|2000=프리:green|3000=아르바이트:green</v>
      </c>
      <c r="L169" s="2"/>
      <c r="M169" s="36">
        <v>0</v>
      </c>
      <c r="N169" s="36">
        <v>0</v>
      </c>
      <c r="O169" s="36" t="s">
        <v>31</v>
      </c>
      <c r="P169" s="36" t="s">
        <v>31</v>
      </c>
      <c r="Q169" s="35" t="str">
        <f t="shared" si="76"/>
        <v>user_dvcd 직원구분 [["1000","직원","blue"],["2000","프리","green"],["3000","아르바이트","green"]]</v>
      </c>
      <c r="R169" s="2" t="s">
        <v>921</v>
      </c>
      <c r="S169" s="2"/>
      <c r="T169" s="2"/>
      <c r="U169" s="2" t="s">
        <v>32</v>
      </c>
      <c r="V169" s="2"/>
      <c r="W169" s="2"/>
      <c r="X169" s="2"/>
      <c r="Y169" s="2"/>
      <c r="Z169" s="2"/>
      <c r="AA169" s="2"/>
      <c r="AB169" s="29" t="s">
        <v>591</v>
      </c>
      <c r="AC169" s="25" t="s">
        <v>650</v>
      </c>
      <c r="AD169" s="29" t="s">
        <v>592</v>
      </c>
      <c r="AE169" s="25" t="s">
        <v>651</v>
      </c>
      <c r="AF169" s="29" t="s">
        <v>600</v>
      </c>
      <c r="AG169" s="25" t="s">
        <v>652</v>
      </c>
      <c r="AH169" s="29"/>
      <c r="AI169" s="25"/>
      <c r="AJ169" s="29"/>
      <c r="AK169" s="25"/>
      <c r="AL169" s="29"/>
      <c r="AM169" s="25"/>
      <c r="AN169" s="29"/>
      <c r="AO169" s="25"/>
      <c r="AP169" s="29"/>
      <c r="AQ169" s="25"/>
      <c r="AR169" s="29"/>
      <c r="AS169" s="25"/>
      <c r="AT169" s="29"/>
      <c r="AU169" s="25"/>
      <c r="AV169" s="29"/>
      <c r="AW169" s="25"/>
      <c r="AX169" s="29"/>
      <c r="AY169" s="25"/>
      <c r="AZ169" s="29"/>
      <c r="BA169" s="25"/>
      <c r="BB169" s="29"/>
      <c r="BC169" s="25"/>
      <c r="BD169" s="29"/>
      <c r="BE169" s="25"/>
      <c r="BF169" s="29"/>
      <c r="BG169" s="25"/>
      <c r="BH169" s="29"/>
      <c r="BI169" s="25"/>
      <c r="BJ169" s="29"/>
      <c r="BK169" s="25"/>
      <c r="BL169" s="29"/>
      <c r="BM169" s="25"/>
      <c r="BN169" s="29"/>
      <c r="BO169" s="25"/>
      <c r="BP169" s="29"/>
      <c r="BQ169" s="25"/>
      <c r="BR169" s="29"/>
      <c r="BS169" s="25"/>
      <c r="BT169" s="29"/>
      <c r="BU169" s="25"/>
      <c r="BV169" s="29"/>
      <c r="BW169" s="25"/>
      <c r="BX169" s="29"/>
      <c r="BY169" s="25"/>
      <c r="CA169" s="1" t="str">
        <f t="shared" si="69"/>
        <v>delete from sscd_mast where sscd_idcd = 'user_dvcd_KOR_common'  and site_idcd = 'common';</v>
      </c>
      <c r="CB169" s="5" t="str">
        <f>IF(E169&lt;&gt;"",CREATE_QUERY($B$1,A$2:AA$2,A169:AA169),"")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('user_dvcd_KOR_common', 'KOR', 'common', 'user_dvcd', '직원구분', 'gb', '', '[["1000","직원","blue"],["2000","프리","green"],["3000","아르바이트","green"]]', '1000:직원:blue 2000:프리:green 3000:아르바이트:green', '', '1000=직원:blue|2000=프리:green|3000=아르바이트:green', '', '0', '0', '0', '0', 'user_dvcd 직원구분 [["1000","직원","blue"],["2000","프리","green"],["3000","아르바이트","green"]]', ' ', '', '', ' ', '', '', '', '', '', '');</v>
      </c>
    </row>
    <row r="170" spans="1:80" ht="17">
      <c r="A170" s="26" t="str">
        <f t="shared" si="73"/>
        <v>empy_dvcd_KOR_common</v>
      </c>
      <c r="B170" s="25" t="s">
        <v>27</v>
      </c>
      <c r="C170" s="25" t="str">
        <f t="shared" si="67"/>
        <v>common</v>
      </c>
      <c r="D170" s="25" t="s">
        <v>315</v>
      </c>
      <c r="E170" s="25" t="s">
        <v>201</v>
      </c>
      <c r="F170" s="25" t="str">
        <f t="shared" si="74"/>
        <v>gb</v>
      </c>
      <c r="G170" s="25"/>
      <c r="H170" s="35" t="str">
        <f t="shared" si="75"/>
        <v>[["1","정규직"],["2","임시직"],["3","일용"],["4","외주"],["5","기타"]]</v>
      </c>
      <c r="I170" s="35" t="str">
        <f t="shared" si="68"/>
        <v>1:정규직 2:임시직 3:일용 4:외주 5:기타</v>
      </c>
      <c r="J170" s="35"/>
      <c r="K170" s="35" t="str">
        <f t="shared" si="70"/>
        <v>1=정규직|2=임시직|3=일용|4=외주|5=기타</v>
      </c>
      <c r="L170" s="2"/>
      <c r="M170" s="36">
        <v>0</v>
      </c>
      <c r="N170" s="36">
        <v>0</v>
      </c>
      <c r="O170" s="36" t="s">
        <v>31</v>
      </c>
      <c r="P170" s="36" t="s">
        <v>31</v>
      </c>
      <c r="Q170" s="35" t="str">
        <f t="shared" si="76"/>
        <v>empy_dvcd 직원구분코드 [["1","정규직"],["2","임시직"],["3","일용"],["4","외주"],["5","기타"]]</v>
      </c>
      <c r="R170" s="2" t="s">
        <v>921</v>
      </c>
      <c r="S170" s="2"/>
      <c r="T170" s="2"/>
      <c r="U170" s="2"/>
      <c r="V170" s="2"/>
      <c r="W170" s="2"/>
      <c r="X170" s="2"/>
      <c r="Y170" s="2"/>
      <c r="Z170" s="2"/>
      <c r="AA170" s="2"/>
      <c r="AB170" s="28" t="s">
        <v>684</v>
      </c>
      <c r="AC170" s="25" t="s">
        <v>860</v>
      </c>
      <c r="AD170" s="28" t="s">
        <v>685</v>
      </c>
      <c r="AE170" s="25" t="s">
        <v>861</v>
      </c>
      <c r="AF170" s="28" t="s">
        <v>687</v>
      </c>
      <c r="AG170" s="25" t="s">
        <v>862</v>
      </c>
      <c r="AH170" s="28" t="s">
        <v>688</v>
      </c>
      <c r="AI170" s="25" t="s">
        <v>863</v>
      </c>
      <c r="AJ170" s="28" t="s">
        <v>576</v>
      </c>
      <c r="AK170" s="25" t="s">
        <v>864</v>
      </c>
      <c r="AL170" s="28"/>
      <c r="AM170" s="25"/>
      <c r="AN170" s="28"/>
      <c r="AO170" s="25"/>
      <c r="AP170" s="28"/>
      <c r="AQ170" s="25"/>
      <c r="AR170" s="28"/>
      <c r="AS170" s="25"/>
      <c r="AT170" s="28"/>
      <c r="AU170" s="25"/>
      <c r="AV170" s="28"/>
      <c r="AW170" s="25"/>
      <c r="AX170" s="28"/>
      <c r="AY170" s="25"/>
      <c r="AZ170" s="28"/>
      <c r="BA170" s="25"/>
      <c r="BB170" s="28"/>
      <c r="BC170" s="25"/>
      <c r="BD170" s="28"/>
      <c r="BE170" s="25"/>
      <c r="BF170" s="28"/>
      <c r="BG170" s="25"/>
      <c r="BH170" s="28"/>
      <c r="BI170" s="25"/>
      <c r="BJ170" s="28"/>
      <c r="BK170" s="25"/>
      <c r="BL170" s="28"/>
      <c r="BM170" s="25"/>
      <c r="BN170" s="28"/>
      <c r="BO170" s="25"/>
      <c r="BP170" s="28"/>
      <c r="BQ170" s="25"/>
      <c r="BR170" s="28"/>
      <c r="BS170" s="25"/>
      <c r="BT170" s="28"/>
      <c r="BU170" s="25"/>
      <c r="BV170" s="28"/>
      <c r="BW170" s="25"/>
      <c r="BX170" s="28"/>
      <c r="BY170" s="25"/>
      <c r="CA170" s="1" t="str">
        <f t="shared" si="69"/>
        <v>delete from sscd_mast where sscd_idcd = 'empy_dvcd_KOR_common'  and site_idcd = 'common';</v>
      </c>
      <c r="CB170" s="5" t="str">
        <f>IF(E170&lt;&gt;"",CREATE_QUERY($B$1,A$2:AA$2,A170:AA170),"")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('empy_dvcd_KOR_common', 'KOR', 'common', 'empy_dvcd', '직원구분코드', 'gb', '', '[["1","정규직"],["2","임시직"],["3","일용"],["4","외주"],["5","기타"]]', '1:정규직 2:임시직 3:일용 4:외주 5:기타', '', '1=정규직|2=임시직|3=일용|4=외주|5=기타', '', '0', '0', '0', '0', 'empy_dvcd 직원구분코드 [["1","정규직"],["2","임시직"],["3","일용"],["4","외주"],["5","기타"]]', ' ', '', '', '', '', '', '', '', '', '');</v>
      </c>
    </row>
    <row r="171" spans="1:80" ht="17">
      <c r="A171" s="26" t="str">
        <f t="shared" si="73"/>
        <v>wkkn_dvcd_KOR_common</v>
      </c>
      <c r="B171" s="25" t="s">
        <v>27</v>
      </c>
      <c r="C171" s="25" t="str">
        <f t="shared" si="67"/>
        <v>common</v>
      </c>
      <c r="D171" s="25" t="s">
        <v>317</v>
      </c>
      <c r="E171" s="25" t="s">
        <v>203</v>
      </c>
      <c r="F171" s="25" t="str">
        <f t="shared" si="74"/>
        <v>gb</v>
      </c>
      <c r="G171" s="25"/>
      <c r="H171" s="35" t="str">
        <f t="shared" si="75"/>
        <v>[["1000","영업관리"],["2000","생산관리"],["3000","구매"]]</v>
      </c>
      <c r="I171" s="35" t="str">
        <f t="shared" si="68"/>
        <v>1000:영업관리 2000:생산관리 3000:구매</v>
      </c>
      <c r="J171" s="35"/>
      <c r="K171" s="35" t="str">
        <f t="shared" si="70"/>
        <v>1000=영업관리|2000=생산관리|3000=구매</v>
      </c>
      <c r="L171" s="2"/>
      <c r="M171" s="36">
        <v>0</v>
      </c>
      <c r="N171" s="36">
        <v>0</v>
      </c>
      <c r="O171" s="36" t="s">
        <v>31</v>
      </c>
      <c r="P171" s="36" t="s">
        <v>31</v>
      </c>
      <c r="Q171" s="35" t="str">
        <f t="shared" si="76"/>
        <v>wkkn_dvcd 직종구분코드 [["1000","영업관리"],["2000","생산관리"],["3000","구매"]]</v>
      </c>
      <c r="R171" s="2" t="s">
        <v>921</v>
      </c>
      <c r="S171" s="2"/>
      <c r="T171" s="2"/>
      <c r="U171" s="2"/>
      <c r="V171" s="2"/>
      <c r="W171" s="2"/>
      <c r="X171" s="2"/>
      <c r="Y171" s="2"/>
      <c r="Z171" s="2"/>
      <c r="AA171" s="2"/>
      <c r="AB171" s="28" t="s">
        <v>591</v>
      </c>
      <c r="AC171" s="25" t="s">
        <v>845</v>
      </c>
      <c r="AD171" s="28" t="s">
        <v>592</v>
      </c>
      <c r="AE171" s="25" t="s">
        <v>846</v>
      </c>
      <c r="AF171" s="28" t="s">
        <v>600</v>
      </c>
      <c r="AG171" s="25" t="s">
        <v>847</v>
      </c>
      <c r="AH171" s="28"/>
      <c r="AI171" s="25"/>
      <c r="AJ171" s="28"/>
      <c r="AK171" s="25"/>
      <c r="AL171" s="28"/>
      <c r="AM171" s="25"/>
      <c r="AN171" s="28"/>
      <c r="AO171" s="25"/>
      <c r="AP171" s="28"/>
      <c r="AQ171" s="25"/>
      <c r="AR171" s="28"/>
      <c r="AS171" s="25"/>
      <c r="AT171" s="28"/>
      <c r="AU171" s="25"/>
      <c r="AV171" s="28"/>
      <c r="AW171" s="25"/>
      <c r="AX171" s="28"/>
      <c r="AY171" s="25"/>
      <c r="AZ171" s="28"/>
      <c r="BA171" s="25"/>
      <c r="BB171" s="28"/>
      <c r="BC171" s="25"/>
      <c r="BD171" s="28"/>
      <c r="BE171" s="25"/>
      <c r="BF171" s="28"/>
      <c r="BG171" s="25"/>
      <c r="BH171" s="28"/>
      <c r="BI171" s="25"/>
      <c r="BJ171" s="28"/>
      <c r="BK171" s="25"/>
      <c r="BL171" s="28"/>
      <c r="BM171" s="25"/>
      <c r="BN171" s="28"/>
      <c r="BO171" s="25"/>
      <c r="BP171" s="28"/>
      <c r="BQ171" s="25"/>
      <c r="BR171" s="28"/>
      <c r="BS171" s="25"/>
      <c r="BT171" s="28"/>
      <c r="BU171" s="25"/>
      <c r="BV171" s="28"/>
      <c r="BW171" s="25"/>
      <c r="BX171" s="28"/>
      <c r="BY171" s="25"/>
      <c r="CA171" s="1" t="str">
        <f t="shared" si="69"/>
        <v>delete from sscd_mast where sscd_idcd = 'wkkn_dvcd_KOR_common'  and site_idcd = 'common';</v>
      </c>
      <c r="CB171" s="5" t="str">
        <f>IF(E171&lt;&gt;"",CREATE_QUERY($B$1,A$2:AA$2,A171:AA171),"")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('wkkn_dvcd_KOR_common', 'KOR', 'common', 'wkkn_dvcd', '직종구분코드', 'gb', '', '[["1000","영업관리"],["2000","생산관리"],["3000","구매"]]', '1000:영업관리 2000:생산관리 3000:구매', '', '1000=영업관리|2000=생산관리|3000=구매', '', '0', '0', '0', '0', 'wkkn_dvcd 직종구분코드 [["1000","영업관리"],["2000","생산관리"],["3000","구매"]]', ' ', '', '', '', '', '', '', '', '', '');</v>
      </c>
    </row>
    <row r="172" spans="1:80" ht="17">
      <c r="A172" s="26" t="str">
        <f t="shared" si="73"/>
        <v>pack_dvcd_KOR_common</v>
      </c>
      <c r="B172" s="25" t="s">
        <v>27</v>
      </c>
      <c r="C172" s="25" t="str">
        <f t="shared" si="67"/>
        <v>common</v>
      </c>
      <c r="D172" s="25" t="s">
        <v>137</v>
      </c>
      <c r="E172" s="25" t="s">
        <v>108</v>
      </c>
      <c r="F172" s="25" t="str">
        <f t="shared" si="74"/>
        <v>gb</v>
      </c>
      <c r="G172" s="25"/>
      <c r="H172" s="35" t="str">
        <f t="shared" si="75"/>
        <v>[["1000","자체배송"],["2000","직납배송"]]</v>
      </c>
      <c r="I172" s="35" t="str">
        <f t="shared" si="68"/>
        <v>1000:자체배송 2000:직납배송</v>
      </c>
      <c r="J172" s="35"/>
      <c r="K172" s="35" t="str">
        <f t="shared" si="70"/>
        <v>1000=자체배송|2000=직납배송</v>
      </c>
      <c r="L172" s="2"/>
      <c r="M172" s="36">
        <v>0</v>
      </c>
      <c r="N172" s="36">
        <v>0</v>
      </c>
      <c r="O172" s="36" t="s">
        <v>31</v>
      </c>
      <c r="P172" s="36" t="s">
        <v>31</v>
      </c>
      <c r="Q172" s="35" t="str">
        <f t="shared" si="76"/>
        <v>pack_dvcd 집하구분 [["1000","자체배송"],["2000","직납배송"]]</v>
      </c>
      <c r="R172" s="2" t="s">
        <v>921</v>
      </c>
      <c r="S172" s="2"/>
      <c r="T172" s="2"/>
      <c r="U172" s="2" t="s">
        <v>32</v>
      </c>
      <c r="V172" s="2"/>
      <c r="W172" s="2"/>
      <c r="X172" s="2"/>
      <c r="Y172" s="2"/>
      <c r="Z172" s="2"/>
      <c r="AA172" s="2"/>
      <c r="AB172" s="28" t="s">
        <v>591</v>
      </c>
      <c r="AC172" s="25" t="s">
        <v>548</v>
      </c>
      <c r="AD172" s="28" t="s">
        <v>592</v>
      </c>
      <c r="AE172" s="25" t="s">
        <v>549</v>
      </c>
      <c r="AF172" s="28"/>
      <c r="AG172" s="25"/>
      <c r="AH172" s="28"/>
      <c r="AI172" s="25"/>
      <c r="AJ172" s="28"/>
      <c r="AK172" s="25"/>
      <c r="AL172" s="28"/>
      <c r="AM172" s="25"/>
      <c r="AN172" s="28"/>
      <c r="AO172" s="25"/>
      <c r="AP172" s="28"/>
      <c r="AQ172" s="25"/>
      <c r="AR172" s="28"/>
      <c r="AS172" s="25"/>
      <c r="AT172" s="28"/>
      <c r="AU172" s="25"/>
      <c r="AV172" s="28"/>
      <c r="AW172" s="25"/>
      <c r="AX172" s="28"/>
      <c r="AY172" s="25"/>
      <c r="AZ172" s="28"/>
      <c r="BA172" s="25"/>
      <c r="BB172" s="28"/>
      <c r="BC172" s="25"/>
      <c r="BD172" s="28"/>
      <c r="BE172" s="25"/>
      <c r="BF172" s="28"/>
      <c r="BG172" s="25"/>
      <c r="BH172" s="28"/>
      <c r="BI172" s="25"/>
      <c r="BJ172" s="28"/>
      <c r="BK172" s="25"/>
      <c r="BL172" s="28"/>
      <c r="BM172" s="25"/>
      <c r="BN172" s="28"/>
      <c r="BO172" s="25"/>
      <c r="BP172" s="28"/>
      <c r="BQ172" s="25"/>
      <c r="BR172" s="28"/>
      <c r="BS172" s="25"/>
      <c r="BT172" s="28"/>
      <c r="BU172" s="25"/>
      <c r="BV172" s="28"/>
      <c r="BW172" s="25"/>
      <c r="BX172" s="28"/>
      <c r="BY172" s="25"/>
      <c r="CA172" s="1" t="str">
        <f t="shared" si="69"/>
        <v>delete from sscd_mast where sscd_idcd = 'pack_dvcd_KOR_common'  and site_idcd = 'common';</v>
      </c>
      <c r="CB172" s="5" t="str">
        <f>IF(E172&lt;&gt;"",CREATE_QUERY($B$1,A$2:AA$2,A172:AA172),"")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('pack_dvcd_KOR_common', 'KOR', 'common', 'pack_dvcd', '집하구분', 'gb', '', '[["1000","자체배송"],["2000","직납배송"]]', '1000:자체배송 2000:직납배송', '', '1000=자체배송|2000=직납배송', '', '0', '0', '0', '0', 'pack_dvcd 집하구분 [["1000","자체배송"],["2000","직납배송"]]', ' ', '', '', ' ', '', '', '', '', '', '');</v>
      </c>
    </row>
    <row r="173" spans="1:80" ht="17">
      <c r="A173" s="26" t="str">
        <f t="shared" si="73"/>
        <v>wrhs_drtr_cntr_dvcd_KOR_common</v>
      </c>
      <c r="B173" s="25" t="s">
        <v>27</v>
      </c>
      <c r="C173" s="25" t="str">
        <f t="shared" si="67"/>
        <v>common</v>
      </c>
      <c r="D173" s="25" t="s">
        <v>281</v>
      </c>
      <c r="E173" s="25" t="s">
        <v>167</v>
      </c>
      <c r="F173" s="25" t="str">
        <f t="shared" si="74"/>
        <v>gb</v>
      </c>
      <c r="G173" s="25"/>
      <c r="H173" s="35" t="str">
        <f t="shared" si="75"/>
        <v>[["1","통제"],["2","통제하지"],["않음"]]</v>
      </c>
      <c r="I173" s="35" t="str">
        <f t="shared" si="68"/>
        <v>1:통제 2:통제하지 않음</v>
      </c>
      <c r="J173" s="35"/>
      <c r="K173" s="35" t="str">
        <f t="shared" si="70"/>
        <v>1=통제|2=통제하지 않음</v>
      </c>
      <c r="L173" s="2"/>
      <c r="M173" s="36">
        <v>0</v>
      </c>
      <c r="N173" s="36">
        <v>0</v>
      </c>
      <c r="O173" s="36" t="s">
        <v>31</v>
      </c>
      <c r="P173" s="36" t="s">
        <v>31</v>
      </c>
      <c r="Q173" s="35" t="str">
        <f t="shared" si="76"/>
        <v>wrhs_drtr_cntr_dvcd 창고담당자통제구분코드 [["1","통제"],["2","통제하지"],["않음"]]</v>
      </c>
      <c r="R173" s="2" t="s">
        <v>921</v>
      </c>
      <c r="S173" s="2"/>
      <c r="T173" s="2"/>
      <c r="U173" s="2"/>
      <c r="V173" s="2"/>
      <c r="W173" s="2"/>
      <c r="X173" s="2"/>
      <c r="Y173" s="2"/>
      <c r="Z173" s="2"/>
      <c r="AA173" s="2"/>
      <c r="AB173" s="28" t="s">
        <v>684</v>
      </c>
      <c r="AC173" s="25" t="s">
        <v>848</v>
      </c>
      <c r="AD173" s="28" t="s">
        <v>685</v>
      </c>
      <c r="AE173" s="25" t="s">
        <v>849</v>
      </c>
      <c r="AF173" s="28"/>
      <c r="AG173" s="25"/>
      <c r="AH173" s="28"/>
      <c r="AI173" s="25"/>
      <c r="AJ173" s="28"/>
      <c r="AK173" s="25"/>
      <c r="AL173" s="28"/>
      <c r="AM173" s="25"/>
      <c r="AN173" s="28"/>
      <c r="AO173" s="25"/>
      <c r="AP173" s="28"/>
      <c r="AQ173" s="25"/>
      <c r="AR173" s="28"/>
      <c r="AS173" s="25"/>
      <c r="AT173" s="28"/>
      <c r="AU173" s="25"/>
      <c r="AV173" s="28"/>
      <c r="AW173" s="25"/>
      <c r="AX173" s="28"/>
      <c r="AY173" s="25"/>
      <c r="AZ173" s="28"/>
      <c r="BA173" s="25"/>
      <c r="BB173" s="28"/>
      <c r="BC173" s="25"/>
      <c r="BD173" s="28"/>
      <c r="BE173" s="25"/>
      <c r="BF173" s="28"/>
      <c r="BG173" s="25"/>
      <c r="BH173" s="28"/>
      <c r="BI173" s="25"/>
      <c r="BJ173" s="28"/>
      <c r="BK173" s="25"/>
      <c r="BL173" s="28"/>
      <c r="BM173" s="25"/>
      <c r="BN173" s="28"/>
      <c r="BO173" s="25"/>
      <c r="BP173" s="28"/>
      <c r="BQ173" s="25"/>
      <c r="BR173" s="28"/>
      <c r="BS173" s="25"/>
      <c r="BT173" s="28"/>
      <c r="BU173" s="25"/>
      <c r="BV173" s="28"/>
      <c r="BW173" s="25"/>
      <c r="BX173" s="28"/>
      <c r="BY173" s="25"/>
      <c r="CA173" s="1" t="str">
        <f t="shared" si="69"/>
        <v>delete from sscd_mast where sscd_idcd = 'wrhs_drtr_cntr_dvcd_KOR_common'  and site_idcd = 'common';</v>
      </c>
      <c r="CB173" s="5" t="str">
        <f>IF(E173&lt;&gt;"",CREATE_QUERY($B$1,A$2:AA$2,A173:AA173),"")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('wrhs_drtr_cntr_dvcd_KOR_common', 'KOR', 'common', 'wrhs_drtr_cntr_dvcd', '창고담당자통제구분코드', 'gb', '', '[["1","통제"],["2","통제하지"],["않음"]]', '1:통제 2:통제하지 않음', '', '1=통제|2=통제하지 않음', '', '0', '0', '0', '0', 'wrhs_drtr_cntr_dvcd 창고담당자통제구분코드 [["1","통제"],["2","통제하지"],["않음"]]', ' ', '', '', '', '', '', '', '', '', '');</v>
      </c>
    </row>
    <row r="174" spans="1:80" ht="17">
      <c r="A174" s="26" t="str">
        <f t="shared" si="73"/>
        <v>proc_dvcd_KOR_common</v>
      </c>
      <c r="B174" s="25" t="s">
        <v>27</v>
      </c>
      <c r="C174" s="25" t="str">
        <f t="shared" si="67"/>
        <v>common</v>
      </c>
      <c r="D174" s="25" t="s">
        <v>326</v>
      </c>
      <c r="E174" s="25" t="s">
        <v>213</v>
      </c>
      <c r="F174" s="25" t="str">
        <f t="shared" si="74"/>
        <v>gb</v>
      </c>
      <c r="G174" s="25"/>
      <c r="H174" s="35" t="str">
        <f t="shared" si="75"/>
        <v>[["1000","처리대기"],["2000","완료"],["3000","보류"],["4000","취소"]]</v>
      </c>
      <c r="I174" s="35" t="str">
        <f t="shared" si="68"/>
        <v>1000:처리대기 2000:완료 3000:보류 4000:취소</v>
      </c>
      <c r="J174" s="35"/>
      <c r="K174" s="35" t="str">
        <f t="shared" si="70"/>
        <v>1000=처리대기|2000=완료|3000=보류|4000=취소</v>
      </c>
      <c r="L174" s="2"/>
      <c r="M174" s="36">
        <v>0</v>
      </c>
      <c r="N174" s="36">
        <v>0</v>
      </c>
      <c r="O174" s="36" t="s">
        <v>31</v>
      </c>
      <c r="P174" s="36" t="s">
        <v>31</v>
      </c>
      <c r="Q174" s="35" t="str">
        <f t="shared" si="76"/>
        <v>proc_dvcd 처리구분코드 [["1000","처리대기"],["2000","완료"],["3000","보류"],["4000","취소"]]</v>
      </c>
      <c r="R174" s="2" t="s">
        <v>921</v>
      </c>
      <c r="S174" s="2"/>
      <c r="T174" s="2"/>
      <c r="U174" s="2"/>
      <c r="V174" s="2"/>
      <c r="W174" s="2"/>
      <c r="X174" s="2"/>
      <c r="Y174" s="2"/>
      <c r="Z174" s="2"/>
      <c r="AA174" s="2"/>
      <c r="AB174" s="28" t="s">
        <v>591</v>
      </c>
      <c r="AC174" s="25" t="s">
        <v>850</v>
      </c>
      <c r="AD174" s="28" t="s">
        <v>592</v>
      </c>
      <c r="AE174" s="25" t="s">
        <v>851</v>
      </c>
      <c r="AF174" s="28" t="s">
        <v>600</v>
      </c>
      <c r="AG174" s="25" t="s">
        <v>852</v>
      </c>
      <c r="AH174" s="28" t="s">
        <v>601</v>
      </c>
      <c r="AI174" s="25" t="s">
        <v>853</v>
      </c>
      <c r="AJ174" s="28"/>
      <c r="AK174" s="25"/>
      <c r="AL174" s="28"/>
      <c r="AM174" s="25"/>
      <c r="AN174" s="28"/>
      <c r="AO174" s="25"/>
      <c r="AP174" s="28"/>
      <c r="AQ174" s="25"/>
      <c r="AR174" s="28"/>
      <c r="AS174" s="25"/>
      <c r="AT174" s="28"/>
      <c r="AU174" s="25"/>
      <c r="AV174" s="28"/>
      <c r="AW174" s="25"/>
      <c r="AX174" s="28"/>
      <c r="AY174" s="25"/>
      <c r="AZ174" s="28"/>
      <c r="BA174" s="25"/>
      <c r="BB174" s="28"/>
      <c r="BC174" s="25"/>
      <c r="BD174" s="28"/>
      <c r="BE174" s="25"/>
      <c r="BF174" s="28"/>
      <c r="BG174" s="25"/>
      <c r="BH174" s="28"/>
      <c r="BI174" s="25"/>
      <c r="BJ174" s="28"/>
      <c r="BK174" s="25"/>
      <c r="BL174" s="28"/>
      <c r="BM174" s="25"/>
      <c r="BN174" s="28"/>
      <c r="BO174" s="25"/>
      <c r="BP174" s="28"/>
      <c r="BQ174" s="25"/>
      <c r="BR174" s="28"/>
      <c r="BS174" s="25"/>
      <c r="BT174" s="28"/>
      <c r="BU174" s="25"/>
      <c r="BV174" s="28"/>
      <c r="BW174" s="25"/>
      <c r="BX174" s="28"/>
      <c r="BY174" s="25"/>
      <c r="CA174" s="1" t="str">
        <f t="shared" si="69"/>
        <v>delete from sscd_mast where sscd_idcd = 'proc_dvcd_KOR_common'  and site_idcd = 'common';</v>
      </c>
      <c r="CB174" s="5" t="str">
        <f>IF(E174&lt;&gt;"",CREATE_QUERY($B$1,A$2:AA$2,A174:AA174),"")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('proc_dvcd_KOR_common', 'KOR', 'common', 'proc_dvcd', '처리구분코드', 'gb', '', '[["1000","처리대기"],["2000","완료"],["3000","보류"],["4000","취소"]]', '1000:처리대기 2000:완료 3000:보류 4000:취소', '', '1000=처리대기|2000=완료|3000=보류|4000=취소', '', '0', '0', '0', '0', 'proc_dvcd 처리구분코드 [["1000","처리대기"],["2000","완료"],["3000","보류"],["4000","취소"]]', ' ', '', '', '', '', '', '', '', '', '');</v>
      </c>
    </row>
    <row r="175" spans="1:80" ht="17">
      <c r="A175" s="26" t="str">
        <f t="shared" si="73"/>
        <v>ostt_mthd_dvcd_KOR_common</v>
      </c>
      <c r="B175" s="25" t="s">
        <v>27</v>
      </c>
      <c r="C175" s="25" t="str">
        <f t="shared" si="67"/>
        <v>common</v>
      </c>
      <c r="D175" s="25" t="s">
        <v>290</v>
      </c>
      <c r="E175" s="25" t="s">
        <v>176</v>
      </c>
      <c r="F175" s="25" t="str">
        <f t="shared" si="74"/>
        <v>gb</v>
      </c>
      <c r="G175" s="25"/>
      <c r="H175" s="35" t="str">
        <f t="shared" si="75"/>
        <v>[["1000","정상"],["2000","반품"]]</v>
      </c>
      <c r="I175" s="35" t="str">
        <f t="shared" si="68"/>
        <v>1000:정상 2000:반품</v>
      </c>
      <c r="J175" s="35"/>
      <c r="K175" s="35" t="str">
        <f t="shared" si="70"/>
        <v>1000=정상|2000=반품</v>
      </c>
      <c r="L175" s="2"/>
      <c r="M175" s="36">
        <v>0</v>
      </c>
      <c r="N175" s="36">
        <v>0</v>
      </c>
      <c r="O175" s="36" t="s">
        <v>31</v>
      </c>
      <c r="P175" s="36" t="s">
        <v>31</v>
      </c>
      <c r="Q175" s="35" t="str">
        <f t="shared" si="76"/>
        <v>ostt_mthd_dvcd 출고방법구분코드 [["1000","정상"],["2000","반품"]]</v>
      </c>
      <c r="R175" s="2" t="s">
        <v>921</v>
      </c>
      <c r="S175" s="2"/>
      <c r="T175" s="2"/>
      <c r="U175" s="2"/>
      <c r="V175" s="2"/>
      <c r="W175" s="2"/>
      <c r="X175" s="2"/>
      <c r="Y175" s="2"/>
      <c r="Z175" s="2"/>
      <c r="AA175" s="2"/>
      <c r="AB175" s="28" t="s">
        <v>591</v>
      </c>
      <c r="AC175" s="25" t="s">
        <v>843</v>
      </c>
      <c r="AD175" s="28" t="s">
        <v>592</v>
      </c>
      <c r="AE175" s="25" t="s">
        <v>844</v>
      </c>
      <c r="AF175" s="28"/>
      <c r="AG175" s="25"/>
      <c r="AH175" s="28"/>
      <c r="AI175" s="25"/>
      <c r="AJ175" s="28"/>
      <c r="AK175" s="25"/>
      <c r="AL175" s="28"/>
      <c r="AM175" s="25"/>
      <c r="AN175" s="28"/>
      <c r="AO175" s="25"/>
      <c r="AP175" s="28"/>
      <c r="AQ175" s="25"/>
      <c r="AR175" s="28"/>
      <c r="AS175" s="25"/>
      <c r="AT175" s="28"/>
      <c r="AU175" s="25"/>
      <c r="AV175" s="28"/>
      <c r="AW175" s="25"/>
      <c r="AX175" s="28"/>
      <c r="AY175" s="25"/>
      <c r="AZ175" s="28"/>
      <c r="BA175" s="25"/>
      <c r="BB175" s="28"/>
      <c r="BC175" s="25"/>
      <c r="BD175" s="28"/>
      <c r="BE175" s="25"/>
      <c r="BF175" s="28"/>
      <c r="BG175" s="25"/>
      <c r="BH175" s="28"/>
      <c r="BI175" s="25"/>
      <c r="BJ175" s="28"/>
      <c r="BK175" s="25"/>
      <c r="BL175" s="28"/>
      <c r="BM175" s="25"/>
      <c r="BN175" s="28"/>
      <c r="BO175" s="25"/>
      <c r="BP175" s="28"/>
      <c r="BQ175" s="25"/>
      <c r="BR175" s="28"/>
      <c r="BS175" s="25"/>
      <c r="BT175" s="28"/>
      <c r="BU175" s="25"/>
      <c r="BV175" s="28"/>
      <c r="BW175" s="25"/>
      <c r="BX175" s="28"/>
      <c r="BY175" s="25"/>
      <c r="CA175" s="1" t="str">
        <f t="shared" si="69"/>
        <v>delete from sscd_mast where sscd_idcd = 'ostt_mthd_dvcd_KOR_common'  and site_idcd = 'common';</v>
      </c>
      <c r="CB175" s="5" t="str">
        <f>IF(E175&lt;&gt;"",CREATE_QUERY($B$1,A$2:AA$2,A175:AA175),"")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('ostt_mthd_dvcd_KOR_common', 'KOR', 'common', 'ostt_mthd_dvcd', '출고방법구분코드', 'gb', '', '[["1000","정상"],["2000","반품"]]', '1000:정상 2000:반품', '', '1000=정상|2000=반품', '', '0', '0', '0', '0', 'ostt_mthd_dvcd 출고방법구분코드 [["1000","정상"],["2000","반품"]]', ' ', '', '', '', '', '', '', '', '', '');</v>
      </c>
    </row>
    <row r="176" spans="1:80" ht="17">
      <c r="A176" s="26" t="str">
        <f t="shared" si="73"/>
        <v>ostt_usge_dvcd_KOR_common</v>
      </c>
      <c r="B176" s="25" t="s">
        <v>27</v>
      </c>
      <c r="C176" s="25" t="str">
        <f t="shared" si="67"/>
        <v>common</v>
      </c>
      <c r="D176" s="25" t="s">
        <v>331</v>
      </c>
      <c r="E176" s="25" t="s">
        <v>218</v>
      </c>
      <c r="F176" s="25" t="str">
        <f t="shared" si="74"/>
        <v>gb</v>
      </c>
      <c r="G176" s="25"/>
      <c r="H176" s="35" t="str">
        <f t="shared" si="75"/>
        <v>[["1000","판매"],["2000","반품"],["3000","AS"],["4000","교환"],["5000","자가소비"],["6000","Sample"],["7000","전시"],["8000","생산"],["9000","재고조정"]]</v>
      </c>
      <c r="I176" s="35" t="str">
        <f t="shared" si="68"/>
        <v>1000:판매 2000:반품 3000:AS 4000:교환 5000:자가소비 6000:Sample 7000:전시 8000:생산 9000:재고조정</v>
      </c>
      <c r="J176" s="35"/>
      <c r="K176" s="35" t="str">
        <f t="shared" si="70"/>
        <v>1000=판매|2000=반품|3000=AS|4000=교환|5000=자가소비|6000=Sample|7000=전시|8000=생산|9000=재고조정</v>
      </c>
      <c r="L176" s="2"/>
      <c r="M176" s="36">
        <v>0</v>
      </c>
      <c r="N176" s="36">
        <v>0</v>
      </c>
      <c r="O176" s="36" t="s">
        <v>31</v>
      </c>
      <c r="P176" s="36" t="s">
        <v>31</v>
      </c>
      <c r="Q176" s="35" t="str">
        <f t="shared" si="76"/>
        <v>ostt_usge_dvcd 출고용도구분코드 [["1000","판매"],["2000","반품"],["3000","AS"],["4000","교환"],["5000","자가소비"],["6000","Sample"],["7000","전시"],["8000","생산"],["9000","재고조정"]]</v>
      </c>
      <c r="R176" s="2" t="s">
        <v>921</v>
      </c>
      <c r="S176" s="2"/>
      <c r="T176" s="2"/>
      <c r="U176" s="2"/>
      <c r="V176" s="2"/>
      <c r="W176" s="2"/>
      <c r="X176" s="2"/>
      <c r="Y176" s="2"/>
      <c r="Z176" s="2"/>
      <c r="AA176" s="2"/>
      <c r="AB176" s="28" t="s">
        <v>591</v>
      </c>
      <c r="AC176" s="25" t="s">
        <v>836</v>
      </c>
      <c r="AD176" s="28" t="s">
        <v>592</v>
      </c>
      <c r="AE176" s="25" t="s">
        <v>837</v>
      </c>
      <c r="AF176" s="28" t="s">
        <v>600</v>
      </c>
      <c r="AG176" s="25" t="s">
        <v>838</v>
      </c>
      <c r="AH176" s="28" t="s">
        <v>601</v>
      </c>
      <c r="AI176" s="25" t="s">
        <v>839</v>
      </c>
      <c r="AJ176" s="28" t="s">
        <v>626</v>
      </c>
      <c r="AK176" s="25" t="s">
        <v>840</v>
      </c>
      <c r="AL176" s="28" t="s">
        <v>628</v>
      </c>
      <c r="AM176" s="25" t="s">
        <v>841</v>
      </c>
      <c r="AN176" s="28" t="s">
        <v>629</v>
      </c>
      <c r="AO176" s="25" t="s">
        <v>842</v>
      </c>
      <c r="AP176" s="28" t="s">
        <v>2555</v>
      </c>
      <c r="AQ176" s="25" t="s">
        <v>2556</v>
      </c>
      <c r="AR176" s="28" t="s">
        <v>661</v>
      </c>
      <c r="AS176" s="25" t="s">
        <v>732</v>
      </c>
      <c r="AT176" s="28"/>
      <c r="AU176" s="25"/>
      <c r="AV176" s="28"/>
      <c r="AW176" s="25"/>
      <c r="AX176" s="28"/>
      <c r="AY176" s="25"/>
      <c r="AZ176" s="28"/>
      <c r="BA176" s="25"/>
      <c r="BB176" s="28"/>
      <c r="BC176" s="25"/>
      <c r="BD176" s="28"/>
      <c r="BE176" s="25"/>
      <c r="BF176" s="28"/>
      <c r="BG176" s="25"/>
      <c r="BH176" s="28"/>
      <c r="BI176" s="25"/>
      <c r="BJ176" s="28"/>
      <c r="BK176" s="25"/>
      <c r="BL176" s="28"/>
      <c r="BM176" s="25"/>
      <c r="BN176" s="28"/>
      <c r="BO176" s="25"/>
      <c r="BP176" s="28"/>
      <c r="BQ176" s="25"/>
      <c r="BR176" s="28"/>
      <c r="BS176" s="25"/>
      <c r="BT176" s="28"/>
      <c r="BU176" s="25"/>
      <c r="BV176" s="28"/>
      <c r="BW176" s="25"/>
      <c r="BX176" s="28"/>
      <c r="BY176" s="25"/>
      <c r="CA176" s="1" t="str">
        <f t="shared" si="69"/>
        <v>delete from sscd_mast where sscd_idcd = 'ostt_usge_dvcd_KOR_common'  and site_idcd = 'common';</v>
      </c>
      <c r="CB176" s="5" t="str">
        <f>IF(E176&lt;&gt;"",CREATE_QUERY($B$1,A$2:AA$2,A176:AA176),"")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('ostt_usge_dvcd_KOR_common', 'KOR', 'common', 'ostt_usge_dvcd', '출고용도구분코드', 'gb', '', '[["1000","판매"],["2000","반품"],["3000","AS"],["4000","교환"],["5000","자가소비"],["6000","Sample"],["7000","전시"],["8000","생산"],["9000","재고조정"]]', '1000:판매 2000:반품 3000:AS 4000:교환 5000:자가소비 6000:Sample 7000:전시 8000:생산 9000:재고조정', '', '1000=판매|2000=반품|3000=AS|4000=교환|5000=자가소비|6000=Sample|7000=전시|8000=생산|9000=재고조정', '', '0', '0', '0', '0', 'ostt_usge_dvcd 출고용도구분코드 [["1000","판매"],["2000","반품"],["3000","AS"],["4000","교환"],["5000","자가소비"],["6000","Sample"],["7000","전시"],["8000","생산"],["9000","재고조정"]]', ' ', '', '', '', '', '', '', '', '', '');</v>
      </c>
    </row>
    <row r="177" spans="1:80" ht="17">
      <c r="A177" s="26" t="str">
        <f t="shared" si="73"/>
        <v>ostt_type_dvcd_KOR_common</v>
      </c>
      <c r="B177" s="25" t="s">
        <v>27</v>
      </c>
      <c r="C177" s="25" t="str">
        <f t="shared" si="67"/>
        <v>common</v>
      </c>
      <c r="D177" s="25" t="s">
        <v>332</v>
      </c>
      <c r="E177" s="25" t="s">
        <v>219</v>
      </c>
      <c r="F177" s="25" t="str">
        <f t="shared" si="74"/>
        <v>gb</v>
      </c>
      <c r="G177" s="25"/>
      <c r="H177" s="35" t="str">
        <f t="shared" si="75"/>
        <v>[["1000","정상"],["2000","반품"]]</v>
      </c>
      <c r="I177" s="35" t="str">
        <f t="shared" si="68"/>
        <v>1000:정상 2000:반품</v>
      </c>
      <c r="J177" s="35"/>
      <c r="K177" s="35" t="str">
        <f t="shared" si="70"/>
        <v>1000=정상|2000=반품</v>
      </c>
      <c r="L177" s="2"/>
      <c r="M177" s="36">
        <v>0</v>
      </c>
      <c r="N177" s="36">
        <v>0</v>
      </c>
      <c r="O177" s="36" t="s">
        <v>31</v>
      </c>
      <c r="P177" s="36" t="s">
        <v>31</v>
      </c>
      <c r="Q177" s="35" t="str">
        <f t="shared" si="76"/>
        <v>ostt_type_dvcd 출고유형구분코드 [["1000","정상"],["2000","반품"]]</v>
      </c>
      <c r="R177" s="2" t="s">
        <v>921</v>
      </c>
      <c r="S177" s="2"/>
      <c r="T177" s="2"/>
      <c r="U177" s="2"/>
      <c r="V177" s="2"/>
      <c r="W177" s="2"/>
      <c r="X177" s="2"/>
      <c r="Y177" s="2"/>
      <c r="Z177" s="2"/>
      <c r="AA177" s="2"/>
      <c r="AB177" s="28" t="s">
        <v>591</v>
      </c>
      <c r="AC177" s="25" t="s">
        <v>835</v>
      </c>
      <c r="AD177" s="28" t="s">
        <v>592</v>
      </c>
      <c r="AE177" s="25" t="s">
        <v>683</v>
      </c>
      <c r="AF177" s="28"/>
      <c r="AG177" s="25"/>
      <c r="AH177" s="28"/>
      <c r="AI177" s="25"/>
      <c r="AJ177" s="28"/>
      <c r="AK177" s="25"/>
      <c r="AL177" s="28"/>
      <c r="AM177" s="25"/>
      <c r="AN177" s="28"/>
      <c r="AO177" s="25"/>
      <c r="AP177" s="28"/>
      <c r="AQ177" s="25"/>
      <c r="AR177" s="28"/>
      <c r="AS177" s="25"/>
      <c r="AT177" s="28"/>
      <c r="AU177" s="25"/>
      <c r="AV177" s="28"/>
      <c r="AW177" s="25"/>
      <c r="AX177" s="28"/>
      <c r="AY177" s="25"/>
      <c r="AZ177" s="28"/>
      <c r="BA177" s="25"/>
      <c r="BB177" s="28"/>
      <c r="BC177" s="25"/>
      <c r="BD177" s="28"/>
      <c r="BE177" s="25"/>
      <c r="BF177" s="28"/>
      <c r="BG177" s="25"/>
      <c r="BH177" s="28"/>
      <c r="BI177" s="25"/>
      <c r="BJ177" s="28"/>
      <c r="BK177" s="25"/>
      <c r="BL177" s="28"/>
      <c r="BM177" s="25"/>
      <c r="BN177" s="28"/>
      <c r="BO177" s="25"/>
      <c r="BP177" s="28"/>
      <c r="BQ177" s="25"/>
      <c r="BR177" s="28"/>
      <c r="BS177" s="25"/>
      <c r="BT177" s="28"/>
      <c r="BU177" s="25"/>
      <c r="BV177" s="28"/>
      <c r="BW177" s="25"/>
      <c r="BX177" s="28"/>
      <c r="BY177" s="25"/>
      <c r="CA177" s="1" t="str">
        <f t="shared" si="69"/>
        <v>delete from sscd_mast where sscd_idcd = 'ostt_type_dvcd_KOR_common'  and site_idcd = 'common';</v>
      </c>
      <c r="CB177" s="5" t="str">
        <f>IF(E177&lt;&gt;"",CREATE_QUERY($B$1,A$2:AA$2,A177:AA177),"")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('ostt_type_dvcd_KOR_common', 'KOR', 'common', 'ostt_type_dvcd', '출고유형구분코드', 'gb', '', '[["1000","정상"],["2000","반품"]]', '1000:정상 2000:반품', '', '1000=정상|2000=반품', '', '0', '0', '0', '0', 'ostt_type_dvcd 출고유형구분코드 [["1000","정상"],["2000","반품"]]', ' ', '', '', '', '', '', '', '', '', '');</v>
      </c>
    </row>
    <row r="178" spans="1:80" ht="17">
      <c r="A178" s="26" t="str">
        <f t="shared" si="73"/>
        <v>crny_dvcd_KOR_common</v>
      </c>
      <c r="B178" s="25" t="s">
        <v>27</v>
      </c>
      <c r="C178" s="25" t="str">
        <f t="shared" si="67"/>
        <v>common</v>
      </c>
      <c r="D178" s="25" t="s">
        <v>295</v>
      </c>
      <c r="E178" s="25" t="s">
        <v>181</v>
      </c>
      <c r="F178" s="25" t="str">
        <f t="shared" si="74"/>
        <v>gb</v>
      </c>
      <c r="G178" s="25"/>
      <c r="H178" s="35" t="str">
        <f t="shared" si="75"/>
        <v>[["1000","원"],["2000","달러"],["3000","위안"],["4000","엔"]]</v>
      </c>
      <c r="I178" s="35" t="str">
        <f t="shared" si="68"/>
        <v>1000:원 2000:달러 3000:위안 4000:엔</v>
      </c>
      <c r="J178" s="35"/>
      <c r="K178" s="35" t="str">
        <f t="shared" si="70"/>
        <v>1000=원|2000=달러|3000=위안|4000=엔</v>
      </c>
      <c r="L178" s="2"/>
      <c r="M178" s="36">
        <v>0</v>
      </c>
      <c r="N178" s="36">
        <v>0</v>
      </c>
      <c r="O178" s="36" t="s">
        <v>31</v>
      </c>
      <c r="P178" s="36" t="s">
        <v>31</v>
      </c>
      <c r="Q178" s="35" t="str">
        <f t="shared" si="76"/>
        <v>crny_dvcd 통화구분코드 [["1000","원"],["2000","달러"],["3000","위안"],["4000","엔"]]</v>
      </c>
      <c r="R178" s="2" t="s">
        <v>921</v>
      </c>
      <c r="S178" s="2"/>
      <c r="T178" s="2"/>
      <c r="U178" s="2"/>
      <c r="V178" s="2"/>
      <c r="W178" s="2"/>
      <c r="X178" s="2"/>
      <c r="Y178" s="2"/>
      <c r="Z178" s="2"/>
      <c r="AA178" s="2"/>
      <c r="AB178" s="28" t="s">
        <v>591</v>
      </c>
      <c r="AC178" s="25" t="s">
        <v>831</v>
      </c>
      <c r="AD178" s="28" t="s">
        <v>592</v>
      </c>
      <c r="AE178" s="25" t="s">
        <v>832</v>
      </c>
      <c r="AF178" s="28" t="s">
        <v>600</v>
      </c>
      <c r="AG178" s="25" t="s">
        <v>833</v>
      </c>
      <c r="AH178" s="28" t="s">
        <v>601</v>
      </c>
      <c r="AI178" s="25" t="s">
        <v>834</v>
      </c>
      <c r="AJ178" s="28"/>
      <c r="AK178" s="25"/>
      <c r="AL178" s="28"/>
      <c r="AM178" s="25"/>
      <c r="AN178" s="28"/>
      <c r="AO178" s="25"/>
      <c r="AP178" s="28"/>
      <c r="AQ178" s="25"/>
      <c r="AR178" s="28"/>
      <c r="AS178" s="25"/>
      <c r="AT178" s="28"/>
      <c r="AU178" s="25"/>
      <c r="AV178" s="28"/>
      <c r="AW178" s="25"/>
      <c r="AX178" s="28"/>
      <c r="AY178" s="25"/>
      <c r="AZ178" s="28"/>
      <c r="BA178" s="25"/>
      <c r="BB178" s="28"/>
      <c r="BC178" s="25"/>
      <c r="BD178" s="28"/>
      <c r="BE178" s="25"/>
      <c r="BF178" s="28"/>
      <c r="BG178" s="25"/>
      <c r="BH178" s="28"/>
      <c r="BI178" s="25"/>
      <c r="BJ178" s="28"/>
      <c r="BK178" s="25"/>
      <c r="BL178" s="28"/>
      <c r="BM178" s="25"/>
      <c r="BN178" s="28"/>
      <c r="BO178" s="25"/>
      <c r="BP178" s="28"/>
      <c r="BQ178" s="25"/>
      <c r="BR178" s="28"/>
      <c r="BS178" s="25"/>
      <c r="BT178" s="28"/>
      <c r="BU178" s="25"/>
      <c r="BV178" s="28"/>
      <c r="BW178" s="25"/>
      <c r="BX178" s="28"/>
      <c r="BY178" s="25"/>
      <c r="CA178" s="1" t="str">
        <f t="shared" si="69"/>
        <v>delete from sscd_mast where sscd_idcd = 'crny_dvcd_KOR_common'  and site_idcd = 'common';</v>
      </c>
      <c r="CB178" s="5" t="str">
        <f>IF(E178&lt;&gt;"",CREATE_QUERY($B$1,A$2:AA$2,A178:AA178),"")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('crny_dvcd_KOR_common', 'KOR', 'common', 'crny_dvcd', '통화구분코드', 'gb', '', '[["1000","원"],["2000","달러"],["3000","위안"],["4000","엔"]]', '1000:원 2000:달러 3000:위안 4000:엔', '', '1000=원|2000=달러|3000=위안|4000=엔', '', '0', '0', '0', '0', 'crny_dvcd 통화구분코드 [["1000","원"],["2000","달러"],["3000","위안"],["4000","엔"]]', ' ', '', '', '', '', '', '', '', '', '');</v>
      </c>
    </row>
    <row r="179" spans="1:80" ht="17">
      <c r="A179" s="26" t="str">
        <f t="shared" si="73"/>
        <v>sale_dvcd_KOR_common</v>
      </c>
      <c r="B179" s="25" t="s">
        <v>27</v>
      </c>
      <c r="C179" s="25" t="str">
        <f t="shared" si="67"/>
        <v>common</v>
      </c>
      <c r="D179" s="25" t="s">
        <v>141</v>
      </c>
      <c r="E179" s="25" t="s">
        <v>82</v>
      </c>
      <c r="F179" s="25" t="str">
        <f t="shared" si="74"/>
        <v>gb</v>
      </c>
      <c r="G179" s="25"/>
      <c r="H179" s="35" t="str">
        <f t="shared" si="75"/>
        <v>[["1001","국내매출"],["2001","해외매출"],["1002","국내반품"],["2002","해외반품"],["3000","의제매출"],["5000","사내거래"],["9000","기타"]]</v>
      </c>
      <c r="I179" s="35" t="str">
        <f t="shared" si="68"/>
        <v>1001:국내매출 2001:해외매출 1002:국내반품 2002:해외반품 3000:의제매출 5000:사내거래 9000:기타</v>
      </c>
      <c r="J179" s="35"/>
      <c r="K179" s="35" t="str">
        <f t="shared" si="70"/>
        <v>1001=국내매출|2001=해외매출|1002=국내반품|2002=해외반품|3000=의제매출|5000=사내거래|9000=기타</v>
      </c>
      <c r="L179" s="2"/>
      <c r="M179" s="36">
        <v>0</v>
      </c>
      <c r="N179" s="36">
        <v>0</v>
      </c>
      <c r="O179" s="36" t="s">
        <v>31</v>
      </c>
      <c r="P179" s="36" t="s">
        <v>31</v>
      </c>
      <c r="Q179" s="35" t="str">
        <f t="shared" si="76"/>
        <v>sale_dvcd 판매구분 [["1001","국내매출"],["2001","해외매출"],["1002","국내반품"],["2002","해외반품"],["3000","의제매출"],["5000","사내거래"],["9000","기타"]]</v>
      </c>
      <c r="R179" s="2" t="s">
        <v>921</v>
      </c>
      <c r="S179" s="2"/>
      <c r="T179" s="2"/>
      <c r="U179" s="2" t="s">
        <v>32</v>
      </c>
      <c r="V179" s="2"/>
      <c r="W179" s="2"/>
      <c r="X179" s="2"/>
      <c r="Y179" s="2"/>
      <c r="Z179" s="2"/>
      <c r="AA179" s="2"/>
      <c r="AB179" s="28" t="s">
        <v>654</v>
      </c>
      <c r="AC179" s="25" t="s">
        <v>689</v>
      </c>
      <c r="AD179" s="28" t="s">
        <v>692</v>
      </c>
      <c r="AE179" s="25" t="s">
        <v>690</v>
      </c>
      <c r="AF179" s="28" t="s">
        <v>655</v>
      </c>
      <c r="AG179" s="25" t="s">
        <v>691</v>
      </c>
      <c r="AH179" s="28" t="s">
        <v>693</v>
      </c>
      <c r="AI179" s="25" t="s">
        <v>694</v>
      </c>
      <c r="AJ179" s="28" t="s">
        <v>600</v>
      </c>
      <c r="AK179" s="25" t="s">
        <v>695</v>
      </c>
      <c r="AL179" s="28" t="s">
        <v>626</v>
      </c>
      <c r="AM179" s="25" t="s">
        <v>696</v>
      </c>
      <c r="AN179" s="28" t="s">
        <v>661</v>
      </c>
      <c r="AO179" s="25" t="s">
        <v>697</v>
      </c>
      <c r="AP179" s="28"/>
      <c r="AQ179" s="25"/>
      <c r="AR179" s="28"/>
      <c r="AS179" s="25"/>
      <c r="AT179" s="28"/>
      <c r="AU179" s="25"/>
      <c r="AV179" s="28"/>
      <c r="AW179" s="25"/>
      <c r="AX179" s="28"/>
      <c r="AY179" s="25"/>
      <c r="AZ179" s="28"/>
      <c r="BA179" s="25"/>
      <c r="BB179" s="28"/>
      <c r="BC179" s="25"/>
      <c r="BD179" s="28"/>
      <c r="BE179" s="25"/>
      <c r="BF179" s="28"/>
      <c r="BG179" s="25"/>
      <c r="BH179" s="28"/>
      <c r="BI179" s="25"/>
      <c r="BJ179" s="28"/>
      <c r="BK179" s="25"/>
      <c r="BL179" s="28"/>
      <c r="BM179" s="25"/>
      <c r="BN179" s="28"/>
      <c r="BO179" s="25"/>
      <c r="BP179" s="28"/>
      <c r="BQ179" s="25"/>
      <c r="BR179" s="28"/>
      <c r="BS179" s="25"/>
      <c r="BT179" s="28"/>
      <c r="BU179" s="25"/>
      <c r="BV179" s="28"/>
      <c r="BW179" s="25"/>
      <c r="BX179" s="28"/>
      <c r="BY179" s="25"/>
      <c r="CA179" s="1" t="str">
        <f t="shared" si="69"/>
        <v>delete from sscd_mast where sscd_idcd = 'sale_dvcd_KOR_common'  and site_idcd = 'common';</v>
      </c>
      <c r="CB179" s="5" t="str">
        <f>IF(E179&lt;&gt;"",CREATE_QUERY($B$1,A$2:AA$2,A179:AA179),"")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('sale_dvcd_KOR_common', 'KOR', 'common', 'sale_dvcd', '판매구분', 'gb', '', '[["1001","국내매출"],["2001","해외매출"],["1002","국내반품"],["2002","해외반품"],["3000","의제매출"],["5000","사내거래"],["9000","기타"]]', '1001:국내매출 2001:해외매출 1002:국내반품 2002:해외반품 3000:의제매출 5000:사내거래 9000:기타', '', '1001=국내매출|2001=해외매출|1002=국내반품|2002=해외반품|3000=의제매출|5000=사내거래|9000=기타', '', '0', '0', '0', '0', 'sale_dvcd 판매구분 [["1001","국내매출"],["2001","해외매출"],["1002","국내반품"],["2002","해외반품"],["3000","의제매출"],["5000","사내거래"],["9000","기타"]]', ' ', '', '', ' ', '', '', '', '', '', '');</v>
      </c>
    </row>
    <row r="180" spans="1:80" ht="17">
      <c r="A180" s="26" t="str">
        <f t="shared" si="73"/>
        <v>judt_dvcd_KOR_common</v>
      </c>
      <c r="B180" s="25" t="s">
        <v>27</v>
      </c>
      <c r="C180" s="25" t="str">
        <f t="shared" si="67"/>
        <v>common</v>
      </c>
      <c r="D180" s="25" t="s">
        <v>337</v>
      </c>
      <c r="E180" s="25" t="s">
        <v>225</v>
      </c>
      <c r="F180" s="25" t="str">
        <f t="shared" si="74"/>
        <v>gb</v>
      </c>
      <c r="G180" s="25"/>
      <c r="H180" s="35" t="str">
        <f t="shared" si="75"/>
        <v>[["1","합격"],["2","불합격"],["3","보류"],["4","특채"]]</v>
      </c>
      <c r="I180" s="35" t="str">
        <f t="shared" si="68"/>
        <v>1:합격 2:불합격 3:보류 4:특채</v>
      </c>
      <c r="J180" s="35"/>
      <c r="K180" s="35" t="str">
        <f t="shared" si="70"/>
        <v>1=합격|2=불합격|3=보류|4=특채</v>
      </c>
      <c r="L180" s="2"/>
      <c r="M180" s="36">
        <v>0</v>
      </c>
      <c r="N180" s="36">
        <v>0</v>
      </c>
      <c r="O180" s="36" t="s">
        <v>31</v>
      </c>
      <c r="P180" s="36" t="s">
        <v>31</v>
      </c>
      <c r="Q180" s="35" t="str">
        <f t="shared" si="76"/>
        <v>judt_dvcd 판정구분코드 [["1","합격"],["2","불합격"],["3","보류"],["4","특채"]]</v>
      </c>
      <c r="R180" s="2" t="s">
        <v>921</v>
      </c>
      <c r="S180" s="2"/>
      <c r="T180" s="2"/>
      <c r="U180" s="2"/>
      <c r="V180" s="2"/>
      <c r="W180" s="2"/>
      <c r="X180" s="2"/>
      <c r="Y180" s="2"/>
      <c r="Z180" s="2"/>
      <c r="AA180" s="2"/>
      <c r="AB180" s="28" t="s">
        <v>684</v>
      </c>
      <c r="AC180" s="25" t="s">
        <v>828</v>
      </c>
      <c r="AD180" s="28" t="s">
        <v>685</v>
      </c>
      <c r="AE180" s="25" t="s">
        <v>829</v>
      </c>
      <c r="AF180" s="28" t="s">
        <v>687</v>
      </c>
      <c r="AG180" s="25" t="s">
        <v>830</v>
      </c>
      <c r="AH180" s="28" t="s">
        <v>688</v>
      </c>
      <c r="AI180" s="25" t="s">
        <v>2602</v>
      </c>
      <c r="AJ180" s="28"/>
      <c r="AK180" s="25"/>
      <c r="AL180" s="28"/>
      <c r="AM180" s="25"/>
      <c r="AN180" s="28"/>
      <c r="AO180" s="25"/>
      <c r="AP180" s="28"/>
      <c r="AQ180" s="25"/>
      <c r="AR180" s="28"/>
      <c r="AS180" s="25"/>
      <c r="AT180" s="28"/>
      <c r="AU180" s="25"/>
      <c r="AV180" s="28"/>
      <c r="AW180" s="25"/>
      <c r="AX180" s="28"/>
      <c r="AY180" s="25"/>
      <c r="AZ180" s="28"/>
      <c r="BA180" s="25"/>
      <c r="BB180" s="28"/>
      <c r="BC180" s="25"/>
      <c r="BD180" s="28"/>
      <c r="BE180" s="25"/>
      <c r="BF180" s="28"/>
      <c r="BG180" s="25"/>
      <c r="BH180" s="28"/>
      <c r="BI180" s="25"/>
      <c r="BJ180" s="28"/>
      <c r="BK180" s="25"/>
      <c r="BL180" s="28"/>
      <c r="BM180" s="25"/>
      <c r="BN180" s="28"/>
      <c r="BO180" s="25"/>
      <c r="BP180" s="28"/>
      <c r="BQ180" s="25"/>
      <c r="BR180" s="28"/>
      <c r="BS180" s="25"/>
      <c r="BT180" s="28"/>
      <c r="BU180" s="25"/>
      <c r="BV180" s="28"/>
      <c r="BW180" s="25"/>
      <c r="BX180" s="28"/>
      <c r="BY180" s="25"/>
      <c r="CA180" s="1" t="str">
        <f t="shared" si="69"/>
        <v>delete from sscd_mast where sscd_idcd = 'judt_dvcd_KOR_common'  and site_idcd = 'common';</v>
      </c>
      <c r="CB180" s="5" t="str">
        <f>IF(E180&lt;&gt;"",CREATE_QUERY($B$1,A$2:AA$2,A180:AA180),"")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('judt_dvcd_KOR_common', 'KOR', 'common', 'judt_dvcd', '판정구분코드', 'gb', '', '[["1","합격"],["2","불합격"],["3","보류"],["4","특채"]]', '1:합격 2:불합격 3:보류 4:특채', '', '1=합격|2=불합격|3=보류|4=특채', '', '0', '0', '0', '0', 'judt_dvcd 판정구분코드 [["1","합격"],["2","불합격"],["3","보류"],["4","특채"]]', ' ', '', '', '', '', '', '', '', '', '');</v>
      </c>
    </row>
    <row r="181" spans="1:80" ht="17">
      <c r="A181" s="26" t="str">
        <f t="shared" si="73"/>
        <v>pick_yorn_KOR_common</v>
      </c>
      <c r="B181" s="25" t="s">
        <v>27</v>
      </c>
      <c r="C181" s="25" t="str">
        <f t="shared" ref="C181:C209" si="77">IF(E181="","","common")</f>
        <v>common</v>
      </c>
      <c r="D181" s="25" t="s">
        <v>274</v>
      </c>
      <c r="E181" s="25" t="s">
        <v>72</v>
      </c>
      <c r="F181" s="25" t="str">
        <f t="shared" si="74"/>
        <v>gb</v>
      </c>
      <c r="G181" s="25"/>
      <c r="H181" s="35" t="str">
        <f t="shared" si="75"/>
        <v>[["0",""],["1","출력","red"]]</v>
      </c>
      <c r="I181" s="35" t="str">
        <f t="shared" si="68"/>
        <v>0: 1:출력:red</v>
      </c>
      <c r="J181" s="35"/>
      <c r="K181" s="35" t="str">
        <f t="shared" si="70"/>
        <v>0=|1=출력:red</v>
      </c>
      <c r="L181" s="2"/>
      <c r="M181" s="36">
        <v>0</v>
      </c>
      <c r="N181" s="36">
        <v>0</v>
      </c>
      <c r="O181" s="36" t="s">
        <v>31</v>
      </c>
      <c r="P181" s="36" t="s">
        <v>31</v>
      </c>
      <c r="Q181" s="35" t="str">
        <f t="shared" si="76"/>
        <v>pick_yorn 피킹출력 여부 [["0",""],["1","출력","red"]]</v>
      </c>
      <c r="R181" s="2" t="s">
        <v>921</v>
      </c>
      <c r="S181" s="2"/>
      <c r="T181" s="2"/>
      <c r="U181" s="2" t="s">
        <v>32</v>
      </c>
      <c r="V181" s="2"/>
      <c r="W181" s="2"/>
      <c r="X181" s="2"/>
      <c r="Y181" s="2"/>
      <c r="Z181" s="2"/>
      <c r="AA181" s="2"/>
      <c r="AB181" s="29" t="s">
        <v>31</v>
      </c>
      <c r="AC181" s="25"/>
      <c r="AD181" s="29">
        <v>1</v>
      </c>
      <c r="AE181" s="25" t="s">
        <v>653</v>
      </c>
      <c r="AF181" s="29"/>
      <c r="AG181" s="25"/>
      <c r="AH181" s="29"/>
      <c r="AI181" s="25"/>
      <c r="AJ181" s="29"/>
      <c r="AK181" s="25"/>
      <c r="AL181" s="29"/>
      <c r="AM181" s="25"/>
      <c r="AN181" s="29"/>
      <c r="AO181" s="25"/>
      <c r="AP181" s="29"/>
      <c r="AQ181" s="25"/>
      <c r="AR181" s="29"/>
      <c r="AS181" s="25"/>
      <c r="AT181" s="29"/>
      <c r="AU181" s="25"/>
      <c r="AV181" s="29"/>
      <c r="AW181" s="25"/>
      <c r="AX181" s="29"/>
      <c r="AY181" s="25"/>
      <c r="AZ181" s="29"/>
      <c r="BA181" s="25"/>
      <c r="BB181" s="29"/>
      <c r="BC181" s="25"/>
      <c r="BD181" s="29"/>
      <c r="BE181" s="25"/>
      <c r="BF181" s="29"/>
      <c r="BG181" s="25"/>
      <c r="BH181" s="29"/>
      <c r="BI181" s="25"/>
      <c r="BJ181" s="29"/>
      <c r="BK181" s="25"/>
      <c r="BL181" s="29"/>
      <c r="BM181" s="25"/>
      <c r="BN181" s="29"/>
      <c r="BO181" s="25"/>
      <c r="BP181" s="29"/>
      <c r="BQ181" s="25"/>
      <c r="BR181" s="29"/>
      <c r="BS181" s="25"/>
      <c r="BT181" s="29"/>
      <c r="BU181" s="25"/>
      <c r="BV181" s="29"/>
      <c r="BW181" s="25"/>
      <c r="BX181" s="29"/>
      <c r="BY181" s="25"/>
      <c r="CA181" s="1" t="str">
        <f t="shared" si="69"/>
        <v>delete from sscd_mast where sscd_idcd = 'pick_yorn_KOR_common'  and site_idcd = 'common';</v>
      </c>
      <c r="CB181" s="5" t="str">
        <f>IF(E181&lt;&gt;"",CREATE_QUERY($B$1,A$2:AA$2,A181:AA181),"")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('pick_yorn_KOR_common', 'KOR', 'common', 'pick_yorn', '피킹출력 여부', 'gb', '', '[["0",""],["1","출력","red"]]', '0: 1:출력:red', '', '0=|1=출력:red', '', '0', '0', '0', '0', 'pick_yorn 피킹출력 여부 [["0",""],["1","출력","red"]]', ' ', '', '', ' ', '', '', '', '', '', '');</v>
      </c>
    </row>
    <row r="182" spans="1:80" ht="17">
      <c r="A182" s="26" t="str">
        <f t="shared" si="73"/>
        <v>dsnt_type_KOR_common</v>
      </c>
      <c r="B182" s="25" t="s">
        <v>27</v>
      </c>
      <c r="C182" s="25" t="str">
        <f t="shared" si="77"/>
        <v>common</v>
      </c>
      <c r="D182" s="25" t="s">
        <v>275</v>
      </c>
      <c r="E182" s="25" t="s">
        <v>65</v>
      </c>
      <c r="F182" s="25" t="str">
        <f t="shared" si="74"/>
        <v>gb</v>
      </c>
      <c r="G182" s="25"/>
      <c r="H182" s="35" t="str">
        <f t="shared" si="75"/>
        <v>[["1","할인"],["2","동일"],["3","인상"]]</v>
      </c>
      <c r="I182" s="35" t="str">
        <f t="shared" si="68"/>
        <v>1:할인 2:동일 3:인상</v>
      </c>
      <c r="J182" s="35"/>
      <c r="K182" s="35" t="str">
        <f t="shared" si="70"/>
        <v>1=할인|2=동일|3=인상</v>
      </c>
      <c r="L182" s="2"/>
      <c r="M182" s="36">
        <v>0</v>
      </c>
      <c r="N182" s="36">
        <v>0</v>
      </c>
      <c r="O182" s="36" t="s">
        <v>31</v>
      </c>
      <c r="P182" s="36" t="s">
        <v>31</v>
      </c>
      <c r="Q182" s="35" t="str">
        <f t="shared" si="76"/>
        <v>dsnt_type 할인 타입 [["1","할인"],["2","동일"],["3","인상"]]</v>
      </c>
      <c r="R182" s="2" t="s">
        <v>921</v>
      </c>
      <c r="S182" s="2"/>
      <c r="T182" s="2"/>
      <c r="U182" s="2" t="s">
        <v>32</v>
      </c>
      <c r="V182" s="2"/>
      <c r="W182" s="2"/>
      <c r="X182" s="2"/>
      <c r="Y182" s="2"/>
      <c r="Z182" s="2"/>
      <c r="AA182" s="2"/>
      <c r="AB182" s="28" t="s">
        <v>684</v>
      </c>
      <c r="AC182" s="25" t="s">
        <v>467</v>
      </c>
      <c r="AD182" s="28" t="s">
        <v>685</v>
      </c>
      <c r="AE182" s="25" t="s">
        <v>557</v>
      </c>
      <c r="AF182" s="28" t="s">
        <v>687</v>
      </c>
      <c r="AG182" s="25" t="s">
        <v>558</v>
      </c>
      <c r="AH182" s="28"/>
      <c r="AI182" s="25"/>
      <c r="AJ182" s="28"/>
      <c r="AK182" s="25"/>
      <c r="AL182" s="28"/>
      <c r="AM182" s="25"/>
      <c r="AN182" s="28"/>
      <c r="AO182" s="25"/>
      <c r="AP182" s="28"/>
      <c r="AQ182" s="25"/>
      <c r="AR182" s="28"/>
      <c r="AS182" s="25"/>
      <c r="AT182" s="28"/>
      <c r="AU182" s="25"/>
      <c r="AV182" s="28"/>
      <c r="AW182" s="25"/>
      <c r="AX182" s="28"/>
      <c r="AY182" s="25"/>
      <c r="AZ182" s="28"/>
      <c r="BA182" s="25"/>
      <c r="BB182" s="28"/>
      <c r="BC182" s="25"/>
      <c r="BD182" s="28"/>
      <c r="BE182" s="25"/>
      <c r="BF182" s="28"/>
      <c r="BG182" s="25"/>
      <c r="BH182" s="28"/>
      <c r="BI182" s="25"/>
      <c r="BJ182" s="28"/>
      <c r="BK182" s="25"/>
      <c r="BL182" s="28"/>
      <c r="BM182" s="25"/>
      <c r="BN182" s="28"/>
      <c r="BO182" s="25"/>
      <c r="BP182" s="28"/>
      <c r="BQ182" s="25"/>
      <c r="BR182" s="28"/>
      <c r="BS182" s="25"/>
      <c r="BT182" s="28"/>
      <c r="BU182" s="25"/>
      <c r="BV182" s="28"/>
      <c r="BW182" s="25"/>
      <c r="BX182" s="28"/>
      <c r="BY182" s="25"/>
      <c r="CA182" s="1" t="str">
        <f t="shared" si="69"/>
        <v>delete from sscd_mast where sscd_idcd = 'dsnt_type_KOR_common'  and site_idcd = 'common';</v>
      </c>
      <c r="CB182" s="5" t="str">
        <f>IF(E182&lt;&gt;"",CREATE_QUERY($B$1,A$2:AA$2,A182:AA182),"")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('dsnt_type_KOR_common', 'KOR', 'common', 'dsnt_type', '할인 타입', 'gb', '', '[["1","할인"],["2","동일"],["3","인상"]]', '1:할인 2:동일 3:인상', '', '1=할인|2=동일|3=인상', '', '0', '0', '0', '0', 'dsnt_type 할인 타입 [["1","할인"],["2","동일"],["3","인상"]]', ' ', '', '', ' ', '', '', '', '', '', '');</v>
      </c>
    </row>
    <row r="183" spans="1:80" ht="17">
      <c r="A183" s="26" t="str">
        <f t="shared" si="73"/>
        <v>hldy_type_dvcd_KOR_common</v>
      </c>
      <c r="B183" s="25" t="s">
        <v>27</v>
      </c>
      <c r="C183" s="25" t="str">
        <f t="shared" si="77"/>
        <v>common</v>
      </c>
      <c r="D183" s="25" t="s">
        <v>279</v>
      </c>
      <c r="E183" s="25" t="s">
        <v>165</v>
      </c>
      <c r="F183" s="25" t="str">
        <f t="shared" si="74"/>
        <v>gb</v>
      </c>
      <c r="G183" s="25"/>
      <c r="H183" s="35" t="str">
        <f t="shared" si="75"/>
        <v>[["1","법정휴일"],["2","임시휴일"],["3","대체근무"],["4","휴업"]]</v>
      </c>
      <c r="I183" s="35" t="str">
        <f t="shared" si="68"/>
        <v>1:법정휴일 2:임시휴일 3:대체근무 4:휴업</v>
      </c>
      <c r="J183" s="35"/>
      <c r="K183" s="35" t="str">
        <f t="shared" si="70"/>
        <v>1=법정휴일|2=임시휴일|3=대체근무|4=휴업</v>
      </c>
      <c r="L183" s="2"/>
      <c r="M183" s="36">
        <v>0</v>
      </c>
      <c r="N183" s="36">
        <v>0</v>
      </c>
      <c r="O183" s="36" t="s">
        <v>31</v>
      </c>
      <c r="P183" s="36" t="s">
        <v>31</v>
      </c>
      <c r="Q183" s="35" t="str">
        <f t="shared" si="76"/>
        <v>hldy_type_dvcd 휴일타입구분코드 [["1","법정휴일"],["2","임시휴일"],["3","대체근무"],["4","휴업"]]</v>
      </c>
      <c r="R183" s="2" t="s">
        <v>921</v>
      </c>
      <c r="S183" s="2"/>
      <c r="T183" s="2"/>
      <c r="U183" s="2"/>
      <c r="V183" s="2"/>
      <c r="W183" s="2"/>
      <c r="X183" s="2"/>
      <c r="Y183" s="2"/>
      <c r="Z183" s="2"/>
      <c r="AA183" s="2"/>
      <c r="AB183" s="28" t="s">
        <v>684</v>
      </c>
      <c r="AC183" s="25" t="s">
        <v>824</v>
      </c>
      <c r="AD183" s="28" t="s">
        <v>685</v>
      </c>
      <c r="AE183" s="25" t="s">
        <v>825</v>
      </c>
      <c r="AF183" s="28" t="s">
        <v>687</v>
      </c>
      <c r="AG183" s="25" t="s">
        <v>826</v>
      </c>
      <c r="AH183" s="28" t="s">
        <v>688</v>
      </c>
      <c r="AI183" s="25" t="s">
        <v>827</v>
      </c>
      <c r="AJ183" s="28"/>
      <c r="AK183" s="25"/>
      <c r="AL183" s="28"/>
      <c r="AM183" s="25"/>
      <c r="AN183" s="28"/>
      <c r="AO183" s="25"/>
      <c r="AP183" s="28"/>
      <c r="AQ183" s="25"/>
      <c r="AR183" s="28"/>
      <c r="AS183" s="25"/>
      <c r="AT183" s="28"/>
      <c r="AU183" s="25"/>
      <c r="AV183" s="28"/>
      <c r="AW183" s="25"/>
      <c r="AX183" s="28"/>
      <c r="AY183" s="25"/>
      <c r="AZ183" s="28"/>
      <c r="BA183" s="25"/>
      <c r="BB183" s="28"/>
      <c r="BC183" s="25"/>
      <c r="BD183" s="28"/>
      <c r="BE183" s="25"/>
      <c r="BF183" s="28"/>
      <c r="BG183" s="25"/>
      <c r="BH183" s="28"/>
      <c r="BI183" s="25"/>
      <c r="BJ183" s="28"/>
      <c r="BK183" s="25"/>
      <c r="BL183" s="28"/>
      <c r="BM183" s="25"/>
      <c r="BN183" s="28"/>
      <c r="BO183" s="25"/>
      <c r="BP183" s="28"/>
      <c r="BQ183" s="25"/>
      <c r="BR183" s="28"/>
      <c r="BS183" s="25"/>
      <c r="BT183" s="28"/>
      <c r="BU183" s="25"/>
      <c r="BV183" s="28"/>
      <c r="BW183" s="25"/>
      <c r="BX183" s="28"/>
      <c r="BY183" s="25"/>
      <c r="CA183" s="1" t="str">
        <f t="shared" si="69"/>
        <v>delete from sscd_mast where sscd_idcd = 'hldy_type_dvcd_KOR_common'  and site_idcd = 'common';</v>
      </c>
      <c r="CB183" s="5" t="str">
        <f>IF(E183&lt;&gt;"",CREATE_QUERY($B$1,A$2:AA$2,A183:AA183),"")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('hldy_type_dvcd_KOR_common', 'KOR', 'common', 'hldy_type_dvcd', '휴일타입구분코드', 'gb', '', '[["1","법정휴일"],["2","임시휴일"],["3","대체근무"],["4","휴업"]]', '1:법정휴일 2:임시휴일 3:대체근무 4:휴업', '', '1=법정휴일|2=임시휴일|3=대체근무|4=휴업', '', '0', '0', '0', '0', 'hldy_type_dvcd 휴일타입구분코드 [["1","법정휴일"],["2","임시휴일"],["3","대체근무"],["4","휴업"]]', ' ', '', '', '', '', '', '', '', '', '');</v>
      </c>
    </row>
    <row r="184" spans="1:80" ht="17">
      <c r="A184" s="26" t="str">
        <f t="shared" ca="1" si="73"/>
        <v>move_loct_dvcd_KOR_common</v>
      </c>
      <c r="B184" s="25" t="str">
        <f t="shared" ref="B184:B221" ca="1" si="78">IF(E184="","",OFFSET(B184,-1,0))</f>
        <v>KOR</v>
      </c>
      <c r="C184" s="25" t="str">
        <f t="shared" si="77"/>
        <v>common</v>
      </c>
      <c r="D184" s="25" t="s">
        <v>2377</v>
      </c>
      <c r="E184" s="25" t="s">
        <v>2378</v>
      </c>
      <c r="F184" s="25" t="str">
        <f t="shared" ca="1" si="74"/>
        <v>gb</v>
      </c>
      <c r="G184" s="25"/>
      <c r="H184" s="35" t="str">
        <f t="shared" ref="H184:H206" si="79">"[["""&amp;
SUBSTITUTE(SUBSTITUTE(I184,":",""",""")," ","""],[""")
&amp;"""]]"</f>
        <v>[["1001","관리부서"],["1002","사내생산투입"],["2001","점검대기"],["2002","수리대기"],["3001","외주처"],["4001","발주처"]]</v>
      </c>
      <c r="I184" s="35" t="str">
        <f t="shared" ref="I184:I222" si="80">IF(AB184="","",AB184&amp;":"&amp;AC184)&amp;
IF(AD184="",""," "&amp;AD184&amp;":"&amp;AE184)&amp;
IF(AF184="",""," "&amp;AF184&amp;":"&amp;AG184)&amp;
IF(AH184="",""," "&amp;AH184&amp;":"&amp;AI184)&amp;
IF(AJ184="",""," "&amp;AJ184&amp;":"&amp;AK184)&amp;
IF(AL184="",""," "&amp;AL184&amp;":"&amp;AM184)&amp;
IF(AN184="",""," "&amp;AN184&amp;":"&amp;AO184)&amp;
IF(AP184="",""," "&amp;AP184&amp;":"&amp;AQ184)&amp;
IF(AR184="",""," "&amp;AR184&amp;":"&amp;AS184)&amp;
IF(AT184="",""," "&amp;AT184&amp;":"&amp;AU184)&amp;
IF(AV184="",""," "&amp;AV184&amp;":"&amp;AW184)&amp;
IF(AX184="",""," "&amp;AX184&amp;":"&amp;AY184)&amp;
IF(AZ184="",""," "&amp;AZ184&amp;":"&amp;BA184)&amp;
IF(BB184="",""," "&amp;BB184&amp;":"&amp;BC184)&amp;
IF(BD184="",""," "&amp;BD184&amp;":"&amp;BE184)&amp;
IF(BF184="",""," "&amp;BF184&amp;":"&amp;BG184)&amp;
IF(BH184="",""," "&amp;BH184&amp;":"&amp;BI184)&amp;
IF(BJ184="",""," "&amp;BJ184&amp;":"&amp;BK184)&amp;
IF(BL184="",""," "&amp;BL184&amp;":"&amp;BM184)&amp;
IF(BN184="",""," "&amp;BN184&amp;":"&amp;BO184)&amp;
IF(BP184="",""," "&amp;BP184&amp;":"&amp;BS184)&amp;
IF(BZ184="",""," "&amp;BZ184&amp;":"&amp;CA184)</f>
        <v>1001:관리부서 1002:사내생산투입 2001:점검대기 2002:수리대기 3001:외주처 4001:발주처</v>
      </c>
      <c r="J184" s="35"/>
      <c r="K184" s="35" t="str">
        <f t="shared" ref="K184:K223" si="81">IF(AB184="","",AB184&amp;"="&amp;AC184)&amp;
IF(AD184="","","|"&amp;AD184&amp;"="&amp;AE184)&amp;
IF(AF184="","","|"&amp;AF184&amp;"="&amp;AG184)&amp;
IF(AH184="","","|"&amp;AH184&amp;"="&amp;AI184)&amp;
IF(AJ184="","","|"&amp;AJ184&amp;"="&amp;AK184)&amp;
IF(AL184="","","|"&amp;AL184&amp;"="&amp;AM184)&amp;
IF(AN184="","","|"&amp;AN184&amp;"="&amp;AO184)&amp;
IF(AP184="","","|"&amp;AP184&amp;"="&amp;AQ184)&amp;
IF(AR184="","","|"&amp;AR184&amp;"="&amp;AS184)&amp;
IF(AT184="","","|"&amp;AT184&amp;"="&amp;AU184)&amp;
IF(AV184="","","|"&amp;AV184&amp;"="&amp;AW184)&amp;
IF(AX184="","","|"&amp;AX184&amp;"="&amp;AY184)&amp;
IF(AZ184="","","|"&amp;AZ184&amp;"="&amp;BA184)&amp;
IF(BB184="","","|"&amp;BB184&amp;"="&amp;BC184)&amp;
IF(BD184="","","|"&amp;BD184&amp;"="&amp;BE184)&amp;
IF(BF184="","","|"&amp;BF184&amp;"="&amp;BG184)&amp;
IF(BH184="","","|"&amp;BH184&amp;"="&amp;BI184)&amp;
IF(BJ184="","","|"&amp;BJ184&amp;"="&amp;BK184)&amp;
IF(BL184="","","|"&amp;BL184&amp;"="&amp;BM184)&amp;
IF(BN184="","","|"&amp;BN184&amp;"="&amp;BO184)&amp;
IF(BP184="","","|"&amp;BP184&amp;"="&amp;BQ184)&amp;
IF(BR184="","","|"&amp;BR184&amp;"="&amp;BS184)&amp;
IF(BT184="","","|"&amp;BT184&amp;"="&amp;BU184)&amp;
IF(BV184="","","|"&amp;BV184&amp;"="&amp;BW184)&amp;
IF(BX184="","","|"&amp;BX184&amp;"="&amp;BY184)</f>
        <v>1001=관리부서|1002=사내생산투입|2001=점검대기|2002=수리대기|3001=외주처|4001=발주처</v>
      </c>
      <c r="L184" s="2"/>
      <c r="M184" s="36" t="str">
        <f t="shared" ref="M184:M206" ca="1" si="82">IF(A184="","","0")</f>
        <v>0</v>
      </c>
      <c r="N184" s="36" t="str">
        <f t="shared" ref="N184:N206" ca="1" si="83">IF(B184="","","0")</f>
        <v>0</v>
      </c>
      <c r="O184" s="36" t="str">
        <f t="shared" ref="O184:O206" si="84">IF(C184="","","0")</f>
        <v>0</v>
      </c>
      <c r="P184" s="36" t="str">
        <f t="shared" ref="P184:P206" si="85">IF(D184="","","0")</f>
        <v>0</v>
      </c>
      <c r="Q184" s="35" t="str">
        <f t="shared" ref="Q184:Q194" si="86">IF(D184="","",D184&amp;" "&amp;E184&amp;" "&amp;H184)</f>
        <v>move_loct_dvcd 이동장소구분 [["1001","관리부서"],["1002","사내생산투입"],["2001","점검대기"],["2002","수리대기"],["3001","외주처"],["4001","발주처"]]</v>
      </c>
      <c r="R184" s="2" t="s">
        <v>921</v>
      </c>
      <c r="S184" s="2"/>
      <c r="T184" s="2"/>
      <c r="U184" s="2"/>
      <c r="V184" s="2"/>
      <c r="W184" s="2"/>
      <c r="X184" s="2"/>
      <c r="Y184" s="2"/>
      <c r="Z184" s="2"/>
      <c r="AA184" s="2"/>
      <c r="AB184" s="31" t="s">
        <v>654</v>
      </c>
      <c r="AC184" s="25" t="s">
        <v>2390</v>
      </c>
      <c r="AD184" s="31" t="s">
        <v>655</v>
      </c>
      <c r="AE184" s="25" t="s">
        <v>2381</v>
      </c>
      <c r="AF184" s="31" t="s">
        <v>692</v>
      </c>
      <c r="AG184" s="25" t="s">
        <v>2382</v>
      </c>
      <c r="AH184" s="31" t="s">
        <v>693</v>
      </c>
      <c r="AI184" s="25" t="s">
        <v>2383</v>
      </c>
      <c r="AJ184" s="31" t="s">
        <v>745</v>
      </c>
      <c r="AK184" s="25" t="s">
        <v>2384</v>
      </c>
      <c r="AL184" s="31" t="s">
        <v>1449</v>
      </c>
      <c r="AM184" s="25" t="s">
        <v>2385</v>
      </c>
      <c r="AN184" s="31"/>
      <c r="AO184" s="25"/>
      <c r="AP184" s="31"/>
      <c r="AQ184" s="25"/>
      <c r="AR184" s="31"/>
      <c r="AS184" s="25"/>
      <c r="AT184" s="31"/>
      <c r="AU184" s="25"/>
      <c r="AV184" s="31"/>
      <c r="AW184" s="25"/>
      <c r="AX184" s="31"/>
      <c r="AY184" s="25"/>
      <c r="AZ184" s="31"/>
      <c r="BA184" s="25"/>
      <c r="BB184" s="31"/>
      <c r="BC184" s="25"/>
      <c r="BD184" s="31"/>
      <c r="BE184" s="25"/>
      <c r="BF184" s="31"/>
      <c r="BG184" s="25"/>
      <c r="BH184" s="31"/>
      <c r="BI184" s="25"/>
      <c r="BJ184" s="31"/>
      <c r="BK184" s="25"/>
      <c r="BL184" s="31"/>
      <c r="BM184" s="25"/>
      <c r="BN184" s="31"/>
      <c r="BO184" s="25"/>
      <c r="BP184" s="31"/>
      <c r="BQ184" s="25"/>
      <c r="BR184" s="31"/>
      <c r="BS184" s="25"/>
      <c r="BT184" s="31"/>
      <c r="BU184" s="25"/>
      <c r="BV184" s="31"/>
      <c r="BW184" s="25"/>
      <c r="BX184" s="31"/>
      <c r="BY184" s="25"/>
      <c r="CA184" s="1" t="str">
        <f t="shared" ref="CA184:CA222" ca="1" si="87">IF(A184="","","delete from sscd_mast where sscd_idcd = '"&amp;A184&amp;"'  and site_idcd = '"&amp;C184&amp;"';")</f>
        <v>delete from sscd_mast where sscd_idcd = 'move_loct_dvcd_KOR_common'  and site_idcd = 'common';</v>
      </c>
      <c r="CB184" s="5" t="str">
        <f ca="1">IF(E184&lt;&gt;"",CREATE_QUERY($B$1,A$2:AA$2,A184:AA184),"")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('move_loct_dvcd_KOR_common', 'KOR', 'common', 'move_loct_dvcd', '이동장소구분', 'gb', '', '[["1001","관리부서"],["1002","사내생산투입"],["2001","점검대기"],["2002","수리대기"],["3001","외주처"],["4001","발주처"]]', '1001:관리부서 1002:사내생산투입 2001:점검대기 2002:수리대기 3001:외주처 4001:발주처', '', '1001=관리부서|1002=사내생산투입|2001=점검대기|2002=수리대기|3001=외주처|4001=발주처', '', '0', '0', '0', '0', 'move_loct_dvcd 이동장소구분 [["1001","관리부서"],["1002","사내생산투입"],["2001","점검대기"],["2002","수리대기"],["3001","외주처"],["4001","발주처"]]', ' ', '', '', '', '', '', '', '', '', '');</v>
      </c>
    </row>
    <row r="185" spans="1:80" ht="17">
      <c r="A185" s="26" t="str">
        <f t="shared" ca="1" si="73"/>
        <v>move_purp_dvcd_KOR_common</v>
      </c>
      <c r="B185" s="25" t="str">
        <f t="shared" ca="1" si="78"/>
        <v>KOR</v>
      </c>
      <c r="C185" s="25" t="str">
        <f t="shared" si="77"/>
        <v>common</v>
      </c>
      <c r="D185" s="25" t="s">
        <v>2379</v>
      </c>
      <c r="E185" s="25" t="s">
        <v>2380</v>
      </c>
      <c r="F185" s="25" t="str">
        <f t="shared" ca="1" si="74"/>
        <v>gb</v>
      </c>
      <c r="G185" s="25"/>
      <c r="H185" s="35" t="str">
        <f t="shared" si="79"/>
        <v>[["1000","생산"],["2000","점검및수리"],["3000","회수"],["4000","반납"]]</v>
      </c>
      <c r="I185" s="35" t="str">
        <f t="shared" si="80"/>
        <v>1000:생산 2000:점검및수리 3000:회수 4000:반납</v>
      </c>
      <c r="J185" s="35"/>
      <c r="K185" s="35" t="str">
        <f t="shared" si="81"/>
        <v>1000=생산|2000=점검및수리|3000=회수|4000=반납</v>
      </c>
      <c r="L185" s="2"/>
      <c r="M185" s="36" t="str">
        <f t="shared" ca="1" si="82"/>
        <v>0</v>
      </c>
      <c r="N185" s="36" t="str">
        <f t="shared" ca="1" si="83"/>
        <v>0</v>
      </c>
      <c r="O185" s="36" t="str">
        <f t="shared" si="84"/>
        <v>0</v>
      </c>
      <c r="P185" s="36" t="str">
        <f t="shared" si="85"/>
        <v>0</v>
      </c>
      <c r="Q185" s="35" t="str">
        <f t="shared" si="86"/>
        <v>move_purp_dvcd 이동목적구분코드 [["1000","생산"],["2000","점검및수리"],["3000","회수"],["4000","반납"]]</v>
      </c>
      <c r="R185" s="2" t="s">
        <v>921</v>
      </c>
      <c r="S185" s="2"/>
      <c r="T185" s="2"/>
      <c r="U185" s="2"/>
      <c r="V185" s="2"/>
      <c r="W185" s="2"/>
      <c r="X185" s="2"/>
      <c r="Y185" s="2"/>
      <c r="Z185" s="2"/>
      <c r="AA185" s="2"/>
      <c r="AB185" s="31" t="s">
        <v>591</v>
      </c>
      <c r="AC185" s="25" t="s">
        <v>2386</v>
      </c>
      <c r="AD185" s="31" t="s">
        <v>592</v>
      </c>
      <c r="AE185" s="25" t="s">
        <v>2387</v>
      </c>
      <c r="AF185" s="31" t="s">
        <v>600</v>
      </c>
      <c r="AG185" s="25" t="s">
        <v>2389</v>
      </c>
      <c r="AH185" s="31" t="s">
        <v>601</v>
      </c>
      <c r="AI185" s="25" t="s">
        <v>2388</v>
      </c>
      <c r="AJ185" s="31"/>
      <c r="AK185" s="25"/>
      <c r="AL185" s="31"/>
      <c r="AM185" s="25"/>
      <c r="AN185" s="31"/>
      <c r="AO185" s="25"/>
      <c r="AP185" s="31"/>
      <c r="AQ185" s="25"/>
      <c r="AR185" s="31"/>
      <c r="AS185" s="25"/>
      <c r="AT185" s="31"/>
      <c r="AU185" s="25"/>
      <c r="AV185" s="31"/>
      <c r="AW185" s="25"/>
      <c r="AX185" s="31"/>
      <c r="AY185" s="25"/>
      <c r="AZ185" s="31"/>
      <c r="BA185" s="25"/>
      <c r="BB185" s="31"/>
      <c r="BC185" s="25"/>
      <c r="BD185" s="31"/>
      <c r="BE185" s="25"/>
      <c r="BF185" s="31"/>
      <c r="BG185" s="25"/>
      <c r="BH185" s="31"/>
      <c r="BI185" s="25"/>
      <c r="BJ185" s="31"/>
      <c r="BK185" s="25"/>
      <c r="BL185" s="31"/>
      <c r="BM185" s="25"/>
      <c r="BN185" s="31"/>
      <c r="BO185" s="25"/>
      <c r="BP185" s="31"/>
      <c r="BQ185" s="25"/>
      <c r="BR185" s="31"/>
      <c r="BS185" s="25"/>
      <c r="BT185" s="31"/>
      <c r="BU185" s="25"/>
      <c r="BV185" s="31"/>
      <c r="BW185" s="25"/>
      <c r="BX185" s="31"/>
      <c r="BY185" s="25"/>
      <c r="CA185" s="1" t="str">
        <f t="shared" ca="1" si="87"/>
        <v>delete from sscd_mast where sscd_idcd = 'move_purp_dvcd_KOR_common'  and site_idcd = 'common';</v>
      </c>
      <c r="CB185" s="5" t="str">
        <f ca="1">IF(E185&lt;&gt;"",CREATE_QUERY($B$1,A$2:AA$2,A185:AA185),"")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('move_purp_dvcd_KOR_common', 'KOR', 'common', 'move_purp_dvcd', '이동목적구분코드', 'gb', '', '[["1000","생산"],["2000","점검및수리"],["3000","회수"],["4000","반납"]]', '1000:생산 2000:점검및수리 3000:회수 4000:반납', '', '1000=생산|2000=점검및수리|3000=회수|4000=반납', '', '0', '0', '0', '0', 'move_purp_dvcd 이동목적구분코드 [["1000","생산"],["2000","점검및수리"],["3000","회수"],["4000","반납"]]', ' ', '', '', '', '', '', '', '', '', '');</v>
      </c>
    </row>
    <row r="186" spans="1:80" ht="17">
      <c r="A186" s="26" t="str">
        <f t="shared" ca="1" si="73"/>
        <v>prjt_dvcd_KOR_common</v>
      </c>
      <c r="B186" s="25" t="str">
        <f t="shared" ca="1" si="78"/>
        <v>KOR</v>
      </c>
      <c r="C186" s="25" t="str">
        <f t="shared" si="77"/>
        <v>common</v>
      </c>
      <c r="D186" s="25" t="s">
        <v>2391</v>
      </c>
      <c r="E186" s="25" t="s">
        <v>2392</v>
      </c>
      <c r="F186" s="25" t="str">
        <f t="shared" ca="1" si="74"/>
        <v>gb</v>
      </c>
      <c r="G186" s="25"/>
      <c r="H186" s="35" t="str">
        <f t="shared" si="79"/>
        <v>[["1000","신작"],["2000","수정"],["3000","A/S"]]</v>
      </c>
      <c r="I186" s="35" t="str">
        <f t="shared" si="80"/>
        <v>1000:신작 2000:수정 3000:A/S</v>
      </c>
      <c r="J186" s="35"/>
      <c r="K186" s="35" t="str">
        <f t="shared" si="81"/>
        <v>1000=신작|2000=수정|3000=A/S</v>
      </c>
      <c r="L186" s="2"/>
      <c r="M186" s="36" t="str">
        <f t="shared" ca="1" si="82"/>
        <v>0</v>
      </c>
      <c r="N186" s="36" t="str">
        <f t="shared" ca="1" si="83"/>
        <v>0</v>
      </c>
      <c r="O186" s="36" t="str">
        <f t="shared" si="84"/>
        <v>0</v>
      </c>
      <c r="P186" s="36" t="str">
        <f t="shared" si="85"/>
        <v>0</v>
      </c>
      <c r="Q186" s="35" t="str">
        <f t="shared" si="86"/>
        <v>prjt_dvcd 프로젝트구분코드 [["1000","신작"],["2000","수정"],["3000","A/S"]]</v>
      </c>
      <c r="R186" s="2" t="s">
        <v>921</v>
      </c>
      <c r="S186" s="2"/>
      <c r="T186" s="2"/>
      <c r="U186" s="2"/>
      <c r="V186" s="2"/>
      <c r="W186" s="2"/>
      <c r="X186" s="2"/>
      <c r="Y186" s="2"/>
      <c r="Z186" s="2"/>
      <c r="AA186" s="2"/>
      <c r="AB186" s="31" t="s">
        <v>591</v>
      </c>
      <c r="AC186" s="25" t="s">
        <v>2393</v>
      </c>
      <c r="AD186" s="31" t="s">
        <v>592</v>
      </c>
      <c r="AE186" s="25" t="s">
        <v>2394</v>
      </c>
      <c r="AF186" s="31" t="s">
        <v>600</v>
      </c>
      <c r="AG186" s="25" t="s">
        <v>2395</v>
      </c>
      <c r="AH186" s="31"/>
      <c r="AI186" s="25"/>
      <c r="AJ186" s="31"/>
      <c r="AK186" s="25"/>
      <c r="AL186" s="31"/>
      <c r="AM186" s="25"/>
      <c r="AN186" s="31"/>
      <c r="AO186" s="25"/>
      <c r="AP186" s="31"/>
      <c r="AQ186" s="25"/>
      <c r="AR186" s="31"/>
      <c r="AS186" s="25"/>
      <c r="AT186" s="31"/>
      <c r="AU186" s="25"/>
      <c r="AV186" s="31"/>
      <c r="AW186" s="25"/>
      <c r="AX186" s="31"/>
      <c r="AY186" s="25"/>
      <c r="AZ186" s="31"/>
      <c r="BA186" s="25"/>
      <c r="BB186" s="31"/>
      <c r="BC186" s="25"/>
      <c r="BD186" s="31"/>
      <c r="BE186" s="25"/>
      <c r="BF186" s="31"/>
      <c r="BG186" s="25"/>
      <c r="BH186" s="31"/>
      <c r="BI186" s="25"/>
      <c r="BJ186" s="31"/>
      <c r="BK186" s="25"/>
      <c r="BL186" s="31"/>
      <c r="BM186" s="25"/>
      <c r="BN186" s="31"/>
      <c r="BO186" s="25"/>
      <c r="BP186" s="31"/>
      <c r="BQ186" s="25"/>
      <c r="BR186" s="31"/>
      <c r="BS186" s="25"/>
      <c r="BT186" s="31"/>
      <c r="BU186" s="25"/>
      <c r="BV186" s="31"/>
      <c r="BW186" s="25"/>
      <c r="BX186" s="31"/>
      <c r="BY186" s="25"/>
      <c r="CA186" s="1" t="str">
        <f t="shared" ca="1" si="87"/>
        <v>delete from sscd_mast where sscd_idcd = 'prjt_dvcd_KOR_common'  and site_idcd = 'common';</v>
      </c>
      <c r="CB186" s="5" t="str">
        <f ca="1">IF(E186&lt;&gt;"",CREATE_QUERY($B$1,A$2:AA$2,A186:AA186),"")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('prjt_dvcd_KOR_common', 'KOR', 'common', 'prjt_dvcd', '프로젝트구분코드', 'gb', '', '[["1000","신작"],["2000","수정"],["3000","A/S"]]', '1000:신작 2000:수정 3000:A/S', '', '1000=신작|2000=수정|3000=A/S', '', '0', '0', '0', '0', 'prjt_dvcd 프로젝트구분코드 [["1000","신작"],["2000","수정"],["3000","A/S"]]', ' ', '', '', '', '', '', '', '', '', '');</v>
      </c>
    </row>
    <row r="187" spans="1:80" ht="17">
      <c r="A187" s="26" t="str">
        <f t="shared" ca="1" si="73"/>
        <v>dsig_sche_dvcd_KOR_common</v>
      </c>
      <c r="B187" s="25" t="str">
        <f t="shared" ca="1" si="78"/>
        <v>KOR</v>
      </c>
      <c r="C187" s="25" t="str">
        <f t="shared" si="77"/>
        <v>common</v>
      </c>
      <c r="D187" s="25" t="s">
        <v>2396</v>
      </c>
      <c r="E187" s="25" t="s">
        <v>2397</v>
      </c>
      <c r="F187" s="25" t="str">
        <f t="shared" ca="1" si="74"/>
        <v>gb</v>
      </c>
      <c r="G187" s="25"/>
      <c r="H187" s="35" t="str">
        <f t="shared" si="79"/>
        <v>[["1000","개략설계"],["2000","확정설계"]]</v>
      </c>
      <c r="I187" s="35" t="str">
        <f t="shared" si="80"/>
        <v>1000:개략설계 2000:확정설계</v>
      </c>
      <c r="J187" s="35"/>
      <c r="K187" s="35" t="str">
        <f t="shared" si="81"/>
        <v>1000=개략설계|2000=확정설계</v>
      </c>
      <c r="L187" s="2"/>
      <c r="M187" s="36" t="str">
        <f t="shared" ca="1" si="82"/>
        <v>0</v>
      </c>
      <c r="N187" s="36" t="str">
        <f t="shared" ca="1" si="83"/>
        <v>0</v>
      </c>
      <c r="O187" s="36" t="str">
        <f t="shared" si="84"/>
        <v>0</v>
      </c>
      <c r="P187" s="36" t="str">
        <f t="shared" si="85"/>
        <v>0</v>
      </c>
      <c r="Q187" s="35" t="str">
        <f t="shared" si="86"/>
        <v>dsig_sche_dvcd 설계일정구분코드 [["1000","개략설계"],["2000","확정설계"]]</v>
      </c>
      <c r="R187" s="2" t="s">
        <v>921</v>
      </c>
      <c r="S187" s="2"/>
      <c r="T187" s="2"/>
      <c r="U187" s="2"/>
      <c r="V187" s="2"/>
      <c r="W187" s="2"/>
      <c r="X187" s="2"/>
      <c r="Y187" s="2"/>
      <c r="Z187" s="2"/>
      <c r="AA187" s="2"/>
      <c r="AB187" s="31" t="s">
        <v>591</v>
      </c>
      <c r="AC187" s="25" t="s">
        <v>2398</v>
      </c>
      <c r="AD187" s="31" t="s">
        <v>592</v>
      </c>
      <c r="AE187" s="25" t="s">
        <v>2399</v>
      </c>
      <c r="AF187" s="31"/>
      <c r="AG187" s="25"/>
      <c r="AH187" s="31"/>
      <c r="AI187" s="25"/>
      <c r="AJ187" s="31"/>
      <c r="AK187" s="25"/>
      <c r="AL187" s="31"/>
      <c r="AM187" s="25"/>
      <c r="AN187" s="31"/>
      <c r="AO187" s="25"/>
      <c r="AP187" s="31"/>
      <c r="AQ187" s="25"/>
      <c r="AR187" s="31"/>
      <c r="AS187" s="25"/>
      <c r="AT187" s="31"/>
      <c r="AU187" s="25"/>
      <c r="AV187" s="31"/>
      <c r="AW187" s="25"/>
      <c r="AX187" s="31"/>
      <c r="AY187" s="25"/>
      <c r="AZ187" s="31"/>
      <c r="BA187" s="25"/>
      <c r="BB187" s="31"/>
      <c r="BC187" s="25"/>
      <c r="BD187" s="31"/>
      <c r="BE187" s="25"/>
      <c r="BF187" s="31"/>
      <c r="BG187" s="25"/>
      <c r="BH187" s="31"/>
      <c r="BI187" s="25"/>
      <c r="BJ187" s="31"/>
      <c r="BK187" s="25"/>
      <c r="BL187" s="31"/>
      <c r="BM187" s="25"/>
      <c r="BN187" s="31"/>
      <c r="BO187" s="25"/>
      <c r="BP187" s="31"/>
      <c r="BQ187" s="25"/>
      <c r="BR187" s="31"/>
      <c r="BS187" s="25"/>
      <c r="BT187" s="31"/>
      <c r="BU187" s="25"/>
      <c r="BV187" s="31"/>
      <c r="BW187" s="25"/>
      <c r="BX187" s="31"/>
      <c r="BY187" s="25"/>
      <c r="CA187" s="1" t="str">
        <f t="shared" ca="1" si="87"/>
        <v>delete from sscd_mast where sscd_idcd = 'dsig_sche_dvcd_KOR_common'  and site_idcd = 'common';</v>
      </c>
      <c r="CB187" s="5" t="str">
        <f ca="1">IF(E187&lt;&gt;"",CREATE_QUERY($B$1,A$2:AA$2,A187:AA187),"")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('dsig_sche_dvcd_KOR_common', 'KOR', 'common', 'dsig_sche_dvcd', '설계일정구분코드', 'gb', '', '[["1000","개략설계"],["2000","확정설계"]]', '1000:개략설계 2000:확정설계', '', '1000=개략설계|2000=확정설계', '', '0', '0', '0', '0', 'dsig_sche_dvcd 설계일정구분코드 [["1000","개략설계"],["2000","확정설계"]]', ' ', '', '', '', '', '', '', '', '', '');</v>
      </c>
    </row>
    <row r="188" spans="1:80" ht="17">
      <c r="A188" s="26" t="str">
        <f t="shared" ca="1" si="73"/>
        <v>rply_mthd_dvcd_KOR_common</v>
      </c>
      <c r="B188" s="25" t="str">
        <f t="shared" ca="1" si="78"/>
        <v>KOR</v>
      </c>
      <c r="C188" s="25" t="str">
        <f t="shared" si="77"/>
        <v>common</v>
      </c>
      <c r="D188" s="25" t="s">
        <v>2400</v>
      </c>
      <c r="E188" s="25" t="s">
        <v>2401</v>
      </c>
      <c r="F188" s="25" t="str">
        <f t="shared" ca="1" si="74"/>
        <v>gb</v>
      </c>
      <c r="G188" s="25"/>
      <c r="H188" s="35" t="str">
        <f t="shared" si="79"/>
        <v>[["1000","유선통보"],["2000","팩스"],["3000","서류제출"],["4000","이메일"],["9000","해당없음"]]</v>
      </c>
      <c r="I188" s="35" t="str">
        <f t="shared" si="80"/>
        <v>1000:유선통보 2000:팩스 3000:서류제출 4000:이메일 9000:해당없음</v>
      </c>
      <c r="J188" s="35"/>
      <c r="K188" s="35" t="str">
        <f t="shared" si="81"/>
        <v>1000=유선통보|2000=팩스|3000=서류제출|4000=이메일|9000=해당없음</v>
      </c>
      <c r="L188" s="2"/>
      <c r="M188" s="36" t="str">
        <f t="shared" ca="1" si="82"/>
        <v>0</v>
      </c>
      <c r="N188" s="36" t="str">
        <f t="shared" ca="1" si="83"/>
        <v>0</v>
      </c>
      <c r="O188" s="36" t="str">
        <f t="shared" si="84"/>
        <v>0</v>
      </c>
      <c r="P188" s="36" t="str">
        <f t="shared" si="85"/>
        <v>0</v>
      </c>
      <c r="Q188" s="35" t="str">
        <f t="shared" si="86"/>
        <v>rply_mthd_dvcd 회신방법구분코드 [["1000","유선통보"],["2000","팩스"],["3000","서류제출"],["4000","이메일"],["9000","해당없음"]]</v>
      </c>
      <c r="R188" s="2" t="s">
        <v>921</v>
      </c>
      <c r="S188" s="2"/>
      <c r="T188" s="2"/>
      <c r="U188" s="2"/>
      <c r="V188" s="2"/>
      <c r="W188" s="2"/>
      <c r="X188" s="2"/>
      <c r="Y188" s="2"/>
      <c r="Z188" s="2"/>
      <c r="AA188" s="2"/>
      <c r="AB188" s="31" t="s">
        <v>591</v>
      </c>
      <c r="AC188" s="25" t="s">
        <v>2402</v>
      </c>
      <c r="AD188" s="31" t="s">
        <v>592</v>
      </c>
      <c r="AE188" s="25" t="s">
        <v>2404</v>
      </c>
      <c r="AF188" s="31" t="s">
        <v>600</v>
      </c>
      <c r="AG188" s="25" t="s">
        <v>2403</v>
      </c>
      <c r="AH188" s="31" t="s">
        <v>601</v>
      </c>
      <c r="AI188" s="25" t="s">
        <v>2405</v>
      </c>
      <c r="AJ188" s="31" t="s">
        <v>661</v>
      </c>
      <c r="AK188" s="25" t="s">
        <v>2406</v>
      </c>
      <c r="AL188" s="31"/>
      <c r="AM188" s="25"/>
      <c r="AN188" s="31"/>
      <c r="AO188" s="25"/>
      <c r="AP188" s="31"/>
      <c r="AQ188" s="25"/>
      <c r="AR188" s="31"/>
      <c r="AS188" s="25"/>
      <c r="AT188" s="31"/>
      <c r="AU188" s="25"/>
      <c r="AV188" s="31"/>
      <c r="AW188" s="25"/>
      <c r="AX188" s="31"/>
      <c r="AY188" s="25"/>
      <c r="AZ188" s="31"/>
      <c r="BA188" s="25"/>
      <c r="BB188" s="31"/>
      <c r="BC188" s="25"/>
      <c r="BD188" s="31"/>
      <c r="BE188" s="25"/>
      <c r="BF188" s="31"/>
      <c r="BG188" s="25"/>
      <c r="BH188" s="31"/>
      <c r="BI188" s="25"/>
      <c r="BJ188" s="31"/>
      <c r="BK188" s="25"/>
      <c r="BL188" s="31"/>
      <c r="BM188" s="25"/>
      <c r="BN188" s="31"/>
      <c r="BO188" s="25"/>
      <c r="BP188" s="31"/>
      <c r="BQ188" s="25"/>
      <c r="BR188" s="31"/>
      <c r="BS188" s="25"/>
      <c r="BT188" s="31"/>
      <c r="BU188" s="25"/>
      <c r="BV188" s="31"/>
      <c r="BW188" s="25"/>
      <c r="BX188" s="31"/>
      <c r="BY188" s="25"/>
      <c r="CA188" s="1" t="str">
        <f t="shared" ca="1" si="87"/>
        <v>delete from sscd_mast where sscd_idcd = 'rply_mthd_dvcd_KOR_common'  and site_idcd = 'common';</v>
      </c>
      <c r="CB188" s="5" t="str">
        <f ca="1">IF(E188&lt;&gt;"",CREATE_QUERY($B$1,A$2:AA$2,A188:AA188),"")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('rply_mthd_dvcd_KOR_common', 'KOR', 'common', 'rply_mthd_dvcd', '회신방법구분코드', 'gb', '', '[["1000","유선통보"],["2000","팩스"],["3000","서류제출"],["4000","이메일"],["9000","해당없음"]]', '1000:유선통보 2000:팩스 3000:서류제출 4000:이메일 9000:해당없음', '', '1000=유선통보|2000=팩스|3000=서류제출|4000=이메일|9000=해당없음', '', '0', '0', '0', '0', 'rply_mthd_dvcd 회신방법구분코드 [["1000","유선통보"],["2000","팩스"],["3000","서류제출"],["4000","이메일"],["9000","해당없음"]]', ' ', '', '', '', '', '', '', '', '', '');</v>
      </c>
    </row>
    <row r="189" spans="1:80" ht="17">
      <c r="A189" s="26" t="str">
        <f t="shared" ca="1" si="73"/>
        <v>cpst_dvcd_KOR_common</v>
      </c>
      <c r="B189" s="25" t="str">
        <f t="shared" ca="1" si="78"/>
        <v>KOR</v>
      </c>
      <c r="C189" s="25" t="str">
        <f t="shared" si="77"/>
        <v>common</v>
      </c>
      <c r="D189" s="25" t="s">
        <v>2407</v>
      </c>
      <c r="E189" s="25" t="s">
        <v>2408</v>
      </c>
      <c r="F189" s="25" t="str">
        <f t="shared" ca="1" si="74"/>
        <v>gb</v>
      </c>
      <c r="G189" s="25"/>
      <c r="H189" s="35" t="str">
        <f t="shared" si="79"/>
        <v>[["1000","유상"],["2000","무상"],["2001","합산청구"],["9000","미정"]]</v>
      </c>
      <c r="I189" s="35" t="str">
        <f t="shared" si="80"/>
        <v>1000:유상 2000:무상 2001:합산청구 9000:미정</v>
      </c>
      <c r="J189" s="35"/>
      <c r="K189" s="35" t="str">
        <f t="shared" si="81"/>
        <v>1000=유상|2000=무상|2001=합산청구|9000=미정</v>
      </c>
      <c r="L189" s="2"/>
      <c r="M189" s="36" t="str">
        <f t="shared" ca="1" si="82"/>
        <v>0</v>
      </c>
      <c r="N189" s="36" t="str">
        <f t="shared" ca="1" si="83"/>
        <v>0</v>
      </c>
      <c r="O189" s="36" t="str">
        <f t="shared" si="84"/>
        <v>0</v>
      </c>
      <c r="P189" s="36" t="str">
        <f t="shared" si="85"/>
        <v>0</v>
      </c>
      <c r="Q189" s="35" t="str">
        <f t="shared" si="86"/>
        <v>cpst_dvcd 유무상구분코드 [["1000","유상"],["2000","무상"],["2001","합산청구"],["9000","미정"]]</v>
      </c>
      <c r="R189" s="2" t="s">
        <v>921</v>
      </c>
      <c r="S189" s="2"/>
      <c r="T189" s="2"/>
      <c r="U189" s="2"/>
      <c r="V189" s="2"/>
      <c r="W189" s="2"/>
      <c r="X189" s="2"/>
      <c r="Y189" s="2"/>
      <c r="Z189" s="2"/>
      <c r="AA189" s="2"/>
      <c r="AB189" s="31" t="s">
        <v>591</v>
      </c>
      <c r="AC189" s="25" t="s">
        <v>2409</v>
      </c>
      <c r="AD189" s="31" t="s">
        <v>592</v>
      </c>
      <c r="AE189" s="25" t="s">
        <v>2410</v>
      </c>
      <c r="AF189" s="31" t="s">
        <v>692</v>
      </c>
      <c r="AG189" s="25" t="s">
        <v>2524</v>
      </c>
      <c r="AH189" s="31" t="s">
        <v>661</v>
      </c>
      <c r="AI189" s="25" t="s">
        <v>2525</v>
      </c>
      <c r="AJ189" s="31"/>
      <c r="AK189" s="25"/>
      <c r="AL189" s="31"/>
      <c r="AM189" s="25"/>
      <c r="AN189" s="31"/>
      <c r="AO189" s="25"/>
      <c r="AP189" s="31"/>
      <c r="AQ189" s="25"/>
      <c r="AR189" s="31"/>
      <c r="AS189" s="25"/>
      <c r="AT189" s="31"/>
      <c r="AU189" s="25"/>
      <c r="AV189" s="31"/>
      <c r="AW189" s="25"/>
      <c r="AX189" s="31"/>
      <c r="AY189" s="25"/>
      <c r="AZ189" s="31"/>
      <c r="BA189" s="25"/>
      <c r="BB189" s="31"/>
      <c r="BC189" s="25"/>
      <c r="BD189" s="31"/>
      <c r="BE189" s="25"/>
      <c r="BF189" s="31"/>
      <c r="BG189" s="25"/>
      <c r="BH189" s="31"/>
      <c r="BI189" s="25"/>
      <c r="BJ189" s="31"/>
      <c r="BK189" s="25"/>
      <c r="BL189" s="31"/>
      <c r="BM189" s="25"/>
      <c r="BN189" s="31"/>
      <c r="BO189" s="25"/>
      <c r="BP189" s="31"/>
      <c r="BQ189" s="25"/>
      <c r="BR189" s="31"/>
      <c r="BS189" s="25"/>
      <c r="BT189" s="31"/>
      <c r="BU189" s="25"/>
      <c r="BV189" s="31"/>
      <c r="BW189" s="25"/>
      <c r="BX189" s="31"/>
      <c r="BY189" s="25"/>
      <c r="CA189" s="1" t="str">
        <f t="shared" ca="1" si="87"/>
        <v>delete from sscd_mast where sscd_idcd = 'cpst_dvcd_KOR_common'  and site_idcd = 'common';</v>
      </c>
      <c r="CB189" s="5" t="str">
        <f ca="1">IF(E189&lt;&gt;"",CREATE_QUERY($B$1,A$2:AA$2,A189:AA189),"")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('cpst_dvcd_KOR_common', 'KOR', 'common', 'cpst_dvcd', '유무상구분코드', 'gb', '', '[["1000","유상"],["2000","무상"],["2001","합산청구"],["9000","미정"]]', '1000:유상 2000:무상 2001:합산청구 9000:미정', '', '1000=유상|2000=무상|2001=합산청구|9000=미정', '', '0', '0', '0', '0', 'cpst_dvcd 유무상구분코드 [["1000","유상"],["2000","무상"],["2001","합산청구"],["9000","미정"]]', ' ', '', '', '', '', '', '', '', '', '');</v>
      </c>
    </row>
    <row r="190" spans="1:80" ht="17">
      <c r="A190" s="26" t="str">
        <f t="shared" ca="1" si="73"/>
        <v>colt_dvcd_KOR_common</v>
      </c>
      <c r="B190" s="25" t="str">
        <f t="shared" ca="1" si="78"/>
        <v>KOR</v>
      </c>
      <c r="C190" s="25" t="str">
        <f t="shared" si="77"/>
        <v>common</v>
      </c>
      <c r="D190" s="25" t="s">
        <v>2411</v>
      </c>
      <c r="E190" s="25" t="s">
        <v>2412</v>
      </c>
      <c r="F190" s="25" t="str">
        <f t="shared" ca="1" si="74"/>
        <v>gb</v>
      </c>
      <c r="G190" s="25"/>
      <c r="H190" s="35" t="str">
        <f t="shared" si="79"/>
        <v>[["1000","선수금"],["2000","중도금"],["3000","잔금"],["9000","NEGO"]]</v>
      </c>
      <c r="I190" s="35" t="str">
        <f t="shared" si="80"/>
        <v>1000:선수금 2000:중도금 3000:잔금 9000:NEGO</v>
      </c>
      <c r="J190" s="35"/>
      <c r="K190" s="35" t="str">
        <f t="shared" si="81"/>
        <v>1000=선수금|2000=중도금|3000=잔금|9000=NEGO</v>
      </c>
      <c r="L190" s="2"/>
      <c r="M190" s="36" t="str">
        <f t="shared" ca="1" si="82"/>
        <v>0</v>
      </c>
      <c r="N190" s="36" t="str">
        <f t="shared" ca="1" si="83"/>
        <v>0</v>
      </c>
      <c r="O190" s="36" t="str">
        <f t="shared" si="84"/>
        <v>0</v>
      </c>
      <c r="P190" s="36" t="str">
        <f t="shared" si="85"/>
        <v>0</v>
      </c>
      <c r="Q190" s="35" t="str">
        <f t="shared" si="86"/>
        <v>colt_dvcd 수금구분코드 [["1000","선수금"],["2000","중도금"],["3000","잔금"],["9000","NEGO"]]</v>
      </c>
      <c r="R190" s="2" t="s">
        <v>921</v>
      </c>
      <c r="S190" s="2"/>
      <c r="T190" s="2"/>
      <c r="U190" s="2"/>
      <c r="V190" s="2"/>
      <c r="W190" s="2"/>
      <c r="X190" s="2"/>
      <c r="Y190" s="2"/>
      <c r="Z190" s="2"/>
      <c r="AA190" s="2"/>
      <c r="AB190" s="31" t="s">
        <v>591</v>
      </c>
      <c r="AC190" s="25" t="s">
        <v>2413</v>
      </c>
      <c r="AD190" s="31" t="s">
        <v>592</v>
      </c>
      <c r="AE190" s="25" t="s">
        <v>2414</v>
      </c>
      <c r="AF190" s="31" t="s">
        <v>600</v>
      </c>
      <c r="AG190" s="25" t="s">
        <v>2415</v>
      </c>
      <c r="AH190" s="31" t="s">
        <v>661</v>
      </c>
      <c r="AI190" s="25" t="s">
        <v>2523</v>
      </c>
      <c r="AJ190" s="31"/>
      <c r="AK190" s="25"/>
      <c r="AL190" s="31"/>
      <c r="AM190" s="25"/>
      <c r="AN190" s="31"/>
      <c r="AO190" s="25"/>
      <c r="AP190" s="31"/>
      <c r="AQ190" s="25"/>
      <c r="AR190" s="31"/>
      <c r="AS190" s="25"/>
      <c r="AT190" s="31"/>
      <c r="AU190" s="25"/>
      <c r="AV190" s="31"/>
      <c r="AW190" s="25"/>
      <c r="AX190" s="31"/>
      <c r="AY190" s="25"/>
      <c r="AZ190" s="31"/>
      <c r="BA190" s="25"/>
      <c r="BB190" s="31"/>
      <c r="BC190" s="25"/>
      <c r="BD190" s="31"/>
      <c r="BE190" s="25"/>
      <c r="BF190" s="31"/>
      <c r="BG190" s="25"/>
      <c r="BH190" s="31"/>
      <c r="BI190" s="25"/>
      <c r="BJ190" s="31"/>
      <c r="BK190" s="25"/>
      <c r="BL190" s="31"/>
      <c r="BM190" s="25"/>
      <c r="BN190" s="31"/>
      <c r="BO190" s="25"/>
      <c r="BP190" s="31"/>
      <c r="BQ190" s="25"/>
      <c r="BR190" s="31"/>
      <c r="BS190" s="25"/>
      <c r="BT190" s="31"/>
      <c r="BU190" s="25"/>
      <c r="BV190" s="31"/>
      <c r="BW190" s="25"/>
      <c r="BX190" s="31"/>
      <c r="BY190" s="25"/>
      <c r="CA190" s="1" t="str">
        <f t="shared" ca="1" si="87"/>
        <v>delete from sscd_mast where sscd_idcd = 'colt_dvcd_KOR_common'  and site_idcd = 'common';</v>
      </c>
      <c r="CB190" s="5" t="str">
        <f ca="1">IF(E190&lt;&gt;"",CREATE_QUERY($B$1,A$2:AA$2,A190:AA190),"")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('colt_dvcd_KOR_common', 'KOR', 'common', 'colt_dvcd', '수금구분코드', 'gb', '', '[["1000","선수금"],["2000","중도금"],["3000","잔금"],["9000","NEGO"]]', '1000:선수금 2000:중도금 3000:잔금 9000:NEGO', '', '1000=선수금|2000=중도금|3000=잔금|9000=NEGO', '', '0', '0', '0', '0', 'colt_dvcd 수금구분코드 [["1000","선수금"],["2000","중도금"],["3000","잔금"],["9000","NEGO"]]', ' ', '', '', '', '', '', '', '', '', '');</v>
      </c>
    </row>
    <row r="191" spans="1:80" ht="17">
      <c r="A191" s="26" t="str">
        <f t="shared" ca="1" si="73"/>
        <v>supl_dvcd_KOR_common</v>
      </c>
      <c r="B191" s="25" t="str">
        <f t="shared" ca="1" si="78"/>
        <v>KOR</v>
      </c>
      <c r="C191" s="25" t="str">
        <f t="shared" si="77"/>
        <v>common</v>
      </c>
      <c r="D191" s="25" t="s">
        <v>2416</v>
      </c>
      <c r="E191" s="25" t="s">
        <v>2417</v>
      </c>
      <c r="F191" s="25" t="str">
        <f t="shared" ca="1" si="74"/>
        <v>gb</v>
      </c>
      <c r="G191" s="25"/>
      <c r="H191" s="35" t="str">
        <f t="shared" si="79"/>
        <v>[["1000","국내매입"],["2000","사내가공"],["3000","외주매입"],["4000","외주가공"],["5001","유상사급"],["5002","무상사급"]]</v>
      </c>
      <c r="I191" s="35" t="str">
        <f t="shared" si="80"/>
        <v>1000:국내매입 2000:사내가공 3000:외주매입 4000:외주가공 5001:유상사급 5002:무상사급</v>
      </c>
      <c r="J191" s="35"/>
      <c r="K191" s="35" t="str">
        <f t="shared" si="81"/>
        <v>1000=국내매입|2000=사내가공|3000=외주매입|4000=외주가공|5001=유상사급|5002=무상사급</v>
      </c>
      <c r="L191" s="2"/>
      <c r="M191" s="36" t="str">
        <f t="shared" ca="1" si="82"/>
        <v>0</v>
      </c>
      <c r="N191" s="36" t="str">
        <f t="shared" ca="1" si="83"/>
        <v>0</v>
      </c>
      <c r="O191" s="36" t="str">
        <f t="shared" si="84"/>
        <v>0</v>
      </c>
      <c r="P191" s="36" t="str">
        <f t="shared" si="85"/>
        <v>0</v>
      </c>
      <c r="Q191" s="35" t="str">
        <f t="shared" si="86"/>
        <v>supl_dvcd 조달구분코드 [["1000","국내매입"],["2000","사내가공"],["3000","외주매입"],["4000","외주가공"],["5001","유상사급"],["5002","무상사급"]]</v>
      </c>
      <c r="R191" s="2" t="s">
        <v>921</v>
      </c>
      <c r="S191" s="2"/>
      <c r="T191" s="2"/>
      <c r="U191" s="2"/>
      <c r="V191" s="2"/>
      <c r="W191" s="2"/>
      <c r="X191" s="2"/>
      <c r="Y191" s="2"/>
      <c r="Z191" s="2"/>
      <c r="AA191" s="2"/>
      <c r="AB191" s="31" t="s">
        <v>591</v>
      </c>
      <c r="AC191" s="25" t="s">
        <v>2418</v>
      </c>
      <c r="AD191" s="31" t="s">
        <v>592</v>
      </c>
      <c r="AE191" s="25" t="s">
        <v>2421</v>
      </c>
      <c r="AF191" s="31" t="s">
        <v>600</v>
      </c>
      <c r="AG191" s="25" t="s">
        <v>2419</v>
      </c>
      <c r="AH191" s="31" t="s">
        <v>601</v>
      </c>
      <c r="AI191" s="25" t="s">
        <v>2420</v>
      </c>
      <c r="AJ191" s="31" t="s">
        <v>1450</v>
      </c>
      <c r="AK191" s="25" t="s">
        <v>2422</v>
      </c>
      <c r="AL191" s="31" t="s">
        <v>2423</v>
      </c>
      <c r="AM191" s="25" t="s">
        <v>2424</v>
      </c>
      <c r="AN191" s="31"/>
      <c r="AO191" s="25"/>
      <c r="AP191" s="31"/>
      <c r="AQ191" s="25"/>
      <c r="AR191" s="31"/>
      <c r="AS191" s="25"/>
      <c r="AT191" s="31"/>
      <c r="AU191" s="25"/>
      <c r="AV191" s="31"/>
      <c r="AW191" s="25"/>
      <c r="AX191" s="31"/>
      <c r="AY191" s="25"/>
      <c r="AZ191" s="31"/>
      <c r="BA191" s="25"/>
      <c r="BB191" s="31"/>
      <c r="BC191" s="25"/>
      <c r="BD191" s="31"/>
      <c r="BE191" s="25"/>
      <c r="BF191" s="31"/>
      <c r="BG191" s="25"/>
      <c r="BH191" s="31"/>
      <c r="BI191" s="25"/>
      <c r="BJ191" s="31"/>
      <c r="BK191" s="25"/>
      <c r="BL191" s="31"/>
      <c r="BM191" s="25"/>
      <c r="BN191" s="31"/>
      <c r="BO191" s="25"/>
      <c r="BP191" s="31"/>
      <c r="BQ191" s="25"/>
      <c r="BR191" s="31"/>
      <c r="BS191" s="25"/>
      <c r="BT191" s="31"/>
      <c r="BU191" s="25"/>
      <c r="BV191" s="31"/>
      <c r="BW191" s="25"/>
      <c r="BX191" s="31"/>
      <c r="BY191" s="25"/>
      <c r="CA191" s="1" t="str">
        <f t="shared" ca="1" si="87"/>
        <v>delete from sscd_mast where sscd_idcd = 'supl_dvcd_KOR_common'  and site_idcd = 'common';</v>
      </c>
      <c r="CB191" s="5" t="str">
        <f ca="1">IF(E191&lt;&gt;"",CREATE_QUERY($B$1,A$2:AA$2,A191:AA191),"")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('supl_dvcd_KOR_common', 'KOR', 'common', 'supl_dvcd', '조달구분코드', 'gb', '', '[["1000","국내매입"],["2000","사내가공"],["3000","외주매입"],["4000","외주가공"],["5001","유상사급"],["5002","무상사급"]]', '1000:국내매입 2000:사내가공 3000:외주매입 4000:외주가공 5001:유상사급 5002:무상사급', '', '1000=국내매입|2000=사내가공|3000=외주매입|4000=외주가공|5001=유상사급|5002=무상사급', '', '0', '0', '0', '0', 'supl_dvcd 조달구분코드 [["1000","국내매입"],["2000","사내가공"],["3000","외주매입"],["4000","외주가공"],["5001","유상사급"],["5002","무상사급"]]', ' ', '', '', '', '', '', '', '', '', '');</v>
      </c>
    </row>
    <row r="192" spans="1:80" ht="17">
      <c r="A192" s="26" t="str">
        <f t="shared" ca="1" si="73"/>
        <v>labo_rate_dvcd_KOR_common</v>
      </c>
      <c r="B192" s="25" t="str">
        <f t="shared" ca="1" si="78"/>
        <v>KOR</v>
      </c>
      <c r="C192" s="25" t="str">
        <f t="shared" si="77"/>
        <v>common</v>
      </c>
      <c r="D192" s="25" t="s">
        <v>2425</v>
      </c>
      <c r="E192" s="25" t="s">
        <v>2426</v>
      </c>
      <c r="F192" s="25" t="str">
        <f t="shared" ca="1" si="74"/>
        <v>gb</v>
      </c>
      <c r="G192" s="25"/>
      <c r="H192" s="35" t="str">
        <f t="shared" si="79"/>
        <v>[["1","인원"],["2","공정"],["3","설비"],["4","부서"]]</v>
      </c>
      <c r="I192" s="35" t="str">
        <f t="shared" si="80"/>
        <v>1:인원 2:공정 3:설비 4:부서</v>
      </c>
      <c r="J192" s="35"/>
      <c r="K192" s="35" t="str">
        <f t="shared" si="81"/>
        <v>1=인원|2=공정|3=설비|4=부서</v>
      </c>
      <c r="L192" s="2"/>
      <c r="M192" s="36" t="str">
        <f t="shared" ca="1" si="82"/>
        <v>0</v>
      </c>
      <c r="N192" s="36" t="str">
        <f t="shared" ca="1" si="83"/>
        <v>0</v>
      </c>
      <c r="O192" s="36" t="str">
        <f t="shared" si="84"/>
        <v>0</v>
      </c>
      <c r="P192" s="36" t="str">
        <f t="shared" si="85"/>
        <v>0</v>
      </c>
      <c r="Q192" s="35" t="str">
        <f t="shared" si="86"/>
        <v>labo_rate_dvcd 임율구분코드 [["1","인원"],["2","공정"],["3","설비"],["4","부서"]]</v>
      </c>
      <c r="R192" s="2" t="s">
        <v>921</v>
      </c>
      <c r="S192" s="2"/>
      <c r="T192" s="2"/>
      <c r="U192" s="2"/>
      <c r="V192" s="2"/>
      <c r="W192" s="2"/>
      <c r="X192" s="2"/>
      <c r="Y192" s="2"/>
      <c r="Z192" s="2"/>
      <c r="AA192" s="2"/>
      <c r="AB192" s="31" t="s">
        <v>684</v>
      </c>
      <c r="AC192" s="25" t="s">
        <v>2427</v>
      </c>
      <c r="AD192" s="31" t="s">
        <v>685</v>
      </c>
      <c r="AE192" s="25" t="s">
        <v>2428</v>
      </c>
      <c r="AF192" s="31" t="s">
        <v>687</v>
      </c>
      <c r="AG192" s="25" t="s">
        <v>2429</v>
      </c>
      <c r="AH192" s="31" t="s">
        <v>688</v>
      </c>
      <c r="AI192" s="25" t="s">
        <v>2430</v>
      </c>
      <c r="AJ192" s="31"/>
      <c r="AK192" s="25"/>
      <c r="AL192" s="31"/>
      <c r="AM192" s="25"/>
      <c r="AN192" s="31"/>
      <c r="AO192" s="25"/>
      <c r="AP192" s="31"/>
      <c r="AQ192" s="25"/>
      <c r="AR192" s="31"/>
      <c r="AS192" s="25"/>
      <c r="AT192" s="31"/>
      <c r="AU192" s="25"/>
      <c r="AV192" s="31"/>
      <c r="AW192" s="25"/>
      <c r="AX192" s="31"/>
      <c r="AY192" s="25"/>
      <c r="AZ192" s="31"/>
      <c r="BA192" s="25"/>
      <c r="BB192" s="31"/>
      <c r="BC192" s="25"/>
      <c r="BD192" s="31"/>
      <c r="BE192" s="25"/>
      <c r="BF192" s="31"/>
      <c r="BG192" s="25"/>
      <c r="BH192" s="31"/>
      <c r="BI192" s="25"/>
      <c r="BJ192" s="31"/>
      <c r="BK192" s="25"/>
      <c r="BL192" s="31"/>
      <c r="BM192" s="25"/>
      <c r="BN192" s="31"/>
      <c r="BO192" s="25"/>
      <c r="BP192" s="31"/>
      <c r="BQ192" s="25"/>
      <c r="BR192" s="31"/>
      <c r="BS192" s="25"/>
      <c r="BT192" s="31"/>
      <c r="BU192" s="25"/>
      <c r="BV192" s="31"/>
      <c r="BW192" s="25"/>
      <c r="BX192" s="31"/>
      <c r="BY192" s="25"/>
      <c r="CA192" s="1" t="str">
        <f t="shared" ca="1" si="87"/>
        <v>delete from sscd_mast where sscd_idcd = 'labo_rate_dvcd_KOR_common'  and site_idcd = 'common';</v>
      </c>
      <c r="CB192" s="5" t="str">
        <f ca="1">IF(E192&lt;&gt;"",CREATE_QUERY($B$1,A$2:AA$2,A192:AA192),"")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('labo_rate_dvcd_KOR_common', 'KOR', 'common', 'labo_rate_dvcd', '임율구분코드', 'gb', '', '[["1","인원"],["2","공정"],["3","설비"],["4","부서"]]', '1:인원 2:공정 3:설비 4:부서', '', '1=인원|2=공정|3=설비|4=부서', '', '0', '0', '0', '0', 'labo_rate_dvcd 임율구분코드 [["1","인원"],["2","공정"],["3","설비"],["4","부서"]]', ' ', '', '', '', '', '', '', '', '', '');</v>
      </c>
    </row>
    <row r="193" spans="1:80" ht="17">
      <c r="A193" s="26" t="str">
        <f t="shared" ca="1" si="73"/>
        <v>smli_dvcd_KOR_common</v>
      </c>
      <c r="B193" s="25" t="str">
        <f t="shared" ca="1" si="78"/>
        <v>KOR</v>
      </c>
      <c r="C193" s="25" t="str">
        <f t="shared" si="77"/>
        <v>common</v>
      </c>
      <c r="D193" s="25" t="s">
        <v>2431</v>
      </c>
      <c r="E193" s="25" t="s">
        <v>2432</v>
      </c>
      <c r="F193" s="25" t="str">
        <f t="shared" ca="1" si="74"/>
        <v>gb</v>
      </c>
      <c r="G193" s="25"/>
      <c r="H193" s="35" t="str">
        <f t="shared" si="79"/>
        <v>[["1","초물"],["2","중물"],["3","종물"],["9","자주검사"]]</v>
      </c>
      <c r="I193" s="35" t="str">
        <f t="shared" si="80"/>
        <v>1:초물 2:중물 3:종물 9:자주검사</v>
      </c>
      <c r="J193" s="35"/>
      <c r="K193" s="35" t="str">
        <f t="shared" si="81"/>
        <v>1=초물|2=중물|3=종물|9=자주검사</v>
      </c>
      <c r="L193" s="2"/>
      <c r="M193" s="36" t="str">
        <f t="shared" ca="1" si="82"/>
        <v>0</v>
      </c>
      <c r="N193" s="36" t="str">
        <f t="shared" ca="1" si="83"/>
        <v>0</v>
      </c>
      <c r="O193" s="36" t="str">
        <f t="shared" si="84"/>
        <v>0</v>
      </c>
      <c r="P193" s="36" t="str">
        <f t="shared" si="85"/>
        <v>0</v>
      </c>
      <c r="Q193" s="35" t="str">
        <f t="shared" si="86"/>
        <v>smli_dvcd 초중종구분코드 [["1","초물"],["2","중물"],["3","종물"],["9","자주검사"]]</v>
      </c>
      <c r="R193" s="2" t="s">
        <v>921</v>
      </c>
      <c r="S193" s="2"/>
      <c r="T193" s="2"/>
      <c r="U193" s="2"/>
      <c r="V193" s="2"/>
      <c r="W193" s="2"/>
      <c r="X193" s="2"/>
      <c r="Y193" s="2"/>
      <c r="Z193" s="2"/>
      <c r="AA193" s="2"/>
      <c r="AB193" s="31" t="s">
        <v>684</v>
      </c>
      <c r="AC193" s="25" t="s">
        <v>2433</v>
      </c>
      <c r="AD193" s="31" t="s">
        <v>685</v>
      </c>
      <c r="AE193" s="25" t="s">
        <v>2434</v>
      </c>
      <c r="AF193" s="31" t="s">
        <v>687</v>
      </c>
      <c r="AG193" s="25" t="s">
        <v>2435</v>
      </c>
      <c r="AH193" s="31" t="s">
        <v>570</v>
      </c>
      <c r="AI193" s="25" t="s">
        <v>2375</v>
      </c>
      <c r="AJ193" s="31"/>
      <c r="AK193" s="25"/>
      <c r="AL193" s="31"/>
      <c r="AM193" s="25"/>
      <c r="AN193" s="31"/>
      <c r="AO193" s="25"/>
      <c r="AP193" s="31"/>
      <c r="AQ193" s="25"/>
      <c r="AR193" s="31"/>
      <c r="AS193" s="25"/>
      <c r="AT193" s="31"/>
      <c r="AU193" s="25"/>
      <c r="AV193" s="31"/>
      <c r="AW193" s="25"/>
      <c r="AX193" s="31"/>
      <c r="AY193" s="25"/>
      <c r="AZ193" s="31"/>
      <c r="BA193" s="25"/>
      <c r="BB193" s="31"/>
      <c r="BC193" s="25"/>
      <c r="BD193" s="31"/>
      <c r="BE193" s="25"/>
      <c r="BF193" s="31"/>
      <c r="BG193" s="25"/>
      <c r="BH193" s="31"/>
      <c r="BI193" s="25"/>
      <c r="BJ193" s="31"/>
      <c r="BK193" s="25"/>
      <c r="BL193" s="31"/>
      <c r="BM193" s="25"/>
      <c r="BN193" s="31"/>
      <c r="BO193" s="25"/>
      <c r="BP193" s="31"/>
      <c r="BQ193" s="25"/>
      <c r="BR193" s="31"/>
      <c r="BS193" s="25"/>
      <c r="BT193" s="31"/>
      <c r="BU193" s="25"/>
      <c r="BV193" s="31"/>
      <c r="BW193" s="25"/>
      <c r="BX193" s="31"/>
      <c r="BY193" s="25"/>
      <c r="CA193" s="1" t="str">
        <f t="shared" ca="1" si="87"/>
        <v>delete from sscd_mast where sscd_idcd = 'smli_dvcd_KOR_common'  and site_idcd = 'common';</v>
      </c>
      <c r="CB193" s="5" t="str">
        <f ca="1">IF(E193&lt;&gt;"",CREATE_QUERY($B$1,A$2:AA$2,A193:AA193),"")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('smli_dvcd_KOR_common', 'KOR', 'common', 'smli_dvcd', '초중종구분코드', 'gb', '', '[["1","초물"],["2","중물"],["3","종물"],["9","자주검사"]]', '1:초물 2:중물 3:종물 9:자주검사', '', '1=초물|2=중물|3=종물|9=자주검사', '', '0', '0', '0', '0', 'smli_dvcd 초중종구분코드 [["1","초물"],["2","중물"],["3","종물"],["9","자주검사"]]', ' ', '', '', '', '', '', '', '', '', '');</v>
      </c>
    </row>
    <row r="194" spans="1:80" ht="17">
      <c r="A194" s="26" t="str">
        <f t="shared" ca="1" si="73"/>
        <v>prod_dvcd_KOR_common</v>
      </c>
      <c r="B194" s="25" t="str">
        <f t="shared" ca="1" si="78"/>
        <v>KOR</v>
      </c>
      <c r="C194" s="25" t="str">
        <f t="shared" si="77"/>
        <v>common</v>
      </c>
      <c r="D194" s="25" t="s">
        <v>2445</v>
      </c>
      <c r="E194" s="25" t="s">
        <v>2446</v>
      </c>
      <c r="F194" s="25" t="str">
        <f t="shared" ca="1" si="74"/>
        <v>gb</v>
      </c>
      <c r="G194" s="25"/>
      <c r="H194" s="35" t="str">
        <f t="shared" si="79"/>
        <v>[["1000","조립품"],["2000","반제품"],["3000","코팅"],["4000","증착"],["5000","H/S"],["6000","사출"],["7000","인쇄"],["8000","도금"],["9000","캡"]]</v>
      </c>
      <c r="I194" s="35" t="str">
        <f t="shared" si="80"/>
        <v>1000:조립품 2000:반제품 3000:코팅 4000:증착 5000:H/S 6000:사출 7000:인쇄 8000:도금 9000:캡</v>
      </c>
      <c r="J194" s="35"/>
      <c r="K194" s="35" t="str">
        <f t="shared" si="81"/>
        <v>1000=조립품|2000=반제품|3000=코팅|4000=증착|5000=H/S|6000=사출|7000=인쇄|8000=도금|9000=캡</v>
      </c>
      <c r="L194" s="2"/>
      <c r="M194" s="36" t="str">
        <f t="shared" ca="1" si="82"/>
        <v>0</v>
      </c>
      <c r="N194" s="36" t="str">
        <f t="shared" ca="1" si="83"/>
        <v>0</v>
      </c>
      <c r="O194" s="36" t="str">
        <f t="shared" si="84"/>
        <v>0</v>
      </c>
      <c r="P194" s="36" t="str">
        <f t="shared" si="85"/>
        <v>0</v>
      </c>
      <c r="Q194" s="35" t="str">
        <f t="shared" si="86"/>
        <v>prod_dvcd 생산구분코드 [["1000","조립품"],["2000","반제품"],["3000","코팅"],["4000","증착"],["5000","H/S"],["6000","사출"],["7000","인쇄"],["8000","도금"],["9000","캡"]]</v>
      </c>
      <c r="R194" s="2" t="s">
        <v>921</v>
      </c>
      <c r="S194" s="2"/>
      <c r="T194" s="2"/>
      <c r="U194" s="2"/>
      <c r="V194" s="2"/>
      <c r="W194" s="2"/>
      <c r="X194" s="2"/>
      <c r="Y194" s="2"/>
      <c r="Z194" s="2"/>
      <c r="AA194" s="2"/>
      <c r="AB194" s="31" t="s">
        <v>591</v>
      </c>
      <c r="AC194" s="25" t="s">
        <v>2440</v>
      </c>
      <c r="AD194" s="31" t="s">
        <v>592</v>
      </c>
      <c r="AE194" s="25" t="s">
        <v>1458</v>
      </c>
      <c r="AF194" s="31" t="s">
        <v>600</v>
      </c>
      <c r="AG194" s="25" t="s">
        <v>2436</v>
      </c>
      <c r="AH194" s="31" t="s">
        <v>601</v>
      </c>
      <c r="AI194" s="25" t="s">
        <v>2437</v>
      </c>
      <c r="AJ194" s="31" t="s">
        <v>626</v>
      </c>
      <c r="AK194" s="25" t="s">
        <v>2438</v>
      </c>
      <c r="AL194" s="31" t="s">
        <v>628</v>
      </c>
      <c r="AM194" s="25" t="s">
        <v>2439</v>
      </c>
      <c r="AN194" s="31" t="s">
        <v>629</v>
      </c>
      <c r="AO194" s="25" t="s">
        <v>2441</v>
      </c>
      <c r="AP194" s="31" t="s">
        <v>2442</v>
      </c>
      <c r="AQ194" s="25" t="s">
        <v>2443</v>
      </c>
      <c r="AR194" s="31" t="s">
        <v>661</v>
      </c>
      <c r="AS194" s="25" t="s">
        <v>2444</v>
      </c>
      <c r="AT194" s="31"/>
      <c r="AU194" s="25"/>
      <c r="AV194" s="31"/>
      <c r="AW194" s="25"/>
      <c r="AX194" s="31"/>
      <c r="AY194" s="25"/>
      <c r="AZ194" s="31"/>
      <c r="BA194" s="25"/>
      <c r="BB194" s="31"/>
      <c r="BC194" s="25"/>
      <c r="BD194" s="31"/>
      <c r="BE194" s="25"/>
      <c r="BF194" s="31"/>
      <c r="BG194" s="25"/>
      <c r="BH194" s="31"/>
      <c r="BI194" s="25"/>
      <c r="BJ194" s="31"/>
      <c r="BK194" s="25"/>
      <c r="BL194" s="31"/>
      <c r="BM194" s="25"/>
      <c r="BN194" s="31"/>
      <c r="BO194" s="25"/>
      <c r="BP194" s="31"/>
      <c r="BQ194" s="25"/>
      <c r="BR194" s="31"/>
      <c r="BS194" s="25"/>
      <c r="BT194" s="31"/>
      <c r="BU194" s="25"/>
      <c r="BV194" s="31"/>
      <c r="BW194" s="25"/>
      <c r="BX194" s="31"/>
      <c r="BY194" s="25"/>
      <c r="CA194" s="1" t="str">
        <f t="shared" ca="1" si="87"/>
        <v>delete from sscd_mast where sscd_idcd = 'prod_dvcd_KOR_common'  and site_idcd = 'common';</v>
      </c>
      <c r="CB194" s="5" t="str">
        <f ca="1">IF(E194&lt;&gt;"",CREATE_QUERY($B$1,A$2:AA$2,A194:AA194),"")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('prod_dvcd_KOR_common', 'KOR', 'common', 'prod_dvcd', '생산구분코드', 'gb', '', '[["1000","조립품"],["2000","반제품"],["3000","코팅"],["4000","증착"],["5000","H/S"],["6000","사출"],["7000","인쇄"],["8000","도금"],["9000","캡"]]', '1000:조립품 2000:반제품 3000:코팅 4000:증착 5000:H/S 6000:사출 7000:인쇄 8000:도금 9000:캡', '', '1000=조립품|2000=반제품|3000=코팅|4000=증착|5000=H/S|6000=사출|7000=인쇄|8000=도금|9000=캡', '', '0', '0', '0', '0', 'prod_dvcd 생산구분코드 [["1000","조립품"],["2000","반제품"],["3000","코팅"],["4000","증착"],["5000","H/S"],["6000","사출"],["7000","인쇄"],["8000","도금"],["9000","캡"]]', ' ', '', '', '', '', '', '', '', '', '');</v>
      </c>
    </row>
    <row r="195" spans="1:80" ht="17">
      <c r="A195" s="3" t="str">
        <f t="shared" ref="A195:A226" ca="1" si="88">IF(D195="","",D195&amp;"_"&amp;B195&amp;"_"&amp;C195)</f>
        <v>work_schd_dvcd_KOR_common</v>
      </c>
      <c r="B195" s="2" t="str">
        <f t="shared" ca="1" si="78"/>
        <v>KOR</v>
      </c>
      <c r="C195" s="25" t="str">
        <f t="shared" si="77"/>
        <v>common</v>
      </c>
      <c r="D195" s="25" t="s">
        <v>2469</v>
      </c>
      <c r="E195" s="25" t="s">
        <v>2470</v>
      </c>
      <c r="F195" s="25" t="str">
        <f t="shared" ref="F195:F206" ca="1" si="89">IF(A195="","","gb")</f>
        <v>gb</v>
      </c>
      <c r="G195" s="25"/>
      <c r="H195" s="35" t="str">
        <f t="shared" si="79"/>
        <v>[["1000","계략일정"],["2000","상세일정계획"],["3000","설계변경"],["4000","품질육성"],["5000","AS기타"]]</v>
      </c>
      <c r="I195" s="35" t="str">
        <f t="shared" si="80"/>
        <v>1000:계략일정 2000:상세일정계획 3000:설계변경 4000:품질육성 5000:AS기타</v>
      </c>
      <c r="J195" s="35"/>
      <c r="K195" s="35" t="str">
        <f t="shared" si="81"/>
        <v>1000=계략일정|2000=상세일정계획|3000=설계변경|4000=품질육성|5000=AS기타</v>
      </c>
      <c r="L195" s="2"/>
      <c r="M195" s="36" t="str">
        <f t="shared" ca="1" si="82"/>
        <v>0</v>
      </c>
      <c r="N195" s="36" t="str">
        <f t="shared" ca="1" si="83"/>
        <v>0</v>
      </c>
      <c r="O195" s="36" t="str">
        <f t="shared" si="84"/>
        <v>0</v>
      </c>
      <c r="P195" s="36" t="str">
        <f t="shared" si="85"/>
        <v>0</v>
      </c>
      <c r="Q195" s="35" t="str">
        <f t="shared" ref="Q195:Q206" si="90">IF(D195="","",D195&amp;" "&amp;E195&amp;" "&amp;H195)</f>
        <v>work_schd_dvcd 작업일정구분코드 [["1000","계략일정"],["2000","상세일정계획"],["3000","설계변경"],["4000","품질육성"],["5000","AS기타"]]</v>
      </c>
      <c r="R195" s="2" t="s">
        <v>921</v>
      </c>
      <c r="S195" s="2"/>
      <c r="T195" s="2"/>
      <c r="U195" s="2"/>
      <c r="V195" s="2"/>
      <c r="W195" s="2"/>
      <c r="X195" s="2"/>
      <c r="Y195" s="2"/>
      <c r="Z195" s="2"/>
      <c r="AA195" s="2"/>
      <c r="AB195" s="31" t="s">
        <v>591</v>
      </c>
      <c r="AC195" s="25" t="s">
        <v>2471</v>
      </c>
      <c r="AD195" s="31" t="s">
        <v>592</v>
      </c>
      <c r="AE195" s="25" t="s">
        <v>2472</v>
      </c>
      <c r="AF195" s="31" t="s">
        <v>600</v>
      </c>
      <c r="AG195" s="25" t="s">
        <v>2473</v>
      </c>
      <c r="AH195" s="31" t="s">
        <v>601</v>
      </c>
      <c r="AI195" s="25" t="s">
        <v>2528</v>
      </c>
      <c r="AJ195" s="31" t="s">
        <v>626</v>
      </c>
      <c r="AK195" s="25" t="s">
        <v>2474</v>
      </c>
      <c r="AL195" s="30"/>
      <c r="AM195" s="25"/>
      <c r="AN195" s="30"/>
      <c r="AO195" s="25"/>
      <c r="AP195" s="30"/>
      <c r="AQ195" s="25"/>
      <c r="AR195" s="30"/>
      <c r="AS195" s="25"/>
      <c r="AT195" s="30"/>
      <c r="AU195" s="25"/>
      <c r="AV195" s="30"/>
      <c r="AW195" s="25"/>
      <c r="AX195" s="30"/>
      <c r="AY195" s="25"/>
      <c r="AZ195" s="30"/>
      <c r="BA195" s="25"/>
      <c r="BB195" s="30"/>
      <c r="BC195" s="25"/>
      <c r="BD195" s="30"/>
      <c r="BE195" s="25"/>
      <c r="BF195" s="30"/>
      <c r="BG195" s="25"/>
      <c r="BH195" s="30"/>
      <c r="BI195" s="25"/>
      <c r="BJ195" s="30"/>
      <c r="BK195" s="25"/>
      <c r="BL195" s="30"/>
      <c r="BM195" s="25"/>
      <c r="BN195" s="30"/>
      <c r="BO195" s="25"/>
      <c r="BP195" s="30"/>
      <c r="BQ195" s="25"/>
      <c r="BR195" s="30"/>
      <c r="BS195" s="25"/>
      <c r="BT195" s="30"/>
      <c r="BU195" s="25"/>
      <c r="BV195" s="30"/>
      <c r="BW195" s="25"/>
      <c r="BX195" s="30"/>
      <c r="BY195" s="25"/>
      <c r="CA195" s="1" t="str">
        <f t="shared" ca="1" si="87"/>
        <v>delete from sscd_mast where sscd_idcd = 'work_schd_dvcd_KOR_common'  and site_idcd = 'common';</v>
      </c>
      <c r="CB195" s="5" t="str">
        <f ca="1">IF(E195&lt;&gt;"",CREATE_QUERY($B$1,A$2:AA$2,A195:AA195),"")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('work_schd_dvcd_KOR_common', 'KOR', 'common', 'work_schd_dvcd', '작업일정구분코드', 'gb', '', '[["1000","계략일정"],["2000","상세일정계획"],["3000","설계변경"],["4000","품질육성"],["5000","AS기타"]]', '1000:계략일정 2000:상세일정계획 3000:설계변경 4000:품질육성 5000:AS기타', '', '1000=계략일정|2000=상세일정계획|3000=설계변경|4000=품질육성|5000=AS기타', '', '0', '0', '0', '0', 'work_schd_dvcd 작업일정구분코드 [["1000","계략일정"],["2000","상세일정계획"],["3000","설계변경"],["4000","품질육성"],["5000","AS기타"]]', ' ', '', '', '', '', '', '', '', '', '');</v>
      </c>
    </row>
    <row r="196" spans="1:80" ht="17">
      <c r="A196" s="3" t="str">
        <f t="shared" ca="1" si="88"/>
        <v>work_ordr_dvcd_KOR_common</v>
      </c>
      <c r="B196" s="2" t="str">
        <f t="shared" ca="1" si="78"/>
        <v>KOR</v>
      </c>
      <c r="C196" s="25" t="str">
        <f t="shared" si="77"/>
        <v>common</v>
      </c>
      <c r="D196" s="25" t="s">
        <v>2475</v>
      </c>
      <c r="E196" s="25" t="s">
        <v>2476</v>
      </c>
      <c r="F196" s="25" t="str">
        <f t="shared" ca="1" si="89"/>
        <v>gb</v>
      </c>
      <c r="G196" s="25"/>
      <c r="H196" s="35" t="str">
        <f t="shared" si="79"/>
        <v>[["1100","신작"],["1200","설계변경"],["2000","불량재작업"],["4000","품질육성"],["5000","AS기타"],["6000","대기"],["7000","사출"]]</v>
      </c>
      <c r="I196" s="35" t="str">
        <f t="shared" si="80"/>
        <v>1100:신작 1200:설계변경 2000:불량재작업 4000:품질육성 5000:AS기타 6000:대기 7000:사출</v>
      </c>
      <c r="J196" s="35"/>
      <c r="K196" s="35" t="str">
        <f t="shared" si="81"/>
        <v>1100=신작|1200=설계변경|2000=불량재작업|4000=품질육성|5000=AS기타|6000=대기|7000=사출</v>
      </c>
      <c r="L196" s="2"/>
      <c r="M196" s="36" t="str">
        <f t="shared" ca="1" si="82"/>
        <v>0</v>
      </c>
      <c r="N196" s="36" t="str">
        <f t="shared" ca="1" si="83"/>
        <v>0</v>
      </c>
      <c r="O196" s="36" t="str">
        <f t="shared" si="84"/>
        <v>0</v>
      </c>
      <c r="P196" s="36" t="str">
        <f t="shared" si="85"/>
        <v>0</v>
      </c>
      <c r="Q196" s="35" t="str">
        <f t="shared" si="90"/>
        <v>work_ordr_dvcd 작업오더구분코드 [["1100","신작"],["1200","설계변경"],["2000","불량재작업"],["4000","품질육성"],["5000","AS기타"],["6000","대기"],["7000","사출"]]</v>
      </c>
      <c r="R196" s="2" t="s">
        <v>921</v>
      </c>
      <c r="S196" s="2"/>
      <c r="T196" s="2"/>
      <c r="U196" s="2"/>
      <c r="V196" s="2"/>
      <c r="W196" s="2"/>
      <c r="X196" s="2"/>
      <c r="Y196" s="2"/>
      <c r="Z196" s="2"/>
      <c r="AA196" s="2"/>
      <c r="AB196" s="31" t="s">
        <v>671</v>
      </c>
      <c r="AC196" s="25" t="s">
        <v>2393</v>
      </c>
      <c r="AD196" s="31" t="s">
        <v>672</v>
      </c>
      <c r="AE196" s="25" t="s">
        <v>2473</v>
      </c>
      <c r="AF196" s="31" t="s">
        <v>592</v>
      </c>
      <c r="AG196" s="25" t="s">
        <v>2477</v>
      </c>
      <c r="AH196" s="31" t="s">
        <v>601</v>
      </c>
      <c r="AI196" s="25" t="s">
        <v>2528</v>
      </c>
      <c r="AJ196" s="31" t="s">
        <v>626</v>
      </c>
      <c r="AK196" s="25" t="s">
        <v>2474</v>
      </c>
      <c r="AL196" s="31" t="s">
        <v>628</v>
      </c>
      <c r="AM196" s="25" t="s">
        <v>2502</v>
      </c>
      <c r="AN196" s="31" t="s">
        <v>629</v>
      </c>
      <c r="AO196" s="25" t="s">
        <v>2439</v>
      </c>
      <c r="AP196" s="30"/>
      <c r="AQ196" s="25"/>
      <c r="AR196" s="30"/>
      <c r="AS196" s="25"/>
      <c r="AT196" s="30"/>
      <c r="AU196" s="25"/>
      <c r="AV196" s="30"/>
      <c r="AW196" s="25"/>
      <c r="AX196" s="30"/>
      <c r="AY196" s="25"/>
      <c r="AZ196" s="30"/>
      <c r="BA196" s="25"/>
      <c r="BB196" s="30"/>
      <c r="BC196" s="25"/>
      <c r="BD196" s="30"/>
      <c r="BE196" s="25"/>
      <c r="BF196" s="30"/>
      <c r="BG196" s="25"/>
      <c r="BH196" s="30"/>
      <c r="BI196" s="25"/>
      <c r="BJ196" s="30"/>
      <c r="BK196" s="25"/>
      <c r="BL196" s="30"/>
      <c r="BM196" s="25"/>
      <c r="BN196" s="30"/>
      <c r="BO196" s="25"/>
      <c r="BP196" s="30"/>
      <c r="BQ196" s="25"/>
      <c r="BR196" s="30"/>
      <c r="BS196" s="25"/>
      <c r="BT196" s="30"/>
      <c r="BU196" s="25"/>
      <c r="BV196" s="30"/>
      <c r="BW196" s="25"/>
      <c r="BX196" s="30"/>
      <c r="BY196" s="25"/>
      <c r="CA196" s="1" t="str">
        <f t="shared" ca="1" si="87"/>
        <v>delete from sscd_mast where sscd_idcd = 'work_ordr_dvcd_KOR_common'  and site_idcd = 'common';</v>
      </c>
      <c r="CB196" s="5" t="str">
        <f ca="1">IF(E196&lt;&gt;"",CREATE_QUERY($B$1,A$2:AA$2,A196:AA196),"")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('work_ordr_dvcd_KOR_common', 'KOR', 'common', 'work_ordr_dvcd', '작업오더구분코드', 'gb', '', '[["1100","신작"],["1200","설계변경"],["2000","불량재작업"],["4000","품질육성"],["5000","AS기타"],["6000","대기"],["7000","사출"]]', '1100:신작 1200:설계변경 2000:불량재작업 4000:품질육성 5000:AS기타 6000:대기 7000:사출', '', '1100=신작|1200=설계변경|2000=불량재작업|4000=품질육성|5000=AS기타|6000=대기|7000=사출', '', '0', '0', '0', '0', 'work_ordr_dvcd 작업오더구분코드 [["1100","신작"],["1200","설계변경"],["2000","불량재작업"],["4000","품질육성"],["5000","AS기타"],["6000","대기"],["7000","사출"]]', ' ', '', '', '', '', '', '', '', '', '');</v>
      </c>
    </row>
    <row r="197" spans="1:80" ht="17">
      <c r="A197" s="3" t="str">
        <f t="shared" ca="1" si="88"/>
        <v>prog_stat_dvcd_KOR_common</v>
      </c>
      <c r="B197" s="2" t="str">
        <f t="shared" ca="1" si="78"/>
        <v>KOR</v>
      </c>
      <c r="C197" s="25" t="str">
        <f t="shared" si="77"/>
        <v>common</v>
      </c>
      <c r="D197" s="25" t="s">
        <v>2500</v>
      </c>
      <c r="E197" s="25" t="s">
        <v>2501</v>
      </c>
      <c r="F197" s="25" t="str">
        <f t="shared" ca="1" si="89"/>
        <v>gb</v>
      </c>
      <c r="G197" s="25"/>
      <c r="H197" s="35" t="str">
        <f t="shared" si="79"/>
        <v>[["0","대기"],["1","생산착수"],["2","근무교대"],["3","완료"],["4","일시정지"],["9","입고완료"]]</v>
      </c>
      <c r="I197" s="35" t="str">
        <f t="shared" si="80"/>
        <v>0:대기 1:생산착수 2:근무교대 3:완료 4:일시정지 9:입고완료</v>
      </c>
      <c r="J197" s="35"/>
      <c r="K197" s="35" t="str">
        <f t="shared" si="81"/>
        <v>0=대기|1=생산착수|2=근무교대|3=완료|4=일시정지|9=입고완료</v>
      </c>
      <c r="L197" s="2"/>
      <c r="M197" s="36" t="str">
        <f t="shared" ca="1" si="82"/>
        <v>0</v>
      </c>
      <c r="N197" s="36" t="str">
        <f t="shared" ca="1" si="83"/>
        <v>0</v>
      </c>
      <c r="O197" s="36" t="str">
        <f t="shared" si="84"/>
        <v>0</v>
      </c>
      <c r="P197" s="36" t="str">
        <f t="shared" si="85"/>
        <v>0</v>
      </c>
      <c r="Q197" s="35" t="str">
        <f t="shared" si="90"/>
        <v>prog_stat_dvcd 작업진행상태구분코드 [["0","대기"],["1","생산착수"],["2","근무교대"],["3","완료"],["4","일시정지"],["9","입고완료"]]</v>
      </c>
      <c r="R197" s="2" t="s">
        <v>921</v>
      </c>
      <c r="S197" s="2"/>
      <c r="T197" s="2"/>
      <c r="U197" s="2"/>
      <c r="V197" s="2"/>
      <c r="W197" s="2"/>
      <c r="X197" s="2"/>
      <c r="Y197" s="2"/>
      <c r="Z197" s="2"/>
      <c r="AA197" s="2"/>
      <c r="AB197" s="31" t="s">
        <v>686</v>
      </c>
      <c r="AC197" s="25" t="s">
        <v>2502</v>
      </c>
      <c r="AD197" s="31" t="s">
        <v>684</v>
      </c>
      <c r="AE197" s="25" t="s">
        <v>2503</v>
      </c>
      <c r="AF197" s="31" t="s">
        <v>685</v>
      </c>
      <c r="AG197" s="25" t="s">
        <v>2657</v>
      </c>
      <c r="AH197" s="31" t="s">
        <v>687</v>
      </c>
      <c r="AI197" s="25" t="s">
        <v>851</v>
      </c>
      <c r="AJ197" s="30">
        <v>4</v>
      </c>
      <c r="AK197" s="25" t="s">
        <v>2610</v>
      </c>
      <c r="AL197" s="31" t="s">
        <v>570</v>
      </c>
      <c r="AM197" s="25" t="s">
        <v>818</v>
      </c>
      <c r="AN197" s="30"/>
      <c r="AO197" s="25"/>
      <c r="AP197" s="30"/>
      <c r="AQ197" s="25"/>
      <c r="AR197" s="30"/>
      <c r="AS197" s="25"/>
      <c r="AT197" s="30"/>
      <c r="AU197" s="25"/>
      <c r="AV197" s="30"/>
      <c r="AW197" s="25"/>
      <c r="AX197" s="30"/>
      <c r="AY197" s="25"/>
      <c r="AZ197" s="30"/>
      <c r="BA197" s="25"/>
      <c r="BB197" s="30"/>
      <c r="BC197" s="25"/>
      <c r="BD197" s="30"/>
      <c r="BE197" s="25"/>
      <c r="BF197" s="30"/>
      <c r="BG197" s="25"/>
      <c r="BH197" s="30"/>
      <c r="BI197" s="25"/>
      <c r="BJ197" s="30"/>
      <c r="BK197" s="25"/>
      <c r="BL197" s="30"/>
      <c r="BM197" s="25"/>
      <c r="BN197" s="30"/>
      <c r="BO197" s="25"/>
      <c r="BP197" s="30"/>
      <c r="BQ197" s="25"/>
      <c r="BR197" s="30"/>
      <c r="BS197" s="25"/>
      <c r="BT197" s="30"/>
      <c r="BU197" s="25"/>
      <c r="BV197" s="30"/>
      <c r="BW197" s="25"/>
      <c r="BX197" s="30"/>
      <c r="BY197" s="25"/>
      <c r="CA197" s="1" t="str">
        <f t="shared" ca="1" si="87"/>
        <v>delete from sscd_mast where sscd_idcd = 'prog_stat_dvcd_KOR_common'  and site_idcd = 'common';</v>
      </c>
      <c r="CB197" s="5" t="str">
        <f ca="1">IF(E197&lt;&gt;"",CREATE_QUERY($B$1,A$2:AA$2,A197:AA197),"")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('prog_stat_dvcd_KOR_common', 'KOR', 'common', 'prog_stat_dvcd', '작업진행상태구분코드', 'gb', '', '[["0","대기"],["1","생산착수"],["2","근무교대"],["3","완료"],["4","일시정지"],["9","입고완료"]]', '0:대기 1:생산착수 2:근무교대 3:완료 4:일시정지 9:입고완료', '', '0=대기|1=생산착수|2=근무교대|3=완료|4=일시정지|9=입고완료', '', '0', '0', '0', '0', 'prog_stat_dvcd 작업진행상태구분코드 [["0","대기"],["1","생산착수"],["2","근무교대"],["3","완료"],["4","일시정지"],["9","입고완료"]]', ' ', '', '', '', '', '', '', '', '', '');</v>
      </c>
    </row>
    <row r="198" spans="1:80" ht="17">
      <c r="A198" s="3" t="str">
        <f t="shared" ca="1" si="88"/>
        <v>work_stat_dvcd_KOR_common</v>
      </c>
      <c r="B198" s="2" t="str">
        <f t="shared" ca="1" si="78"/>
        <v>KOR</v>
      </c>
      <c r="C198" s="25" t="str">
        <f t="shared" si="77"/>
        <v>common</v>
      </c>
      <c r="D198" s="25" t="s">
        <v>2504</v>
      </c>
      <c r="E198" s="25" t="s">
        <v>2505</v>
      </c>
      <c r="F198" s="25" t="str">
        <f t="shared" ca="1" si="89"/>
        <v>gb</v>
      </c>
      <c r="G198" s="25"/>
      <c r="H198" s="35" t="str">
        <f t="shared" si="79"/>
        <v>[["1100","대기중","blue"],["1200","지연1","green"],["1300","지연2","brown"],["1400","위험","red"],["2100","진행중","blue"],["2200","지연진행중1","green"],["2300","지연진행중2","brown"],["2400","위험진행중","red"]]</v>
      </c>
      <c r="I198" s="35" t="str">
        <f t="shared" si="80"/>
        <v>1100:대기중:blue 1200:지연1:green 1300:지연2:brown 1400:위험:red 2100:진행중:blue 2200:지연진행중1:green 2300:지연진행중2:brown 2400:위험진행중:red</v>
      </c>
      <c r="J198" s="35"/>
      <c r="K198" s="35" t="str">
        <f t="shared" si="81"/>
        <v>1100=대기중:blue|1200=지연1:green|1300=지연2:brown|1400=위험:red|2100=진행중:blue|2200=지연진행중1:green|2300=지연진행중2:brown|2400=위험진행중:red</v>
      </c>
      <c r="L198" s="2"/>
      <c r="M198" s="36" t="str">
        <f t="shared" ca="1" si="82"/>
        <v>0</v>
      </c>
      <c r="N198" s="36" t="str">
        <f t="shared" ca="1" si="83"/>
        <v>0</v>
      </c>
      <c r="O198" s="36" t="str">
        <f t="shared" si="84"/>
        <v>0</v>
      </c>
      <c r="P198" s="36" t="str">
        <f t="shared" si="85"/>
        <v>0</v>
      </c>
      <c r="Q198" s="35" t="str">
        <f t="shared" si="90"/>
        <v>work_stat_dvcd 작업상태구분코드(도원금형) [["1100","대기중","blue"],["1200","지연1","green"],["1300","지연2","brown"],["1400","위험","red"],["2100","진행중","blue"],["2200","지연진행중1","green"],["2300","지연진행중2","brown"],["2400","위험진행중","red"]]</v>
      </c>
      <c r="R198" s="2" t="s">
        <v>921</v>
      </c>
      <c r="S198" s="2"/>
      <c r="T198" s="2"/>
      <c r="U198" s="2"/>
      <c r="V198" s="2"/>
      <c r="W198" s="2"/>
      <c r="X198" s="2"/>
      <c r="Y198" s="2"/>
      <c r="Z198" s="2"/>
      <c r="AA198" s="2"/>
      <c r="AB198" s="31" t="s">
        <v>671</v>
      </c>
      <c r="AC198" s="25" t="s">
        <v>2506</v>
      </c>
      <c r="AD198" s="31" t="s">
        <v>672</v>
      </c>
      <c r="AE198" s="25" t="s">
        <v>2509</v>
      </c>
      <c r="AF198" s="31" t="s">
        <v>675</v>
      </c>
      <c r="AG198" s="25" t="s">
        <v>2510</v>
      </c>
      <c r="AH198" s="31" t="s">
        <v>677</v>
      </c>
      <c r="AI198" s="25" t="s">
        <v>2507</v>
      </c>
      <c r="AJ198" s="31" t="s">
        <v>678</v>
      </c>
      <c r="AK198" s="25" t="s">
        <v>2508</v>
      </c>
      <c r="AL198" s="31" t="s">
        <v>679</v>
      </c>
      <c r="AM198" s="25" t="s">
        <v>2511</v>
      </c>
      <c r="AN198" s="31" t="s">
        <v>2514</v>
      </c>
      <c r="AO198" s="25" t="s">
        <v>2512</v>
      </c>
      <c r="AP198" s="31" t="s">
        <v>2515</v>
      </c>
      <c r="AQ198" s="25" t="s">
        <v>2513</v>
      </c>
      <c r="AR198" s="30"/>
      <c r="AS198" s="25"/>
      <c r="AT198" s="30"/>
      <c r="AU198" s="25"/>
      <c r="AV198" s="30"/>
      <c r="AW198" s="25"/>
      <c r="AX198" s="30"/>
      <c r="AY198" s="25"/>
      <c r="AZ198" s="30"/>
      <c r="BA198" s="25"/>
      <c r="BB198" s="30"/>
      <c r="BC198" s="25"/>
      <c r="BD198" s="30"/>
      <c r="BE198" s="25"/>
      <c r="BF198" s="30"/>
      <c r="BG198" s="25"/>
      <c r="BH198" s="30"/>
      <c r="BI198" s="25"/>
      <c r="BJ198" s="30"/>
      <c r="BK198" s="25"/>
      <c r="BL198" s="30"/>
      <c r="BM198" s="25"/>
      <c r="BN198" s="30"/>
      <c r="BO198" s="25"/>
      <c r="BP198" s="30"/>
      <c r="BQ198" s="25"/>
      <c r="BR198" s="30"/>
      <c r="BS198" s="25"/>
      <c r="BT198" s="30"/>
      <c r="BU198" s="25"/>
      <c r="BV198" s="30"/>
      <c r="BW198" s="25"/>
      <c r="BX198" s="30"/>
      <c r="BY198" s="25"/>
      <c r="CA198" s="1" t="str">
        <f t="shared" ca="1" si="87"/>
        <v>delete from sscd_mast where sscd_idcd = 'work_stat_dvcd_KOR_common'  and site_idcd = 'common';</v>
      </c>
      <c r="CB198" s="5" t="str">
        <f ca="1">IF(E198&lt;&gt;"",CREATE_QUERY($B$1,A$2:AA$2,A198:AA198),"")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('work_stat_dvcd_KOR_common', 'KOR', 'common', 'work_stat_dvcd', '작업상태구분코드(도원금형)', 'gb', '', '[["1100","대기중","blue"],["1200","지연1","green"],["1300","지연2","brown"],["1400","위험","red"],["2100","진행중","blue"],["2200","지연진행중1","green"],["2300","지연진행중2","brown"],["2400","위험진행중","red"]]', '1100:대기중:blue 1200:지연1:green 1300:지연2:brown 1400:위험:red 2100:진행중:blue 2200:지연진행중1:green 2300:지연진행중2:brown 2400:위험진행중:red', '', '1100=대기중:blue|1200=지연1:green|1300=지연2:brown|1400=위험:red|2100=진행중:blue|2200=지연진행중1:green|2300=지연진행중2:brown|2400=위험진행중:red', '', '0', '0', '0', '0', 'work_stat_dvcd 작업상태구분코드(도원금형) [["1100","대기중","blue"],["1200","지연1","green"],["1300","지연2","brown"],["1400","위험","red"],["2100","진행중","blue"],["2200","지연진행중1","green"],["2300","지연진행중2","brown"],["2400","위험진행중","red"]]', ' ', '', '', '', '', '', '', '', '', '');</v>
      </c>
    </row>
    <row r="199" spans="1:80" ht="17">
      <c r="A199" s="3" t="str">
        <f t="shared" ca="1" si="88"/>
        <v>scrt_sett_dvcd_KOR_common</v>
      </c>
      <c r="B199" s="2" t="str">
        <f t="shared" ca="1" si="78"/>
        <v>KOR</v>
      </c>
      <c r="C199" s="25" t="str">
        <f t="shared" si="77"/>
        <v>common</v>
      </c>
      <c r="D199" s="25" t="s">
        <v>2529</v>
      </c>
      <c r="E199" s="25" t="s">
        <v>2530</v>
      </c>
      <c r="F199" s="25" t="str">
        <f t="shared" ca="1" si="89"/>
        <v>gb</v>
      </c>
      <c r="G199" s="25"/>
      <c r="H199" s="35" t="str">
        <f t="shared" si="79"/>
        <v>[["0","설정안함"],["1","설정"],["함"]]</v>
      </c>
      <c r="I199" s="35" t="str">
        <f t="shared" si="80"/>
        <v>0:설정안함 1:설정 함</v>
      </c>
      <c r="J199" s="35"/>
      <c r="K199" s="35" t="str">
        <f t="shared" si="81"/>
        <v>0=설정안함|1=설정 함</v>
      </c>
      <c r="L199" s="2"/>
      <c r="M199" s="36" t="str">
        <f t="shared" ca="1" si="82"/>
        <v>0</v>
      </c>
      <c r="N199" s="36" t="str">
        <f t="shared" ca="1" si="83"/>
        <v>0</v>
      </c>
      <c r="O199" s="36" t="str">
        <f t="shared" si="84"/>
        <v>0</v>
      </c>
      <c r="P199" s="36" t="str">
        <f t="shared" si="85"/>
        <v>0</v>
      </c>
      <c r="Q199" s="35" t="str">
        <f t="shared" si="90"/>
        <v>scrt_sett_dvcd 담보설정구분코드 [["0","설정안함"],["1","설정"],["함"]]</v>
      </c>
      <c r="R199" s="2" t="s">
        <v>921</v>
      </c>
      <c r="S199" s="2"/>
      <c r="T199" s="2"/>
      <c r="U199" s="2"/>
      <c r="V199" s="2"/>
      <c r="W199" s="2"/>
      <c r="X199" s="2"/>
      <c r="Y199" s="2"/>
      <c r="Z199" s="2"/>
      <c r="AA199" s="2"/>
      <c r="AB199" s="31" t="s">
        <v>2531</v>
      </c>
      <c r="AC199" s="25" t="s">
        <v>2532</v>
      </c>
      <c r="AD199" s="31" t="s">
        <v>2533</v>
      </c>
      <c r="AE199" s="25" t="s">
        <v>2534</v>
      </c>
      <c r="AF199" s="30"/>
      <c r="AG199" s="25"/>
      <c r="AH199" s="30"/>
      <c r="AI199" s="25"/>
      <c r="AJ199" s="30"/>
      <c r="AK199" s="25"/>
      <c r="AL199" s="30"/>
      <c r="AM199" s="25"/>
      <c r="AN199" s="30"/>
      <c r="AO199" s="25"/>
      <c r="AP199" s="30"/>
      <c r="AQ199" s="25"/>
      <c r="AR199" s="30"/>
      <c r="AS199" s="25"/>
      <c r="AT199" s="30"/>
      <c r="AU199" s="25"/>
      <c r="AV199" s="30"/>
      <c r="AW199" s="25"/>
      <c r="AX199" s="30"/>
      <c r="AY199" s="25"/>
      <c r="AZ199" s="30"/>
      <c r="BA199" s="25"/>
      <c r="BB199" s="30"/>
      <c r="BC199" s="25"/>
      <c r="BD199" s="30"/>
      <c r="BE199" s="25"/>
      <c r="BF199" s="30"/>
      <c r="BG199" s="25"/>
      <c r="BH199" s="30"/>
      <c r="BI199" s="25"/>
      <c r="BJ199" s="30"/>
      <c r="BK199" s="25"/>
      <c r="BL199" s="30"/>
      <c r="BM199" s="25"/>
      <c r="BN199" s="30"/>
      <c r="BO199" s="25"/>
      <c r="BP199" s="30"/>
      <c r="BQ199" s="25"/>
      <c r="BR199" s="30"/>
      <c r="BS199" s="25"/>
      <c r="BT199" s="30"/>
      <c r="BU199" s="25"/>
      <c r="BV199" s="30"/>
      <c r="BW199" s="25"/>
      <c r="BX199" s="30"/>
      <c r="BY199" s="25"/>
      <c r="CA199" s="1" t="str">
        <f t="shared" ca="1" si="87"/>
        <v>delete from sscd_mast where sscd_idcd = 'scrt_sett_dvcd_KOR_common'  and site_idcd = 'common';</v>
      </c>
      <c r="CB199" s="5" t="str">
        <f ca="1">IF(E199&lt;&gt;"",CREATE_QUERY($B$1,A$2:AA$2,A199:AA199),"")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('scrt_sett_dvcd_KOR_common', 'KOR', 'common', 'scrt_sett_dvcd', '담보설정구분코드', 'gb', '', '[["0","설정안함"],["1","설정"],["함"]]', '0:설정안함 1:설정 함', '', '0=설정안함|1=설정 함', '', '0', '0', '0', '0', 'scrt_sett_dvcd 담보설정구분코드 [["0","설정안함"],["1","설정"],["함"]]', ' ', '', '', '', '', '', '', '', '', '');</v>
      </c>
    </row>
    <row r="200" spans="1:80" ht="17">
      <c r="A200" s="3" t="str">
        <f t="shared" ca="1" si="88"/>
        <v>vist_purp_dvcd_KOR_common</v>
      </c>
      <c r="B200" s="2" t="str">
        <f t="shared" ca="1" si="78"/>
        <v>KOR</v>
      </c>
      <c r="C200" s="25" t="str">
        <f t="shared" si="77"/>
        <v>common</v>
      </c>
      <c r="D200" s="25" t="s">
        <v>2535</v>
      </c>
      <c r="E200" s="25" t="s">
        <v>2536</v>
      </c>
      <c r="F200" s="25" t="str">
        <f t="shared" ca="1" si="89"/>
        <v>gb</v>
      </c>
      <c r="G200" s="25"/>
      <c r="H200" s="35" t="str">
        <f t="shared" si="79"/>
        <v>[["1000","정기방문"],["1100","영업자료"],["수집"],["1200","불량처리협의"],["2100","수주상담"],["2200","단가조정협의"],["9000","회의"]]</v>
      </c>
      <c r="I200" s="35" t="str">
        <f t="shared" si="80"/>
        <v>1000:정기방문 1100:영업자료 수집 1200:불량처리협의 2100:수주상담 2200:단가조정협의 9000:회의</v>
      </c>
      <c r="J200" s="35"/>
      <c r="K200" s="35" t="str">
        <f t="shared" si="81"/>
        <v>1000=정기방문|1100=영업자료 수집|1200=불량처리협의|2100=수주상담|2200=단가조정협의|9000=회의</v>
      </c>
      <c r="L200" s="2"/>
      <c r="M200" s="36" t="str">
        <f t="shared" ca="1" si="82"/>
        <v>0</v>
      </c>
      <c r="N200" s="36" t="str">
        <f t="shared" ca="1" si="83"/>
        <v>0</v>
      </c>
      <c r="O200" s="36" t="str">
        <f t="shared" si="84"/>
        <v>0</v>
      </c>
      <c r="P200" s="36" t="str">
        <f t="shared" si="85"/>
        <v>0</v>
      </c>
      <c r="Q200" s="35" t="str">
        <f t="shared" si="90"/>
        <v>vist_purp_dvcd 방문목적 [["1000","정기방문"],["1100","영업자료"],["수집"],["1200","불량처리협의"],["2100","수주상담"],["2200","단가조정협의"],["9000","회의"]]</v>
      </c>
      <c r="R200" s="2" t="s">
        <v>921</v>
      </c>
      <c r="S200" s="2"/>
      <c r="T200" s="2"/>
      <c r="U200" s="2"/>
      <c r="V200" s="2"/>
      <c r="W200" s="2"/>
      <c r="X200" s="2"/>
      <c r="Y200" s="2"/>
      <c r="Z200" s="2"/>
      <c r="AA200" s="2"/>
      <c r="AB200" s="31" t="s">
        <v>2537</v>
      </c>
      <c r="AC200" s="25" t="s">
        <v>2538</v>
      </c>
      <c r="AD200" s="31" t="s">
        <v>2539</v>
      </c>
      <c r="AE200" s="25" t="s">
        <v>2540</v>
      </c>
      <c r="AF200" s="31" t="s">
        <v>2541</v>
      </c>
      <c r="AG200" s="25" t="s">
        <v>2542</v>
      </c>
      <c r="AH200" s="31" t="s">
        <v>2543</v>
      </c>
      <c r="AI200" s="25" t="s">
        <v>2544</v>
      </c>
      <c r="AJ200" s="31" t="s">
        <v>2545</v>
      </c>
      <c r="AK200" s="25" t="s">
        <v>2546</v>
      </c>
      <c r="AL200" s="31" t="s">
        <v>2547</v>
      </c>
      <c r="AM200" s="25" t="s">
        <v>2548</v>
      </c>
      <c r="AN200" s="30"/>
      <c r="AO200" s="25"/>
      <c r="AP200" s="30"/>
      <c r="AQ200" s="25"/>
      <c r="AR200" s="30"/>
      <c r="AS200" s="25"/>
      <c r="AT200" s="30"/>
      <c r="AU200" s="25"/>
      <c r="AV200" s="30"/>
      <c r="AW200" s="25"/>
      <c r="AX200" s="30"/>
      <c r="AY200" s="25"/>
      <c r="AZ200" s="30"/>
      <c r="BA200" s="25"/>
      <c r="BB200" s="30"/>
      <c r="BC200" s="25"/>
      <c r="BD200" s="30"/>
      <c r="BE200" s="25"/>
      <c r="BF200" s="30"/>
      <c r="BG200" s="25"/>
      <c r="BH200" s="30"/>
      <c r="BI200" s="25"/>
      <c r="BJ200" s="30"/>
      <c r="BK200" s="25"/>
      <c r="BL200" s="30"/>
      <c r="BM200" s="25"/>
      <c r="BN200" s="30"/>
      <c r="BO200" s="25"/>
      <c r="BP200" s="30"/>
      <c r="BQ200" s="25"/>
      <c r="BR200" s="30"/>
      <c r="BS200" s="25"/>
      <c r="BT200" s="30"/>
      <c r="BU200" s="25"/>
      <c r="BV200" s="30"/>
      <c r="BW200" s="25"/>
      <c r="BX200" s="30"/>
      <c r="BY200" s="25"/>
      <c r="CA200" s="1" t="str">
        <f t="shared" ca="1" si="87"/>
        <v>delete from sscd_mast where sscd_idcd = 'vist_purp_dvcd_KOR_common'  and site_idcd = 'common';</v>
      </c>
      <c r="CB200" s="5" t="str">
        <f ca="1">IF(E200&lt;&gt;"",CREATE_QUERY($B$1,A$2:AA$2,A200:AA200),"")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('vist_purp_dvcd_KOR_common', 'KOR', 'common', 'vist_purp_dvcd', '방문목적', 'gb', '', '[["1000","정기방문"],["1100","영업자료"],["수집"],["1200","불량처리협의"],["2100","수주상담"],["2200","단가조정협의"],["9000","회의"]]', '1000:정기방문 1100:영업자료 수집 1200:불량처리협의 2100:수주상담 2200:단가조정협의 9000:회의', '', '1000=정기방문|1100=영업자료 수집|1200=불량처리협의|2100=수주상담|2200=단가조정협의|9000=회의', '', '0', '0', '0', '0', 'vist_purp_dvcd 방문목적 [["1000","정기방문"],["1100","영업자료"],["수집"],["1200","불량처리협의"],["2100","수주상담"],["2200","단가조정협의"],["9000","회의"]]', ' ', '', '', '', '', '', '', '', '', '');</v>
      </c>
    </row>
    <row r="201" spans="1:80" ht="17">
      <c r="A201" s="3" t="str">
        <f t="shared" ca="1" si="88"/>
        <v>vist_stat_dvcd_KOR_common</v>
      </c>
      <c r="B201" s="2" t="str">
        <f t="shared" ca="1" si="78"/>
        <v>KOR</v>
      </c>
      <c r="C201" s="25" t="str">
        <f t="shared" si="77"/>
        <v>common</v>
      </c>
      <c r="D201" s="25" t="s">
        <v>2549</v>
      </c>
      <c r="E201" s="25" t="s">
        <v>2550</v>
      </c>
      <c r="F201" s="25" t="str">
        <f t="shared" ca="1" si="89"/>
        <v>gb</v>
      </c>
      <c r="G201" s="25"/>
      <c r="H201" s="35" t="str">
        <f t="shared" si="79"/>
        <v>[["1000","정상"],["1200","단축조업"],["1300","기타"]]</v>
      </c>
      <c r="I201" s="35" t="str">
        <f t="shared" si="80"/>
        <v>1000:정상 1200:단축조업 1300:기타</v>
      </c>
      <c r="J201" s="35"/>
      <c r="K201" s="35" t="str">
        <f t="shared" si="81"/>
        <v>1000=정상|1200=단축조업|1300=기타</v>
      </c>
      <c r="L201" s="2"/>
      <c r="M201" s="36" t="str">
        <f t="shared" ca="1" si="82"/>
        <v>0</v>
      </c>
      <c r="N201" s="36" t="str">
        <f t="shared" ca="1" si="83"/>
        <v>0</v>
      </c>
      <c r="O201" s="36" t="str">
        <f t="shared" si="84"/>
        <v>0</v>
      </c>
      <c r="P201" s="36" t="str">
        <f t="shared" si="85"/>
        <v>0</v>
      </c>
      <c r="Q201" s="35" t="str">
        <f t="shared" si="90"/>
        <v>vist_stat_dvcd 방문상태 [["1000","정상"],["1200","단축조업"],["1300","기타"]]</v>
      </c>
      <c r="R201" s="2" t="s">
        <v>921</v>
      </c>
      <c r="S201" s="2"/>
      <c r="T201" s="2"/>
      <c r="U201" s="2"/>
      <c r="V201" s="2"/>
      <c r="W201" s="2"/>
      <c r="X201" s="2"/>
      <c r="Y201" s="2"/>
      <c r="Z201" s="2"/>
      <c r="AA201" s="2"/>
      <c r="AB201" s="31" t="s">
        <v>2537</v>
      </c>
      <c r="AC201" s="25" t="s">
        <v>2551</v>
      </c>
      <c r="AD201" s="31" t="s">
        <v>2541</v>
      </c>
      <c r="AE201" s="25" t="s">
        <v>2552</v>
      </c>
      <c r="AF201" s="31" t="s">
        <v>2553</v>
      </c>
      <c r="AG201" s="25" t="s">
        <v>2554</v>
      </c>
      <c r="AH201" s="30"/>
      <c r="AI201" s="25"/>
      <c r="AJ201" s="30"/>
      <c r="AK201" s="25"/>
      <c r="AL201" s="30"/>
      <c r="AM201" s="25"/>
      <c r="AN201" s="30"/>
      <c r="AO201" s="25"/>
      <c r="AP201" s="30"/>
      <c r="AQ201" s="25"/>
      <c r="AR201" s="30"/>
      <c r="AS201" s="25"/>
      <c r="AT201" s="30"/>
      <c r="AU201" s="25"/>
      <c r="AV201" s="30"/>
      <c r="AW201" s="25"/>
      <c r="AX201" s="30"/>
      <c r="AY201" s="25"/>
      <c r="AZ201" s="30"/>
      <c r="BA201" s="25"/>
      <c r="BB201" s="30"/>
      <c r="BC201" s="25"/>
      <c r="BD201" s="30"/>
      <c r="BE201" s="25"/>
      <c r="BF201" s="30"/>
      <c r="BG201" s="25"/>
      <c r="BH201" s="30"/>
      <c r="BI201" s="25"/>
      <c r="BJ201" s="30"/>
      <c r="BK201" s="25"/>
      <c r="BL201" s="30"/>
      <c r="BM201" s="25"/>
      <c r="BN201" s="30"/>
      <c r="BO201" s="25"/>
      <c r="BP201" s="30"/>
      <c r="BQ201" s="25"/>
      <c r="BR201" s="30"/>
      <c r="BS201" s="25"/>
      <c r="BT201" s="30"/>
      <c r="BU201" s="25"/>
      <c r="BV201" s="30"/>
      <c r="BW201" s="25"/>
      <c r="BX201" s="30"/>
      <c r="BY201" s="25"/>
      <c r="CA201" s="1" t="str">
        <f t="shared" ca="1" si="87"/>
        <v>delete from sscd_mast where sscd_idcd = 'vist_stat_dvcd_KOR_common'  and site_idcd = 'common';</v>
      </c>
      <c r="CB201" s="5" t="str">
        <f ca="1">IF(E201&lt;&gt;"",CREATE_QUERY($B$1,A$2:AA$2,A201:AA201),"")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('vist_stat_dvcd_KOR_common', 'KOR', 'common', 'vist_stat_dvcd', '방문상태', 'gb', '', '[["1000","정상"],["1200","단축조업"],["1300","기타"]]', '1000:정상 1200:단축조업 1300:기타', '', '1000=정상|1200=단축조업|1300=기타', '', '0', '0', '0', '0', 'vist_stat_dvcd 방문상태 [["1000","정상"],["1200","단축조업"],["1300","기타"]]', ' ', '', '', '', '', '', '', '', '', '');</v>
      </c>
    </row>
    <row r="202" spans="1:80" ht="17">
      <c r="A202" s="3" t="str">
        <f t="shared" ca="1" si="88"/>
        <v>chek_mthd_dvcd_KOR_common</v>
      </c>
      <c r="B202" s="2" t="str">
        <f t="shared" ca="1" si="78"/>
        <v>KOR</v>
      </c>
      <c r="C202" s="25" t="str">
        <f t="shared" si="77"/>
        <v>common</v>
      </c>
      <c r="D202" s="25" t="s">
        <v>2559</v>
      </c>
      <c r="E202" s="25" t="s">
        <v>2560</v>
      </c>
      <c r="F202" s="25" t="str">
        <f t="shared" ca="1" si="89"/>
        <v>gb</v>
      </c>
      <c r="G202" s="25"/>
      <c r="H202" s="35" t="str">
        <f t="shared" si="79"/>
        <v>[["1000","육안"],["1100","오일량확인"],["1200","소모품교체주기"],["1300","작업품목상태"]]</v>
      </c>
      <c r="I202" s="35" t="str">
        <f t="shared" si="80"/>
        <v>1000:육안 1100:오일량확인 1200:소모품교체주기 1300:작업품목상태</v>
      </c>
      <c r="J202" s="35"/>
      <c r="K202" s="35" t="str">
        <f t="shared" si="81"/>
        <v>1000=육안|1100=오일량확인|1200=소모품교체주기|1300=작업품목상태</v>
      </c>
      <c r="L202" s="2"/>
      <c r="M202" s="36" t="str">
        <f t="shared" ca="1" si="82"/>
        <v>0</v>
      </c>
      <c r="N202" s="36" t="str">
        <f t="shared" ca="1" si="83"/>
        <v>0</v>
      </c>
      <c r="O202" s="36" t="str">
        <f t="shared" si="84"/>
        <v>0</v>
      </c>
      <c r="P202" s="36" t="str">
        <f t="shared" si="85"/>
        <v>0</v>
      </c>
      <c r="Q202" s="35" t="str">
        <f t="shared" si="90"/>
        <v>chek_mthd_dvcd 점검방법구분코드 [["1000","육안"],["1100","오일량확인"],["1200","소모품교체주기"],["1300","작업품목상태"]]</v>
      </c>
      <c r="R202" s="2" t="s">
        <v>921</v>
      </c>
      <c r="S202" s="2"/>
      <c r="T202" s="2"/>
      <c r="U202" s="2"/>
      <c r="V202" s="2"/>
      <c r="W202" s="2"/>
      <c r="X202" s="2"/>
      <c r="Y202" s="2"/>
      <c r="Z202" s="2"/>
      <c r="AA202" s="2"/>
      <c r="AB202" s="31" t="s">
        <v>2561</v>
      </c>
      <c r="AC202" s="25" t="s">
        <v>2562</v>
      </c>
      <c r="AD202" s="31" t="s">
        <v>2563</v>
      </c>
      <c r="AE202" s="25" t="s">
        <v>2566</v>
      </c>
      <c r="AF202" s="31" t="s">
        <v>2564</v>
      </c>
      <c r="AG202" s="25" t="s">
        <v>2565</v>
      </c>
      <c r="AH202" s="31" t="s">
        <v>2567</v>
      </c>
      <c r="AI202" s="25" t="s">
        <v>2568</v>
      </c>
      <c r="AJ202" s="30"/>
      <c r="AK202" s="25"/>
      <c r="AL202" s="30"/>
      <c r="AM202" s="25"/>
      <c r="AN202" s="30"/>
      <c r="AO202" s="25"/>
      <c r="AP202" s="30"/>
      <c r="AQ202" s="25"/>
      <c r="AR202" s="30"/>
      <c r="AS202" s="25"/>
      <c r="AT202" s="30"/>
      <c r="AU202" s="25"/>
      <c r="AV202" s="30"/>
      <c r="AW202" s="25"/>
      <c r="AX202" s="30"/>
      <c r="AY202" s="25"/>
      <c r="AZ202" s="30"/>
      <c r="BA202" s="25"/>
      <c r="BB202" s="30"/>
      <c r="BC202" s="25"/>
      <c r="BD202" s="30"/>
      <c r="BE202" s="25"/>
      <c r="BF202" s="30"/>
      <c r="BG202" s="25"/>
      <c r="BH202" s="30"/>
      <c r="BI202" s="25"/>
      <c r="BJ202" s="30"/>
      <c r="BK202" s="25"/>
      <c r="BL202" s="30"/>
      <c r="BM202" s="25"/>
      <c r="BN202" s="30"/>
      <c r="BO202" s="25"/>
      <c r="BP202" s="30"/>
      <c r="BQ202" s="25"/>
      <c r="BR202" s="30"/>
      <c r="BS202" s="25"/>
      <c r="BT202" s="30"/>
      <c r="BU202" s="25"/>
      <c r="BV202" s="30"/>
      <c r="BW202" s="25"/>
      <c r="BX202" s="30"/>
      <c r="BY202" s="25"/>
      <c r="CA202" s="1" t="str">
        <f t="shared" ca="1" si="87"/>
        <v>delete from sscd_mast where sscd_idcd = 'chek_mthd_dvcd_KOR_common'  and site_idcd = 'common';</v>
      </c>
      <c r="CB202" s="5" t="str">
        <f ca="1">IF(E202&lt;&gt;"",CREATE_QUERY($B$1,A$2:AA$2,A202:AA202),"")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('chek_mthd_dvcd_KOR_common', 'KOR', 'common', 'chek_mthd_dvcd', '점검방법구분코드', 'gb', '', '[["1000","육안"],["1100","오일량확인"],["1200","소모품교체주기"],["1300","작업품목상태"]]', '1000:육안 1100:오일량확인 1200:소모품교체주기 1300:작업품목상태', '', '1000=육안|1100=오일량확인|1200=소모품교체주기|1300=작업품목상태', '', '0', '0', '0', '0', 'chek_mthd_dvcd 점검방법구분코드 [["1000","육안"],["1100","오일량확인"],["1200","소모품교체주기"],["1300","작업품목상태"]]', ' ', '', '', '', '', '', '', '', '', '');</v>
      </c>
    </row>
    <row r="203" spans="1:80" ht="17">
      <c r="A203" s="3" t="str">
        <f t="shared" ca="1" si="88"/>
        <v>msmt_mthd_dvcd_KOR_common</v>
      </c>
      <c r="B203" s="2" t="str">
        <f t="shared" ca="1" si="78"/>
        <v>KOR</v>
      </c>
      <c r="C203" s="25" t="str">
        <f t="shared" si="77"/>
        <v>common</v>
      </c>
      <c r="D203" s="25" t="s">
        <v>2569</v>
      </c>
      <c r="E203" s="25" t="s">
        <v>2570</v>
      </c>
      <c r="F203" s="25" t="str">
        <f t="shared" ca="1" si="89"/>
        <v>gb</v>
      </c>
      <c r="G203" s="25"/>
      <c r="H203" s="35" t="str">
        <f t="shared" si="79"/>
        <v>[["1000","육안"],["1200","기타"],["2000","계측"]]</v>
      </c>
      <c r="I203" s="35" t="str">
        <f t="shared" si="80"/>
        <v>1000:육안 1200:기타 2000:계측</v>
      </c>
      <c r="J203" s="35"/>
      <c r="K203" s="35" t="str">
        <f t="shared" si="81"/>
        <v>1000=육안|1200=기타|2000=계측</v>
      </c>
      <c r="L203" s="2"/>
      <c r="M203" s="36" t="str">
        <f t="shared" ca="1" si="82"/>
        <v>0</v>
      </c>
      <c r="N203" s="36" t="str">
        <f t="shared" ca="1" si="83"/>
        <v>0</v>
      </c>
      <c r="O203" s="36" t="str">
        <f t="shared" si="84"/>
        <v>0</v>
      </c>
      <c r="P203" s="36" t="str">
        <f t="shared" si="85"/>
        <v>0</v>
      </c>
      <c r="Q203" s="35" t="str">
        <f t="shared" si="90"/>
        <v>msmt_mthd_dvcd 측정방법구분코드 [["1000","육안"],["1200","기타"],["2000","계측"]]</v>
      </c>
      <c r="R203" s="2" t="s">
        <v>921</v>
      </c>
      <c r="S203" s="2"/>
      <c r="T203" s="2"/>
      <c r="U203" s="2"/>
      <c r="V203" s="2"/>
      <c r="W203" s="2"/>
      <c r="X203" s="2"/>
      <c r="Y203" s="2"/>
      <c r="Z203" s="2"/>
      <c r="AA203" s="2"/>
      <c r="AB203" s="31" t="s">
        <v>2561</v>
      </c>
      <c r="AC203" s="25" t="s">
        <v>2562</v>
      </c>
      <c r="AD203" s="31" t="s">
        <v>2564</v>
      </c>
      <c r="AE203" s="25" t="s">
        <v>612</v>
      </c>
      <c r="AF203" s="31" t="s">
        <v>592</v>
      </c>
      <c r="AG203" s="25" t="s">
        <v>2714</v>
      </c>
      <c r="AH203" s="31"/>
      <c r="AI203" s="25"/>
      <c r="AJ203" s="30"/>
      <c r="AK203" s="25"/>
      <c r="AL203" s="30"/>
      <c r="AM203" s="25"/>
      <c r="AN203" s="30"/>
      <c r="AO203" s="25"/>
      <c r="AP203" s="30"/>
      <c r="AQ203" s="25"/>
      <c r="AR203" s="30"/>
      <c r="AS203" s="25"/>
      <c r="AT203" s="30"/>
      <c r="AU203" s="25"/>
      <c r="AV203" s="30"/>
      <c r="AW203" s="25"/>
      <c r="AX203" s="30"/>
      <c r="AY203" s="25"/>
      <c r="AZ203" s="30"/>
      <c r="BA203" s="25"/>
      <c r="BB203" s="30"/>
      <c r="BC203" s="25"/>
      <c r="BD203" s="30"/>
      <c r="BE203" s="25"/>
      <c r="BF203" s="30"/>
      <c r="BG203" s="25"/>
      <c r="BH203" s="30"/>
      <c r="BI203" s="25"/>
      <c r="BJ203" s="30"/>
      <c r="BK203" s="25"/>
      <c r="BL203" s="30"/>
      <c r="BM203" s="25"/>
      <c r="BN203" s="30"/>
      <c r="BO203" s="25"/>
      <c r="BP203" s="30"/>
      <c r="BQ203" s="25"/>
      <c r="BR203" s="30"/>
      <c r="BS203" s="25"/>
      <c r="BT203" s="30"/>
      <c r="BU203" s="25"/>
      <c r="BV203" s="30"/>
      <c r="BW203" s="25"/>
      <c r="BX203" s="30"/>
      <c r="BY203" s="25"/>
      <c r="CA203" s="1" t="str">
        <f t="shared" ca="1" si="87"/>
        <v>delete from sscd_mast where sscd_idcd = 'msmt_mthd_dvcd_KOR_common'  and site_idcd = 'common';</v>
      </c>
      <c r="CB203" s="5" t="str">
        <f ca="1">IF(E203&lt;&gt;"",CREATE_QUERY($B$1,A$2:AA$2,A203:AA203),"")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('msmt_mthd_dvcd_KOR_common', 'KOR', 'common', 'msmt_mthd_dvcd', '측정방법구분코드', 'gb', '', '[["1000","육안"],["1200","기타"],["2000","계측"]]', '1000:육안 1200:기타 2000:계측', '', '1000=육안|1200=기타|2000=계측', '', '0', '0', '0', '0', 'msmt_mthd_dvcd 측정방법구분코드 [["1000","육안"],["1200","기타"],["2000","계측"]]', ' ', '', '', '', '', '', '', '', '', '');</v>
      </c>
    </row>
    <row r="204" spans="1:80" ht="17">
      <c r="A204" s="3" t="str">
        <f t="shared" ca="1" si="88"/>
        <v>loss_dvcd_KOR_common</v>
      </c>
      <c r="B204" s="2" t="str">
        <f t="shared" ca="1" si="78"/>
        <v>KOR</v>
      </c>
      <c r="C204" s="25" t="str">
        <f t="shared" si="77"/>
        <v>common</v>
      </c>
      <c r="D204" s="25" t="s">
        <v>2574</v>
      </c>
      <c r="E204" s="25" t="s">
        <v>2575</v>
      </c>
      <c r="F204" s="25" t="str">
        <f t="shared" ca="1" si="89"/>
        <v>gb</v>
      </c>
      <c r="G204" s="25"/>
      <c r="H204" s="35" t="str">
        <f t="shared" si="79"/>
        <v>[[""],["1001","자재불량"],["1002","자재선별"],["1004","CAM불량"],["1005","N/C불량"],["1006","방전불량"],["1007","사상불량"],["1008","설계분량"],["1009","기술문제"],["1010","재검사"],["1011","교육"],["1012","외주불량"],["1013","설계변경"]]</v>
      </c>
      <c r="I204" s="35" t="str">
        <f t="shared" si="80"/>
        <v xml:space="preserve"> 1001:자재불량 1002:자재선별 1004:CAM불량 1005:N/C불량 1006:방전불량 1007:사상불량 1008:설계분량 1009:기술문제 1010:재검사 1011:교육 1012:외주불량 1013:설계변경</v>
      </c>
      <c r="J204" s="35"/>
      <c r="K204" s="35" t="str">
        <f t="shared" si="81"/>
        <v>|1001=자재불량|1002=자재선별|1004=CAM불량|1005=N/C불량|1006=방전불량|1007=사상불량|1008=설계분량|1009=기술문제|1010=재검사|1011=교육|1012=외주불량|1013=설계변경</v>
      </c>
      <c r="L204" s="2"/>
      <c r="M204" s="36" t="str">
        <f t="shared" ca="1" si="82"/>
        <v>0</v>
      </c>
      <c r="N204" s="36" t="str">
        <f t="shared" ca="1" si="83"/>
        <v>0</v>
      </c>
      <c r="O204" s="36" t="str">
        <f t="shared" si="84"/>
        <v>0</v>
      </c>
      <c r="P204" s="36" t="str">
        <f t="shared" si="85"/>
        <v>0</v>
      </c>
      <c r="Q204" s="35" t="str">
        <f t="shared" si="90"/>
        <v>loss_dvcd 손실구분코드 [[""],["1001","자재불량"],["1002","자재선별"],["1004","CAM불량"],["1005","N/C불량"],["1006","방전불량"],["1007","사상불량"],["1008","설계분량"],["1009","기술문제"],["1010","재검사"],["1011","교육"],["1012","외주불량"],["1013","설계변경"]]</v>
      </c>
      <c r="R204" s="2" t="s">
        <v>921</v>
      </c>
      <c r="S204" s="2"/>
      <c r="T204" s="2"/>
      <c r="U204" s="2"/>
      <c r="V204" s="2"/>
      <c r="W204" s="2"/>
      <c r="X204" s="2"/>
      <c r="Y204" s="2"/>
      <c r="Z204" s="2"/>
      <c r="AA204" s="2"/>
      <c r="AB204" s="30"/>
      <c r="AC204" s="25" t="s">
        <v>2576</v>
      </c>
      <c r="AD204" s="30">
        <v>1001</v>
      </c>
      <c r="AE204" s="25" t="s">
        <v>886</v>
      </c>
      <c r="AF204" s="30">
        <v>1002</v>
      </c>
      <c r="AG204" s="25" t="s">
        <v>2577</v>
      </c>
      <c r="AH204" s="30">
        <v>1004</v>
      </c>
      <c r="AI204" s="25" t="s">
        <v>2578</v>
      </c>
      <c r="AJ204" s="30">
        <v>1005</v>
      </c>
      <c r="AK204" s="25" t="s">
        <v>2579</v>
      </c>
      <c r="AL204" s="30">
        <v>1006</v>
      </c>
      <c r="AM204" s="25" t="s">
        <v>2580</v>
      </c>
      <c r="AN204" s="30">
        <v>1007</v>
      </c>
      <c r="AO204" s="25" t="s">
        <v>2581</v>
      </c>
      <c r="AP204" s="30">
        <v>1008</v>
      </c>
      <c r="AQ204" s="25" t="s">
        <v>2582</v>
      </c>
      <c r="AR204" s="30">
        <v>1009</v>
      </c>
      <c r="AS204" s="25" t="s">
        <v>2583</v>
      </c>
      <c r="AT204" s="30">
        <v>1010</v>
      </c>
      <c r="AU204" s="25" t="s">
        <v>2584</v>
      </c>
      <c r="AV204" s="30">
        <v>1011</v>
      </c>
      <c r="AW204" s="25" t="s">
        <v>911</v>
      </c>
      <c r="AX204" s="30">
        <v>1012</v>
      </c>
      <c r="AY204" s="25" t="s">
        <v>2585</v>
      </c>
      <c r="AZ204" s="30">
        <v>1013</v>
      </c>
      <c r="BA204" s="25" t="s">
        <v>2473</v>
      </c>
      <c r="BB204" s="30"/>
      <c r="BC204" s="25"/>
      <c r="BD204" s="30"/>
      <c r="BE204" s="25"/>
      <c r="BF204" s="30"/>
      <c r="BG204" s="25"/>
      <c r="BH204" s="30"/>
      <c r="BI204" s="25"/>
      <c r="BJ204" s="30"/>
      <c r="BK204" s="25"/>
      <c r="BL204" s="30"/>
      <c r="BM204" s="25"/>
      <c r="BN204" s="30"/>
      <c r="BO204" s="25"/>
      <c r="BP204" s="30"/>
      <c r="BQ204" s="25"/>
      <c r="BR204" s="30"/>
      <c r="BS204" s="25"/>
      <c r="BT204" s="30"/>
      <c r="BU204" s="25"/>
      <c r="BV204" s="30"/>
      <c r="BW204" s="25"/>
      <c r="BX204" s="30"/>
      <c r="BY204" s="25"/>
      <c r="CA204" s="1" t="str">
        <f t="shared" ca="1" si="87"/>
        <v>delete from sscd_mast where sscd_idcd = 'loss_dvcd_KOR_common'  and site_idcd = 'common';</v>
      </c>
      <c r="CB204" s="5" t="str">
        <f ca="1">IF(E204&lt;&gt;"",CREATE_QUERY($B$1,A$2:AA$2,A204:AA204),"")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('loss_dvcd_KOR_common', 'KOR', 'common', 'loss_dvcd', '손실구분코드', 'gb', '', '[[""],["1001","자재불량"],["1002","자재선별"],["1004","CAM불량"],["1005","N/C불량"],["1006","방전불량"],["1007","사상불량"],["1008","설계분량"],["1009","기술문제"],["1010","재검사"],["1011","교육"],["1012","외주불량"],["1013","설계변경"]]', ' 1001:자재불량 1002:자재선별 1004:CAM불량 1005:N/C불량 1006:방전불량 1007:사상불량 1008:설계분량 1009:기술문제 1010:재검사 1011:교육 1012:외주불량 1013:설계변경', '', '|1001=자재불량|1002=자재선별|1004=CAM불량|1005=N/C불량|1006=방전불량|1007=사상불량|1008=설계분량|1009=기술문제|1010=재검사|1011=교육|1012=외주불량|1013=설계변경', '', '0', '0', '0', '0', 'loss_dvcd 손실구분코드 [[""],["1001","자재불량"],["1002","자재선별"],["1004","CAM불량"],["1005","N/C불량"],["1006","방전불량"],["1007","사상불량"],["1008","설계분량"],["1009","기술문제"],["1010","재검사"],["1011","교육"],["1012","외주불량"],["1013","설계변경"]]', ' ', '', '', '', '', '', '', '', '', '');</v>
      </c>
    </row>
    <row r="205" spans="1:80" ht="17">
      <c r="A205" s="3" t="str">
        <f t="shared" ca="1" si="88"/>
        <v>sysm_optn_dvcd_KOR_common</v>
      </c>
      <c r="B205" s="2" t="str">
        <f t="shared" ca="1" si="78"/>
        <v>KOR</v>
      </c>
      <c r="C205" s="25" t="str">
        <f t="shared" si="77"/>
        <v>common</v>
      </c>
      <c r="D205" s="25" t="s">
        <v>2586</v>
      </c>
      <c r="E205" s="25" t="s">
        <v>2587</v>
      </c>
      <c r="F205" s="25" t="str">
        <f t="shared" ca="1" si="89"/>
        <v>gb</v>
      </c>
      <c r="G205" s="25"/>
      <c r="H205" s="35" t="str">
        <f t="shared" si="79"/>
        <v>[["1","논리값"],["2","여부"],["3","숫자"],["4","문자"],["5","범위"],["6","기타"],["7","코드"]]</v>
      </c>
      <c r="I205" s="35" t="str">
        <f t="shared" si="80"/>
        <v>1:논리값 2:여부 3:숫자 4:문자 5:범위 6:기타 7:코드</v>
      </c>
      <c r="J205" s="35"/>
      <c r="K205" s="35" t="str">
        <f t="shared" si="81"/>
        <v>1=논리값|2=여부|3=숫자|4=문자|5=범위|6=기타|7=코드</v>
      </c>
      <c r="L205" s="2"/>
      <c r="M205" s="36" t="str">
        <f t="shared" ca="1" si="82"/>
        <v>0</v>
      </c>
      <c r="N205" s="36" t="str">
        <f t="shared" ca="1" si="83"/>
        <v>0</v>
      </c>
      <c r="O205" s="36" t="str">
        <f t="shared" si="84"/>
        <v>0</v>
      </c>
      <c r="P205" s="36" t="str">
        <f t="shared" si="85"/>
        <v>0</v>
      </c>
      <c r="Q205" s="35" t="str">
        <f t="shared" si="90"/>
        <v>sysm_optn_dvcd 시스템옵션구분코드 [["1","논리값"],["2","여부"],["3","숫자"],["4","문자"],["5","범위"],["6","기타"],["7","코드"]]</v>
      </c>
      <c r="R205" s="2" t="s">
        <v>921</v>
      </c>
      <c r="S205" s="2"/>
      <c r="T205" s="2"/>
      <c r="U205" s="2"/>
      <c r="V205" s="2"/>
      <c r="W205" s="2"/>
      <c r="X205" s="2"/>
      <c r="Y205" s="2"/>
      <c r="Z205" s="2"/>
      <c r="AA205" s="2"/>
      <c r="AB205" s="31" t="s">
        <v>684</v>
      </c>
      <c r="AC205" s="25" t="s">
        <v>2588</v>
      </c>
      <c r="AD205" s="30">
        <v>2</v>
      </c>
      <c r="AE205" s="25" t="s">
        <v>915</v>
      </c>
      <c r="AF205" s="31" t="s">
        <v>687</v>
      </c>
      <c r="AG205" s="25" t="s">
        <v>2589</v>
      </c>
      <c r="AH205" s="31" t="s">
        <v>688</v>
      </c>
      <c r="AI205" s="25" t="s">
        <v>2590</v>
      </c>
      <c r="AJ205" s="31" t="s">
        <v>576</v>
      </c>
      <c r="AK205" s="25" t="s">
        <v>2591</v>
      </c>
      <c r="AL205" s="31" t="s">
        <v>582</v>
      </c>
      <c r="AM205" s="25" t="s">
        <v>612</v>
      </c>
      <c r="AN205" s="31" t="s">
        <v>871</v>
      </c>
      <c r="AO205" s="25" t="s">
        <v>2592</v>
      </c>
      <c r="AP205" s="30"/>
      <c r="AQ205" s="25"/>
      <c r="AR205" s="30"/>
      <c r="AS205" s="25"/>
      <c r="AT205" s="30"/>
      <c r="AU205" s="25"/>
      <c r="AV205" s="30"/>
      <c r="AW205" s="25"/>
      <c r="AX205" s="30"/>
      <c r="AY205" s="25"/>
      <c r="AZ205" s="30"/>
      <c r="BA205" s="25"/>
      <c r="BB205" s="30"/>
      <c r="BC205" s="25"/>
      <c r="BD205" s="30"/>
      <c r="BE205" s="25"/>
      <c r="BF205" s="30"/>
      <c r="BG205" s="25"/>
      <c r="BH205" s="30"/>
      <c r="BI205" s="25"/>
      <c r="BJ205" s="30"/>
      <c r="BK205" s="25"/>
      <c r="BL205" s="30"/>
      <c r="BM205" s="25"/>
      <c r="BN205" s="30"/>
      <c r="BO205" s="25"/>
      <c r="BP205" s="30"/>
      <c r="BQ205" s="25"/>
      <c r="BR205" s="30"/>
      <c r="BS205" s="25"/>
      <c r="BT205" s="30"/>
      <c r="BU205" s="25"/>
      <c r="BV205" s="30"/>
      <c r="BW205" s="25"/>
      <c r="BX205" s="30"/>
      <c r="BY205" s="25"/>
      <c r="CA205" s="1" t="str">
        <f t="shared" ca="1" si="87"/>
        <v>delete from sscd_mast where sscd_idcd = 'sysm_optn_dvcd_KOR_common'  and site_idcd = 'common';</v>
      </c>
      <c r="CB205" s="5" t="str">
        <f ca="1">IF(E205&lt;&gt;"",CREATE_QUERY($B$1,A$2:AA$2,A205:AA205),"")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('sysm_optn_dvcd_KOR_common', 'KOR', 'common', 'sysm_optn_dvcd', '시스템옵션구분코드', 'gb', '', '[["1","논리값"],["2","여부"],["3","숫자"],["4","문자"],["5","범위"],["6","기타"],["7","코드"]]', '1:논리값 2:여부 3:숫자 4:문자 5:범위 6:기타 7:코드', '', '1=논리값|2=여부|3=숫자|4=문자|5=범위|6=기타|7=코드', '', '0', '0', '0', '0', 'sysm_optn_dvcd 시스템옵션구분코드 [["1","논리값"],["2","여부"],["3","숫자"],["4","문자"],["5","범위"],["6","기타"],["7","코드"]]', ' ', '', '', '', '', '', '', '', '', '');</v>
      </c>
    </row>
    <row r="206" spans="1:80" ht="17">
      <c r="A206" s="3" t="str">
        <f t="shared" ca="1" si="88"/>
        <v>poor_proc_dvcd_KOR_common</v>
      </c>
      <c r="B206" s="2" t="str">
        <f t="shared" ca="1" si="78"/>
        <v>KOR</v>
      </c>
      <c r="C206" s="25" t="str">
        <f t="shared" si="77"/>
        <v>common</v>
      </c>
      <c r="D206" s="25" t="s">
        <v>2598</v>
      </c>
      <c r="E206" s="25" t="s">
        <v>2599</v>
      </c>
      <c r="F206" s="25" t="str">
        <f t="shared" ca="1" si="89"/>
        <v>gb</v>
      </c>
      <c r="G206" s="25"/>
      <c r="H206" s="2" t="str">
        <f t="shared" si="79"/>
        <v>[["1","재작업"],["2","폐기"],["3","분해"],["4","특채"]]</v>
      </c>
      <c r="I206" s="2" t="str">
        <f t="shared" si="80"/>
        <v>1:재작업 2:폐기 3:분해 4:특채</v>
      </c>
      <c r="J206" s="2"/>
      <c r="K206" s="35" t="str">
        <f t="shared" si="81"/>
        <v>1=재작업|2=폐기|3=분해|4=특채</v>
      </c>
      <c r="L206" s="2"/>
      <c r="M206" s="36" t="str">
        <f t="shared" ca="1" si="82"/>
        <v>0</v>
      </c>
      <c r="N206" s="36" t="str">
        <f t="shared" ca="1" si="83"/>
        <v>0</v>
      </c>
      <c r="O206" s="36" t="str">
        <f t="shared" si="84"/>
        <v>0</v>
      </c>
      <c r="P206" s="36" t="str">
        <f t="shared" si="85"/>
        <v>0</v>
      </c>
      <c r="Q206" s="35" t="str">
        <f t="shared" si="90"/>
        <v>poor_proc_dvcd 불량처리구분코드 [["1","재작업"],["2","폐기"],["3","분해"],["4","특채"]]</v>
      </c>
      <c r="R206" s="2" t="s">
        <v>921</v>
      </c>
      <c r="S206" s="2"/>
      <c r="T206" s="2"/>
      <c r="U206" s="2"/>
      <c r="V206" s="2"/>
      <c r="W206" s="2"/>
      <c r="X206" s="2"/>
      <c r="Y206" s="2"/>
      <c r="Z206" s="2"/>
      <c r="AA206" s="2"/>
      <c r="AB206" s="31" t="s">
        <v>684</v>
      </c>
      <c r="AC206" s="25" t="s">
        <v>2600</v>
      </c>
      <c r="AD206" s="31" t="s">
        <v>685</v>
      </c>
      <c r="AE206" s="25" t="s">
        <v>728</v>
      </c>
      <c r="AF206" s="31" t="s">
        <v>687</v>
      </c>
      <c r="AG206" s="25" t="s">
        <v>2601</v>
      </c>
      <c r="AH206" s="31" t="s">
        <v>688</v>
      </c>
      <c r="AI206" s="25" t="s">
        <v>2602</v>
      </c>
      <c r="AJ206" s="30"/>
      <c r="AK206" s="25"/>
      <c r="AL206" s="30"/>
      <c r="AM206" s="25"/>
      <c r="AN206" s="30"/>
      <c r="AO206" s="25"/>
      <c r="AP206" s="30"/>
      <c r="AQ206" s="25"/>
      <c r="AR206" s="30"/>
      <c r="AS206" s="25"/>
      <c r="AT206" s="30"/>
      <c r="AU206" s="25"/>
      <c r="AV206" s="30"/>
      <c r="AW206" s="25"/>
      <c r="AX206" s="30"/>
      <c r="AY206" s="25"/>
      <c r="AZ206" s="30"/>
      <c r="BA206" s="25"/>
      <c r="BB206" s="30"/>
      <c r="BC206" s="25"/>
      <c r="BD206" s="30"/>
      <c r="BE206" s="25"/>
      <c r="BF206" s="30"/>
      <c r="BG206" s="25"/>
      <c r="BH206" s="30"/>
      <c r="BI206" s="25"/>
      <c r="BJ206" s="30"/>
      <c r="BK206" s="25"/>
      <c r="BL206" s="30"/>
      <c r="BM206" s="25"/>
      <c r="BN206" s="30"/>
      <c r="BO206" s="25"/>
      <c r="BP206" s="30"/>
      <c r="BQ206" s="25"/>
      <c r="BR206" s="30"/>
      <c r="BS206" s="25"/>
      <c r="BT206" s="30"/>
      <c r="BU206" s="25"/>
      <c r="BV206" s="30"/>
      <c r="BW206" s="25"/>
      <c r="BX206" s="30"/>
      <c r="BY206" s="25"/>
      <c r="CA206" s="1" t="str">
        <f t="shared" ca="1" si="87"/>
        <v>delete from sscd_mast where sscd_idcd = 'poor_proc_dvcd_KOR_common'  and site_idcd = 'common';</v>
      </c>
      <c r="CB206" s="5" t="str">
        <f ca="1">IF(E206&lt;&gt;"",CREATE_QUERY($B$1,A$2:AA$2,A206:AA206),"")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('poor_proc_dvcd_KOR_common', 'KOR', 'common', 'poor_proc_dvcd', '불량처리구분코드', 'gb', '', '[["1","재작업"],["2","폐기"],["3","분해"],["4","특채"]]', '1:재작업 2:폐기 3:분해 4:특채', '', '1=재작업|2=폐기|3=분해|4=특채', '', '0', '0', '0', '0', 'poor_proc_dvcd 불량처리구분코드 [["1","재작업"],["2","폐기"],["3","분해"],["4","특채"]]', ' ', '', '', '', '', '', '', '', '', '');</v>
      </c>
    </row>
    <row r="207" spans="1:80" ht="17">
      <c r="A207" s="3" t="str">
        <f t="shared" ca="1" si="88"/>
        <v>wkod_dvcd_KOR_common</v>
      </c>
      <c r="B207" s="2" t="str">
        <f t="shared" ca="1" si="78"/>
        <v>KOR</v>
      </c>
      <c r="C207" s="25" t="str">
        <f t="shared" si="77"/>
        <v>common</v>
      </c>
      <c r="D207" s="25" t="s">
        <v>2620</v>
      </c>
      <c r="E207" s="25" t="s">
        <v>2621</v>
      </c>
      <c r="F207" s="25" t="str">
        <f t="shared" ref="F207:F235" ca="1" si="91">IF(A207="","","gb")</f>
        <v>gb</v>
      </c>
      <c r="G207" s="25"/>
      <c r="H207" s="2" t="str">
        <f t="shared" ref="H207:H235" si="92">"[["""&amp;
SUBSTITUTE(SUBSTITUTE(I207,":",""",""")," ","""],[""")
&amp;"""]]"</f>
        <v>[["1","정상"],["2","불량재작업"],["3","재고생산"]]</v>
      </c>
      <c r="I207" s="2" t="str">
        <f t="shared" si="80"/>
        <v>1:정상 2:불량재작업 3:재고생산</v>
      </c>
      <c r="J207" s="2"/>
      <c r="K207" s="35" t="str">
        <f t="shared" si="81"/>
        <v>1=정상|2=불량재작업|3=재고생산</v>
      </c>
      <c r="L207" s="2"/>
      <c r="M207" s="36" t="str">
        <f t="shared" ref="M207:M235" ca="1" si="93">IF(A207="","","0")</f>
        <v>0</v>
      </c>
      <c r="N207" s="36" t="str">
        <f t="shared" ref="N207:N235" ca="1" si="94">IF(B207="","","0")</f>
        <v>0</v>
      </c>
      <c r="O207" s="36" t="str">
        <f t="shared" ref="O207:O235" si="95">IF(C207="","","0")</f>
        <v>0</v>
      </c>
      <c r="P207" s="36" t="str">
        <f t="shared" ref="P207:P235" si="96">IF(D207="","","0")</f>
        <v>0</v>
      </c>
      <c r="Q207" s="35" t="str">
        <f t="shared" ref="Q207:Q235" si="97">IF(D207="","",D207&amp;" "&amp;E207&amp;" "&amp;H207)</f>
        <v>wkod_dvcd 작업지시구분코드 [["1","정상"],["2","불량재작업"],["3","재고생산"]]</v>
      </c>
      <c r="R207" s="2" t="s">
        <v>921</v>
      </c>
      <c r="S207" s="2"/>
      <c r="T207" s="2"/>
      <c r="U207" s="2"/>
      <c r="V207" s="2"/>
      <c r="W207" s="2"/>
      <c r="X207" s="2"/>
      <c r="Y207" s="2"/>
      <c r="Z207" s="2"/>
      <c r="AA207" s="2"/>
      <c r="AB207" s="31" t="s">
        <v>684</v>
      </c>
      <c r="AC207" s="25" t="s">
        <v>660</v>
      </c>
      <c r="AD207" s="31" t="s">
        <v>685</v>
      </c>
      <c r="AE207" s="25" t="s">
        <v>2477</v>
      </c>
      <c r="AF207" s="31" t="s">
        <v>2923</v>
      </c>
      <c r="AG207" s="25" t="s">
        <v>2924</v>
      </c>
      <c r="AH207" s="30"/>
      <c r="AI207" s="25"/>
      <c r="AJ207" s="30"/>
      <c r="AK207" s="25"/>
      <c r="AL207" s="30"/>
      <c r="AM207" s="25"/>
      <c r="AN207" s="30"/>
      <c r="AO207" s="25"/>
      <c r="AP207" s="30"/>
      <c r="AQ207" s="25"/>
      <c r="AR207" s="30"/>
      <c r="AS207" s="25"/>
      <c r="AT207" s="30"/>
      <c r="AU207" s="25"/>
      <c r="AV207" s="30"/>
      <c r="AW207" s="25"/>
      <c r="AX207" s="30"/>
      <c r="AY207" s="25"/>
      <c r="AZ207" s="30"/>
      <c r="BA207" s="25"/>
      <c r="BB207" s="30"/>
      <c r="BC207" s="25"/>
      <c r="BD207" s="30"/>
      <c r="BE207" s="25"/>
      <c r="BF207" s="30"/>
      <c r="BG207" s="25"/>
      <c r="BH207" s="30"/>
      <c r="BI207" s="25"/>
      <c r="BJ207" s="30"/>
      <c r="BK207" s="25"/>
      <c r="BL207" s="30"/>
      <c r="BM207" s="25"/>
      <c r="BN207" s="30"/>
      <c r="BO207" s="25"/>
      <c r="BP207" s="30"/>
      <c r="BQ207" s="25"/>
      <c r="BR207" s="30"/>
      <c r="BS207" s="25"/>
      <c r="BT207" s="30"/>
      <c r="BU207" s="25"/>
      <c r="BV207" s="30"/>
      <c r="BW207" s="25"/>
      <c r="BX207" s="30"/>
      <c r="BY207" s="25"/>
      <c r="CA207" s="1" t="str">
        <f t="shared" ca="1" si="87"/>
        <v>delete from sscd_mast where sscd_idcd = 'wkod_dvcd_KOR_common'  and site_idcd = 'common';</v>
      </c>
      <c r="CB207" s="5" t="str">
        <f ca="1">IF(E207&lt;&gt;"",CREATE_QUERY($B$1,A$2:AA$2,A207:AA207),"")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('wkod_dvcd_KOR_common', 'KOR', 'common', 'wkod_dvcd', '작업지시구분코드', 'gb', '', '[["1","정상"],["2","불량재작업"],["3","재고생산"]]', '1:정상 2:불량재작업 3:재고생산', '', '1=정상|2=불량재작업|3=재고생산', '', '0', '0', '0', '0', 'wkod_dvcd 작업지시구분코드 [["1","정상"],["2","불량재작업"],["3","재고생산"]]', ' ', '', '', '', '', '', '', '', '', '');</v>
      </c>
    </row>
    <row r="208" spans="1:80" ht="17">
      <c r="A208" s="3" t="str">
        <f t="shared" ca="1" si="88"/>
        <v>rett_resn_dvcd_KOR_common</v>
      </c>
      <c r="B208" s="2" t="str">
        <f t="shared" ca="1" si="78"/>
        <v>KOR</v>
      </c>
      <c r="C208" s="25" t="str">
        <f t="shared" si="77"/>
        <v>common</v>
      </c>
      <c r="D208" s="25" t="s">
        <v>2627</v>
      </c>
      <c r="E208" s="25" t="s">
        <v>2628</v>
      </c>
      <c r="F208" s="25" t="str">
        <f t="shared" ca="1" si="91"/>
        <v>gb</v>
      </c>
      <c r="G208" s="25"/>
      <c r="H208" s="2" t="str">
        <f t="shared" si="92"/>
        <v>[["1000","품질불량"],["2000","납기미준수"],["3000","과오납품"],["4000","수주취소"]]</v>
      </c>
      <c r="I208" s="2" t="str">
        <f t="shared" si="80"/>
        <v>1000:품질불량 2000:납기미준수 3000:과오납품 4000:수주취소</v>
      </c>
      <c r="J208" s="2"/>
      <c r="K208" s="35" t="str">
        <f t="shared" si="81"/>
        <v>1000=품질불량|2000=납기미준수|3000=과오납품|4000=수주취소</v>
      </c>
      <c r="L208" s="2"/>
      <c r="M208" s="36" t="str">
        <f t="shared" ca="1" si="93"/>
        <v>0</v>
      </c>
      <c r="N208" s="36" t="str">
        <f t="shared" ca="1" si="94"/>
        <v>0</v>
      </c>
      <c r="O208" s="36" t="str">
        <f t="shared" si="95"/>
        <v>0</v>
      </c>
      <c r="P208" s="36" t="str">
        <f t="shared" si="96"/>
        <v>0</v>
      </c>
      <c r="Q208" s="35" t="str">
        <f t="shared" si="97"/>
        <v>rett_resn_dvcd 반품사유구분코드 [["1000","품질불량"],["2000","납기미준수"],["3000","과오납품"],["4000","수주취소"]]</v>
      </c>
      <c r="R208" s="2" t="s">
        <v>921</v>
      </c>
      <c r="S208" s="2"/>
      <c r="T208" s="2"/>
      <c r="U208" s="2"/>
      <c r="V208" s="2"/>
      <c r="W208" s="2"/>
      <c r="X208" s="2"/>
      <c r="Y208" s="2"/>
      <c r="Z208" s="2"/>
      <c r="AA208" s="2"/>
      <c r="AB208" s="31" t="s">
        <v>591</v>
      </c>
      <c r="AC208" s="25" t="s">
        <v>2629</v>
      </c>
      <c r="AD208" s="31" t="s">
        <v>592</v>
      </c>
      <c r="AE208" s="25" t="s">
        <v>2630</v>
      </c>
      <c r="AF208" s="31" t="s">
        <v>600</v>
      </c>
      <c r="AG208" s="25" t="s">
        <v>2631</v>
      </c>
      <c r="AH208" s="31" t="s">
        <v>601</v>
      </c>
      <c r="AI208" s="25" t="s">
        <v>2632</v>
      </c>
      <c r="AJ208" s="30"/>
      <c r="AK208" s="25"/>
      <c r="AL208" s="30"/>
      <c r="AM208" s="25"/>
      <c r="AN208" s="30"/>
      <c r="AO208" s="25"/>
      <c r="AP208" s="30"/>
      <c r="AQ208" s="25"/>
      <c r="AR208" s="30"/>
      <c r="AS208" s="25"/>
      <c r="AT208" s="30"/>
      <c r="AU208" s="25"/>
      <c r="AV208" s="30"/>
      <c r="AW208" s="25"/>
      <c r="AX208" s="30"/>
      <c r="AY208" s="25"/>
      <c r="AZ208" s="30"/>
      <c r="BA208" s="25"/>
      <c r="BB208" s="30"/>
      <c r="BC208" s="25"/>
      <c r="BD208" s="30"/>
      <c r="BE208" s="25"/>
      <c r="BF208" s="30"/>
      <c r="BG208" s="25"/>
      <c r="BH208" s="30"/>
      <c r="BI208" s="25"/>
      <c r="BJ208" s="30"/>
      <c r="BK208" s="25"/>
      <c r="BL208" s="30"/>
      <c r="BM208" s="25"/>
      <c r="BN208" s="30"/>
      <c r="BO208" s="25"/>
      <c r="BP208" s="30"/>
      <c r="BQ208" s="25"/>
      <c r="BR208" s="30"/>
      <c r="BS208" s="25"/>
      <c r="BT208" s="30"/>
      <c r="BU208" s="25"/>
      <c r="BV208" s="30"/>
      <c r="BW208" s="25"/>
      <c r="BX208" s="30"/>
      <c r="BY208" s="25"/>
      <c r="CA208" s="1" t="str">
        <f t="shared" ca="1" si="87"/>
        <v>delete from sscd_mast where sscd_idcd = 'rett_resn_dvcd_KOR_common'  and site_idcd = 'common';</v>
      </c>
      <c r="CB208" s="5" t="str">
        <f ca="1">IF(E208&lt;&gt;"",CREATE_QUERY($B$1,A$2:AA$2,A208:AA208),"")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('rett_resn_dvcd_KOR_common', 'KOR', 'common', 'rett_resn_dvcd', '반품사유구분코드', 'gb', '', '[["1000","품질불량"],["2000","납기미준수"],["3000","과오납품"],["4000","수주취소"]]', '1000:품질불량 2000:납기미준수 3000:과오납품 4000:수주취소', '', '1000=품질불량|2000=납기미준수|3000=과오납품|4000=수주취소', '', '0', '0', '0', '0', 'rett_resn_dvcd 반품사유구분코드 [["1000","품질불량"],["2000","납기미준수"],["3000","과오납품"],["4000","수주취소"]]', ' ', '', '', '', '', '', '', '', '', '');</v>
      </c>
    </row>
    <row r="209" spans="1:80" ht="17">
      <c r="A209" s="3" t="str">
        <f t="shared" ca="1" si="88"/>
        <v>rett_proc_dvcd_KOR_common</v>
      </c>
      <c r="B209" s="2" t="str">
        <f t="shared" ca="1" si="78"/>
        <v>KOR</v>
      </c>
      <c r="C209" s="25" t="str">
        <f t="shared" si="77"/>
        <v>common</v>
      </c>
      <c r="D209" s="25" t="s">
        <v>2633</v>
      </c>
      <c r="E209" s="25" t="s">
        <v>2634</v>
      </c>
      <c r="F209" s="25" t="str">
        <f t="shared" ca="1" si="91"/>
        <v>gb</v>
      </c>
      <c r="G209" s="25"/>
      <c r="H209" s="2" t="str">
        <f t="shared" si="92"/>
        <v>[["1000","재고반영"],["2000","선별"],["3000","수정지시"],["4000","재검사"],["5000","불량폐기"]]</v>
      </c>
      <c r="I209" s="2" t="str">
        <f t="shared" si="80"/>
        <v>1000:재고반영 2000:선별 3000:수정지시 4000:재검사 5000:불량폐기</v>
      </c>
      <c r="J209" s="2"/>
      <c r="K209" s="35" t="str">
        <f t="shared" si="81"/>
        <v>1000=재고반영|2000=선별|3000=수정지시|4000=재검사|5000=불량폐기</v>
      </c>
      <c r="L209" s="2"/>
      <c r="M209" s="36" t="str">
        <f t="shared" ca="1" si="93"/>
        <v>0</v>
      </c>
      <c r="N209" s="36" t="str">
        <f t="shared" ca="1" si="94"/>
        <v>0</v>
      </c>
      <c r="O209" s="36" t="str">
        <f t="shared" si="95"/>
        <v>0</v>
      </c>
      <c r="P209" s="36" t="str">
        <f t="shared" si="96"/>
        <v>0</v>
      </c>
      <c r="Q209" s="35" t="str">
        <f t="shared" si="97"/>
        <v>rett_proc_dvcd 반품처리구분코드 [["1000","재고반영"],["2000","선별"],["3000","수정지시"],["4000","재검사"],["5000","불량폐기"]]</v>
      </c>
      <c r="R209" s="2" t="s">
        <v>921</v>
      </c>
      <c r="S209" s="2"/>
      <c r="T209" s="2"/>
      <c r="U209" s="2"/>
      <c r="V209" s="2"/>
      <c r="W209" s="2"/>
      <c r="X209" s="2"/>
      <c r="Y209" s="2"/>
      <c r="Z209" s="2"/>
      <c r="AA209" s="2"/>
      <c r="AB209" s="31" t="s">
        <v>591</v>
      </c>
      <c r="AC209" s="25" t="s">
        <v>2635</v>
      </c>
      <c r="AD209" s="31" t="s">
        <v>592</v>
      </c>
      <c r="AE209" s="25" t="s">
        <v>2636</v>
      </c>
      <c r="AF209" s="31" t="s">
        <v>600</v>
      </c>
      <c r="AG209" s="25" t="s">
        <v>2637</v>
      </c>
      <c r="AH209" s="31" t="s">
        <v>601</v>
      </c>
      <c r="AI209" s="25" t="s">
        <v>2584</v>
      </c>
      <c r="AJ209" s="31" t="s">
        <v>626</v>
      </c>
      <c r="AK209" s="25" t="s">
        <v>2638</v>
      </c>
      <c r="AL209" s="30"/>
      <c r="AM209" s="25"/>
      <c r="AN209" s="30"/>
      <c r="AO209" s="25"/>
      <c r="AP209" s="30"/>
      <c r="AQ209" s="25"/>
      <c r="AR209" s="30"/>
      <c r="AS209" s="25"/>
      <c r="AT209" s="30"/>
      <c r="AU209" s="25"/>
      <c r="AV209" s="30"/>
      <c r="AW209" s="25"/>
      <c r="AX209" s="30"/>
      <c r="AY209" s="25"/>
      <c r="AZ209" s="30"/>
      <c r="BA209" s="25"/>
      <c r="BB209" s="30"/>
      <c r="BC209" s="25"/>
      <c r="BD209" s="30"/>
      <c r="BE209" s="25"/>
      <c r="BF209" s="30"/>
      <c r="BG209" s="25"/>
      <c r="BH209" s="30"/>
      <c r="BI209" s="25"/>
      <c r="BJ209" s="30"/>
      <c r="BK209" s="25"/>
      <c r="BL209" s="30"/>
      <c r="BM209" s="25"/>
      <c r="BN209" s="30"/>
      <c r="BO209" s="25"/>
      <c r="BP209" s="30"/>
      <c r="BQ209" s="25"/>
      <c r="BR209" s="30"/>
      <c r="BS209" s="25"/>
      <c r="BT209" s="30"/>
      <c r="BU209" s="25"/>
      <c r="BV209" s="30"/>
      <c r="BW209" s="25"/>
      <c r="BX209" s="30"/>
      <c r="BY209" s="25"/>
      <c r="CA209" s="1" t="str">
        <f t="shared" ca="1" si="87"/>
        <v>delete from sscd_mast where sscd_idcd = 'rett_proc_dvcd_KOR_common'  and site_idcd = 'common';</v>
      </c>
      <c r="CB209" s="5" t="str">
        <f ca="1">IF(E209&lt;&gt;"",CREATE_QUERY($B$1,A$2:AA$2,A209:AA209),"")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('rett_proc_dvcd_KOR_common', 'KOR', 'common', 'rett_proc_dvcd', '반품처리구분코드', 'gb', '', '[["1000","재고반영"],["2000","선별"],["3000","수정지시"],["4000","재검사"],["5000","불량폐기"]]', '1000:재고반영 2000:선별 3000:수정지시 4000:재검사 5000:불량폐기', '', '1000=재고반영|2000=선별|3000=수정지시|4000=재검사|5000=불량폐기', '', '0', '0', '0', '0', 'rett_proc_dvcd 반품처리구분코드 [["1000","재고반영"],["2000","선별"],["3000","수정지시"],["4000","재검사"],["5000","불량폐기"]]', ' ', '', '', '', '', '', '', '', '', '');</v>
      </c>
    </row>
    <row r="210" spans="1:80" ht="17">
      <c r="A210" s="3" t="str">
        <f t="shared" ca="1" si="88"/>
        <v>mngt_sbsc_dvcd_KOR_common</v>
      </c>
      <c r="B210" s="2" t="str">
        <f t="shared" ca="1" si="78"/>
        <v>KOR</v>
      </c>
      <c r="C210" s="2" t="s">
        <v>2660</v>
      </c>
      <c r="D210" s="25" t="s">
        <v>2661</v>
      </c>
      <c r="E210" s="25" t="s">
        <v>2662</v>
      </c>
      <c r="F210" s="25" t="str">
        <f t="shared" ca="1" si="91"/>
        <v>gb</v>
      </c>
      <c r="G210" s="25"/>
      <c r="H210" s="2" t="str">
        <f t="shared" si="92"/>
        <v>[["1000","품목관련"],["2000","거래처관련"],["3000","품질관련"]]</v>
      </c>
      <c r="I210" s="2" t="str">
        <f t="shared" si="80"/>
        <v>1000:품목관련 2000:거래처관련 3000:품질관련</v>
      </c>
      <c r="J210" s="2"/>
      <c r="K210" s="35" t="str">
        <f t="shared" si="81"/>
        <v>1000=품목관련|2000=거래처관련|3000=품질관련</v>
      </c>
      <c r="L210" s="2"/>
      <c r="M210" s="36" t="str">
        <f t="shared" ca="1" si="93"/>
        <v>0</v>
      </c>
      <c r="N210" s="36" t="str">
        <f t="shared" ca="1" si="94"/>
        <v>0</v>
      </c>
      <c r="O210" s="36" t="str">
        <f t="shared" si="95"/>
        <v>0</v>
      </c>
      <c r="P210" s="36" t="str">
        <f t="shared" si="96"/>
        <v>0</v>
      </c>
      <c r="Q210" s="35" t="str">
        <f t="shared" si="97"/>
        <v>mngt_sbsc_dvcd 관리항목구분코드 [["1000","품목관련"],["2000","거래처관련"],["3000","품질관련"]]</v>
      </c>
      <c r="R210" s="2" t="s">
        <v>921</v>
      </c>
      <c r="S210" s="2"/>
      <c r="T210" s="2"/>
      <c r="U210" s="2"/>
      <c r="V210" s="2"/>
      <c r="W210" s="2"/>
      <c r="X210" s="2"/>
      <c r="Y210" s="2"/>
      <c r="Z210" s="2"/>
      <c r="AA210" s="2"/>
      <c r="AB210" s="31" t="s">
        <v>2663</v>
      </c>
      <c r="AC210" s="25" t="s">
        <v>2664</v>
      </c>
      <c r="AD210" s="31" t="s">
        <v>2665</v>
      </c>
      <c r="AE210" s="25" t="s">
        <v>2666</v>
      </c>
      <c r="AF210" s="31" t="s">
        <v>2667</v>
      </c>
      <c r="AG210" s="25" t="s">
        <v>2668</v>
      </c>
      <c r="AH210" s="30"/>
      <c r="AI210" s="25"/>
      <c r="AJ210" s="30"/>
      <c r="AK210" s="25"/>
      <c r="AL210" s="30"/>
      <c r="AM210" s="25"/>
      <c r="AN210" s="30"/>
      <c r="AO210" s="25"/>
      <c r="AP210" s="30"/>
      <c r="AQ210" s="25"/>
      <c r="AR210" s="30"/>
      <c r="AS210" s="25"/>
      <c r="AT210" s="30"/>
      <c r="AU210" s="25"/>
      <c r="AV210" s="30"/>
      <c r="AW210" s="25"/>
      <c r="AX210" s="30"/>
      <c r="AY210" s="25"/>
      <c r="AZ210" s="30"/>
      <c r="BA210" s="25"/>
      <c r="BB210" s="30"/>
      <c r="BC210" s="25"/>
      <c r="BD210" s="30"/>
      <c r="BE210" s="25"/>
      <c r="BF210" s="30"/>
      <c r="BG210" s="25"/>
      <c r="BH210" s="30"/>
      <c r="BI210" s="25"/>
      <c r="BJ210" s="30"/>
      <c r="BK210" s="25"/>
      <c r="BL210" s="30"/>
      <c r="BM210" s="25"/>
      <c r="BN210" s="30"/>
      <c r="BO210" s="25"/>
      <c r="BP210" s="30"/>
      <c r="BQ210" s="25"/>
      <c r="BR210" s="30"/>
      <c r="BS210" s="25"/>
      <c r="BT210" s="30"/>
      <c r="BU210" s="25"/>
      <c r="BV210" s="30"/>
      <c r="BW210" s="25"/>
      <c r="BX210" s="30"/>
      <c r="BY210" s="25"/>
      <c r="CA210" s="1" t="str">
        <f t="shared" ca="1" si="87"/>
        <v>delete from sscd_mast where sscd_idcd = 'mngt_sbsc_dvcd_KOR_common'  and site_idcd = 'common';</v>
      </c>
      <c r="CB210" s="5" t="str">
        <f ca="1">IF(E210&lt;&gt;"",CREATE_QUERY($B$1,A$2:AA$2,A210:AA210),"")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('mngt_sbsc_dvcd_KOR_common', 'KOR', 'common', 'mngt_sbsc_dvcd', '관리항목구분코드', 'gb', '', '[["1000","품목관련"],["2000","거래처관련"],["3000","품질관련"]]', '1000:품목관련 2000:거래처관련 3000:품질관련', '', '1000=품목관련|2000=거래처관련|3000=품질관련', '', '0', '0', '0', '0', 'mngt_sbsc_dvcd 관리항목구분코드 [["1000","품목관련"],["2000","거래처관련"],["3000","품질관련"]]', ' ', '', '', '', '', '', '', '', '', '');</v>
      </c>
    </row>
    <row r="211" spans="1:80" ht="17">
      <c r="A211" s="3" t="str">
        <f t="shared" ca="1" si="88"/>
        <v>memo_dvcd_KOR_common</v>
      </c>
      <c r="B211" s="2" t="str">
        <f t="shared" ca="1" si="78"/>
        <v>KOR</v>
      </c>
      <c r="C211" s="25" t="str">
        <f t="shared" ref="C211:C213" si="98">IF(E211="","","common")</f>
        <v>common</v>
      </c>
      <c r="D211" s="25" t="s">
        <v>2669</v>
      </c>
      <c r="E211" s="25" t="s">
        <v>2670</v>
      </c>
      <c r="F211" s="25" t="str">
        <f t="shared" ca="1" si="91"/>
        <v>gb</v>
      </c>
      <c r="G211" s="25"/>
      <c r="H211" s="2" t="str">
        <f t="shared" si="92"/>
        <v>[["1","test1"],["2","test"]]</v>
      </c>
      <c r="I211" s="2" t="str">
        <f t="shared" si="80"/>
        <v>1:test1 2:test</v>
      </c>
      <c r="J211" s="2"/>
      <c r="K211" s="35" t="str">
        <f t="shared" si="81"/>
        <v>1=test1|2=test</v>
      </c>
      <c r="L211" s="2"/>
      <c r="M211" s="36" t="str">
        <f t="shared" ca="1" si="93"/>
        <v>0</v>
      </c>
      <c r="N211" s="36" t="str">
        <f t="shared" ca="1" si="94"/>
        <v>0</v>
      </c>
      <c r="O211" s="36" t="str">
        <f t="shared" si="95"/>
        <v>0</v>
      </c>
      <c r="P211" s="36" t="str">
        <f t="shared" si="96"/>
        <v>0</v>
      </c>
      <c r="Q211" s="35" t="str">
        <f t="shared" si="97"/>
        <v>memo_dvcd 메모구분 [["1","test1"],["2","test"]]</v>
      </c>
      <c r="R211" s="2" t="s">
        <v>921</v>
      </c>
      <c r="S211" s="2"/>
      <c r="T211" s="2"/>
      <c r="U211" s="2"/>
      <c r="V211" s="2"/>
      <c r="W211" s="2"/>
      <c r="X211" s="2"/>
      <c r="Y211" s="2"/>
      <c r="Z211" s="2"/>
      <c r="AA211" s="2"/>
      <c r="AB211" s="31" t="s">
        <v>2671</v>
      </c>
      <c r="AC211" s="25" t="s">
        <v>2672</v>
      </c>
      <c r="AD211" s="31" t="s">
        <v>2673</v>
      </c>
      <c r="AE211" s="25" t="s">
        <v>2674</v>
      </c>
      <c r="AF211" s="30"/>
      <c r="AG211" s="25"/>
      <c r="AH211" s="30"/>
      <c r="AI211" s="25"/>
      <c r="AJ211" s="30"/>
      <c r="AK211" s="25"/>
      <c r="AL211" s="30"/>
      <c r="AM211" s="25"/>
      <c r="AN211" s="30"/>
      <c r="AO211" s="25"/>
      <c r="AP211" s="30"/>
      <c r="AQ211" s="25"/>
      <c r="AR211" s="30"/>
      <c r="AS211" s="25"/>
      <c r="AT211" s="30"/>
      <c r="AU211" s="25"/>
      <c r="AV211" s="30"/>
      <c r="AW211" s="25"/>
      <c r="AX211" s="30"/>
      <c r="AY211" s="25"/>
      <c r="AZ211" s="30"/>
      <c r="BA211" s="25"/>
      <c r="BB211" s="30"/>
      <c r="BC211" s="25"/>
      <c r="BD211" s="30"/>
      <c r="BE211" s="25"/>
      <c r="BF211" s="30"/>
      <c r="BG211" s="25"/>
      <c r="BH211" s="30"/>
      <c r="BI211" s="25"/>
      <c r="BJ211" s="30"/>
      <c r="BK211" s="25"/>
      <c r="BL211" s="30"/>
      <c r="BM211" s="25"/>
      <c r="BN211" s="30"/>
      <c r="BO211" s="25"/>
      <c r="BP211" s="30"/>
      <c r="BQ211" s="25"/>
      <c r="BR211" s="30"/>
      <c r="BS211" s="25"/>
      <c r="BT211" s="30"/>
      <c r="BU211" s="25"/>
      <c r="BV211" s="30"/>
      <c r="BW211" s="25"/>
      <c r="BX211" s="30"/>
      <c r="BY211" s="25"/>
      <c r="CA211" s="1" t="str">
        <f t="shared" ca="1" si="87"/>
        <v>delete from sscd_mast where sscd_idcd = 'memo_dvcd_KOR_common'  and site_idcd = 'common';</v>
      </c>
      <c r="CB211" s="5" t="str">
        <f ca="1">IF(E211&lt;&gt;"",CREATE_QUERY($B$1,A$2:AA$2,A211:AA211),"")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('memo_dvcd_KOR_common', 'KOR', 'common', 'memo_dvcd', '메모구분', 'gb', '', '[["1","test1"],["2","test"]]', '1:test1 2:test', '', '1=test1|2=test', '', '0', '0', '0', '0', 'memo_dvcd 메모구분 [["1","test1"],["2","test"]]', ' ', '', '', '', '', '', '', '', '', '');</v>
      </c>
    </row>
    <row r="212" spans="1:80" ht="17">
      <c r="A212" s="3" t="str">
        <f t="shared" ca="1" si="88"/>
        <v>cost_adpt_dvcd_KOR_common</v>
      </c>
      <c r="B212" s="2" t="str">
        <f t="shared" ca="1" si="78"/>
        <v>KOR</v>
      </c>
      <c r="C212" s="25" t="str">
        <f t="shared" si="98"/>
        <v>common</v>
      </c>
      <c r="D212" s="25" t="s">
        <v>2677</v>
      </c>
      <c r="E212" s="25" t="s">
        <v>2678</v>
      </c>
      <c r="F212" s="25" t="str">
        <f t="shared" ca="1" si="91"/>
        <v>gb</v>
      </c>
      <c r="G212" s="25"/>
      <c r="H212" s="2" t="str">
        <f t="shared" si="92"/>
        <v>[["1","정상"],["2","최초1회"]]</v>
      </c>
      <c r="I212" s="2" t="str">
        <f t="shared" si="80"/>
        <v>1:정상 2:최초1회</v>
      </c>
      <c r="J212" s="2"/>
      <c r="K212" s="35" t="str">
        <f t="shared" si="81"/>
        <v>1=정상|2=최초1회</v>
      </c>
      <c r="L212" s="2"/>
      <c r="M212" s="36" t="str">
        <f t="shared" ca="1" si="93"/>
        <v>0</v>
      </c>
      <c r="N212" s="36" t="str">
        <f t="shared" ca="1" si="94"/>
        <v>0</v>
      </c>
      <c r="O212" s="36" t="str">
        <f t="shared" si="95"/>
        <v>0</v>
      </c>
      <c r="P212" s="36" t="str">
        <f t="shared" si="96"/>
        <v>0</v>
      </c>
      <c r="Q212" s="35" t="str">
        <f t="shared" si="97"/>
        <v>cost_adpt_dvcd 원가적용구분코드 [["1","정상"],["2","최초1회"]]</v>
      </c>
      <c r="R212" s="2" t="s">
        <v>921</v>
      </c>
      <c r="S212" s="2"/>
      <c r="T212" s="2"/>
      <c r="U212" s="2"/>
      <c r="V212" s="2"/>
      <c r="W212" s="2"/>
      <c r="X212" s="2"/>
      <c r="Y212" s="2"/>
      <c r="Z212" s="2"/>
      <c r="AA212" s="2"/>
      <c r="AB212" s="31" t="s">
        <v>2679</v>
      </c>
      <c r="AC212" s="25" t="s">
        <v>2680</v>
      </c>
      <c r="AD212" s="31" t="s">
        <v>2681</v>
      </c>
      <c r="AE212" s="25" t="s">
        <v>2682</v>
      </c>
      <c r="AF212" s="30"/>
      <c r="AG212" s="25"/>
      <c r="AH212" s="30"/>
      <c r="AI212" s="25"/>
      <c r="AJ212" s="30"/>
      <c r="AK212" s="25"/>
      <c r="AL212" s="30"/>
      <c r="AM212" s="25"/>
      <c r="AN212" s="30"/>
      <c r="AO212" s="25"/>
      <c r="AP212" s="30"/>
      <c r="AQ212" s="25"/>
      <c r="AR212" s="30"/>
      <c r="AS212" s="25"/>
      <c r="AT212" s="30"/>
      <c r="AU212" s="25"/>
      <c r="AV212" s="30"/>
      <c r="AW212" s="25"/>
      <c r="AX212" s="30"/>
      <c r="AY212" s="25"/>
      <c r="AZ212" s="30"/>
      <c r="BA212" s="25"/>
      <c r="BB212" s="30"/>
      <c r="BC212" s="25"/>
      <c r="BD212" s="30"/>
      <c r="BE212" s="25"/>
      <c r="BF212" s="30"/>
      <c r="BG212" s="25"/>
      <c r="BH212" s="30"/>
      <c r="BI212" s="25"/>
      <c r="BJ212" s="30"/>
      <c r="BK212" s="25"/>
      <c r="BL212" s="30"/>
      <c r="BM212" s="25"/>
      <c r="BN212" s="30"/>
      <c r="BO212" s="25"/>
      <c r="BP212" s="30"/>
      <c r="BQ212" s="25"/>
      <c r="BR212" s="30"/>
      <c r="BS212" s="25"/>
      <c r="BT212" s="30"/>
      <c r="BU212" s="25"/>
      <c r="BV212" s="30"/>
      <c r="BW212" s="25"/>
      <c r="BX212" s="30"/>
      <c r="BY212" s="25"/>
      <c r="CA212" s="1" t="str">
        <f t="shared" ca="1" si="87"/>
        <v>delete from sscd_mast where sscd_idcd = 'cost_adpt_dvcd_KOR_common'  and site_idcd = 'common';</v>
      </c>
      <c r="CB212" s="5" t="str">
        <f ca="1">IF(E212&lt;&gt;"",CREATE_QUERY($B$1,A$2:AA$2,A212:AA212),"")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('cost_adpt_dvcd_KOR_common', 'KOR', 'common', 'cost_adpt_dvcd', '원가적용구분코드', 'gb', '', '[["1","정상"],["2","최초1회"]]', '1:정상 2:최초1회', '', '1=정상|2=최초1회', '', '0', '0', '0', '0', 'cost_adpt_dvcd 원가적용구분코드 [["1","정상"],["2","최초1회"]]', ' ', '', '', '', '', '', '', '', '', '');</v>
      </c>
    </row>
    <row r="213" spans="1:80" ht="17">
      <c r="A213" s="3" t="str">
        <f t="shared" ca="1" si="88"/>
        <v>plan_rslt_dvcd_KOR_common</v>
      </c>
      <c r="B213" s="2" t="str">
        <f t="shared" ca="1" si="78"/>
        <v>KOR</v>
      </c>
      <c r="C213" s="25" t="str">
        <f t="shared" si="98"/>
        <v>common</v>
      </c>
      <c r="D213" s="25" t="s">
        <v>2690</v>
      </c>
      <c r="E213" s="25" t="s">
        <v>2691</v>
      </c>
      <c r="F213" s="25" t="str">
        <f t="shared" ca="1" si="91"/>
        <v>gb</v>
      </c>
      <c r="G213" s="25"/>
      <c r="H213" s="2" t="str">
        <f t="shared" si="92"/>
        <v>[["1000","실적"],["2000","계획"]]</v>
      </c>
      <c r="I213" s="2" t="str">
        <f t="shared" si="80"/>
        <v>1000:실적 2000:계획</v>
      </c>
      <c r="J213" s="2"/>
      <c r="K213" s="35" t="str">
        <f t="shared" si="81"/>
        <v>1000=실적|2000=계획</v>
      </c>
      <c r="L213" s="2"/>
      <c r="M213" s="36" t="str">
        <f t="shared" ca="1" si="93"/>
        <v>0</v>
      </c>
      <c r="N213" s="36" t="str">
        <f t="shared" ca="1" si="94"/>
        <v>0</v>
      </c>
      <c r="O213" s="36" t="str">
        <f t="shared" si="95"/>
        <v>0</v>
      </c>
      <c r="P213" s="36" t="str">
        <f t="shared" si="96"/>
        <v>0</v>
      </c>
      <c r="Q213" s="35" t="str">
        <f t="shared" si="97"/>
        <v>plan_rslt_dvcd 계획실적구분코드 [["1000","실적"],["2000","계획"]]</v>
      </c>
      <c r="R213" s="2" t="s">
        <v>921</v>
      </c>
      <c r="S213" s="2"/>
      <c r="T213" s="2"/>
      <c r="U213" s="2"/>
      <c r="V213" s="2"/>
      <c r="W213" s="2"/>
      <c r="X213" s="2"/>
      <c r="Y213" s="2"/>
      <c r="Z213" s="2"/>
      <c r="AA213" s="2"/>
      <c r="AB213" s="31" t="s">
        <v>591</v>
      </c>
      <c r="AC213" s="25" t="s">
        <v>2692</v>
      </c>
      <c r="AD213" s="31" t="s">
        <v>592</v>
      </c>
      <c r="AE213" s="25" t="s">
        <v>2693</v>
      </c>
      <c r="AF213" s="30"/>
      <c r="AG213" s="25"/>
      <c r="AH213" s="30"/>
      <c r="AI213" s="25"/>
      <c r="AJ213" s="30"/>
      <c r="AK213" s="25"/>
      <c r="AL213" s="30"/>
      <c r="AM213" s="25"/>
      <c r="AN213" s="30"/>
      <c r="AO213" s="25"/>
      <c r="AP213" s="30"/>
      <c r="AQ213" s="25"/>
      <c r="AR213" s="30"/>
      <c r="AS213" s="25"/>
      <c r="AT213" s="30"/>
      <c r="AU213" s="25"/>
      <c r="AV213" s="30"/>
      <c r="AW213" s="25"/>
      <c r="AX213" s="30"/>
      <c r="AY213" s="25"/>
      <c r="AZ213" s="30"/>
      <c r="BA213" s="25"/>
      <c r="BB213" s="30"/>
      <c r="BC213" s="25"/>
      <c r="BD213" s="30"/>
      <c r="BE213" s="25"/>
      <c r="BF213" s="30"/>
      <c r="BG213" s="25"/>
      <c r="BH213" s="30"/>
      <c r="BI213" s="25"/>
      <c r="BJ213" s="30"/>
      <c r="BK213" s="25"/>
      <c r="BL213" s="30"/>
      <c r="BM213" s="25"/>
      <c r="BN213" s="30"/>
      <c r="BO213" s="25"/>
      <c r="BP213" s="30"/>
      <c r="BQ213" s="25"/>
      <c r="BR213" s="30"/>
      <c r="BS213" s="25"/>
      <c r="BT213" s="30"/>
      <c r="BU213" s="25"/>
      <c r="BV213" s="30"/>
      <c r="BW213" s="25"/>
      <c r="BX213" s="30"/>
      <c r="BY213" s="25"/>
      <c r="CA213" s="1" t="str">
        <f t="shared" ca="1" si="87"/>
        <v>delete from sscd_mast where sscd_idcd = 'plan_rslt_dvcd_KOR_common'  and site_idcd = 'common';</v>
      </c>
      <c r="CB213" s="5" t="str">
        <f ca="1">IF(E213&lt;&gt;"",CREATE_QUERY($B$1,A$2:AA$2,A213:AA213),"")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('plan_rslt_dvcd_KOR_common', 'KOR', 'common', 'plan_rslt_dvcd', '계획실적구분코드', 'gb', '', '[["1000","실적"],["2000","계획"]]', '1000:실적 2000:계획', '', '1000=실적|2000=계획', '', '0', '0', '0', '0', 'plan_rslt_dvcd 계획실적구분코드 [["1000","실적"],["2000","계획"]]', ' ', '', '', '', '', '', '', '', '', '');</v>
      </c>
    </row>
    <row r="214" spans="1:80" ht="17">
      <c r="A214" s="3" t="str">
        <f t="shared" ca="1" si="88"/>
        <v>rprt_dvcd_KOR_common</v>
      </c>
      <c r="B214" s="2" t="str">
        <f t="shared" ca="1" si="78"/>
        <v>KOR</v>
      </c>
      <c r="C214" s="25" t="str">
        <f t="shared" ref="C214:C215" si="99">IF(E214="","","common")</f>
        <v>common</v>
      </c>
      <c r="D214" s="25" t="s">
        <v>2701</v>
      </c>
      <c r="E214" s="25" t="s">
        <v>2702</v>
      </c>
      <c r="F214" s="25" t="str">
        <f t="shared" ca="1" si="91"/>
        <v>gb</v>
      </c>
      <c r="G214" s="25"/>
      <c r="H214" s="2" t="str">
        <f t="shared" si="92"/>
        <v>[["1000","거래명세서"],["2000","검사성적서"],["3000","완제품라벨"],["4000","완제품포장라벨"],["5000","자재라벨"],["6000","재공품라벨"]]</v>
      </c>
      <c r="I214" s="2" t="str">
        <f t="shared" si="80"/>
        <v>1000:거래명세서 2000:검사성적서 3000:완제품라벨 4000:완제품포장라벨 5000:자재라벨 6000:재공품라벨</v>
      </c>
      <c r="J214" s="2"/>
      <c r="K214" s="35" t="str">
        <f t="shared" si="81"/>
        <v>1000=거래명세서|2000=검사성적서|3000=완제품라벨|4000=완제품포장라벨|5000=자재라벨|6000=재공품라벨</v>
      </c>
      <c r="L214" s="2"/>
      <c r="M214" s="36" t="str">
        <f t="shared" ca="1" si="93"/>
        <v>0</v>
      </c>
      <c r="N214" s="36" t="str">
        <f t="shared" ca="1" si="94"/>
        <v>0</v>
      </c>
      <c r="O214" s="36" t="str">
        <f t="shared" si="95"/>
        <v>0</v>
      </c>
      <c r="P214" s="36" t="str">
        <f t="shared" si="96"/>
        <v>0</v>
      </c>
      <c r="Q214" s="35" t="str">
        <f t="shared" si="97"/>
        <v>rprt_dvcd 보고서구분코드 [["1000","거래명세서"],["2000","검사성적서"],["3000","완제품라벨"],["4000","완제품포장라벨"],["5000","자재라벨"],["6000","재공품라벨"]]</v>
      </c>
      <c r="R214" s="2" t="s">
        <v>921</v>
      </c>
      <c r="S214" s="2"/>
      <c r="T214" s="2"/>
      <c r="U214" s="2"/>
      <c r="V214" s="2"/>
      <c r="W214" s="2"/>
      <c r="X214" s="2"/>
      <c r="Y214" s="2"/>
      <c r="Z214" s="2"/>
      <c r="AA214" s="2"/>
      <c r="AB214" s="31" t="s">
        <v>591</v>
      </c>
      <c r="AC214" s="25" t="s">
        <v>2703</v>
      </c>
      <c r="AD214" s="31" t="s">
        <v>592</v>
      </c>
      <c r="AE214" s="25" t="s">
        <v>2704</v>
      </c>
      <c r="AF214" s="31" t="s">
        <v>600</v>
      </c>
      <c r="AG214" s="25" t="s">
        <v>2705</v>
      </c>
      <c r="AH214" s="31" t="s">
        <v>601</v>
      </c>
      <c r="AI214" s="25" t="s">
        <v>2706</v>
      </c>
      <c r="AJ214" s="31" t="s">
        <v>626</v>
      </c>
      <c r="AK214" s="25" t="s">
        <v>2707</v>
      </c>
      <c r="AL214" s="31" t="s">
        <v>628</v>
      </c>
      <c r="AM214" s="25" t="s">
        <v>2708</v>
      </c>
      <c r="AN214" s="30"/>
      <c r="AO214" s="25"/>
      <c r="AP214" s="30"/>
      <c r="AQ214" s="25"/>
      <c r="AR214" s="30"/>
      <c r="AS214" s="25"/>
      <c r="AT214" s="30"/>
      <c r="AU214" s="25"/>
      <c r="AV214" s="30"/>
      <c r="AW214" s="25"/>
      <c r="AX214" s="30"/>
      <c r="AY214" s="25"/>
      <c r="AZ214" s="30"/>
      <c r="BA214" s="25"/>
      <c r="BB214" s="30"/>
      <c r="BC214" s="25"/>
      <c r="BD214" s="30"/>
      <c r="BE214" s="25"/>
      <c r="BF214" s="30"/>
      <c r="BG214" s="25"/>
      <c r="BH214" s="30"/>
      <c r="BI214" s="25"/>
      <c r="BJ214" s="30"/>
      <c r="BK214" s="25"/>
      <c r="BL214" s="30"/>
      <c r="BM214" s="25"/>
      <c r="BN214" s="30"/>
      <c r="BO214" s="25"/>
      <c r="BP214" s="30"/>
      <c r="BQ214" s="25"/>
      <c r="BR214" s="30"/>
      <c r="BS214" s="25"/>
      <c r="BT214" s="30"/>
      <c r="BU214" s="25"/>
      <c r="BV214" s="30"/>
      <c r="BW214" s="25"/>
      <c r="BX214" s="30"/>
      <c r="BY214" s="25"/>
      <c r="CA214" s="1" t="str">
        <f t="shared" ca="1" si="87"/>
        <v>delete from sscd_mast where sscd_idcd = 'rprt_dvcd_KOR_common'  and site_idcd = 'common';</v>
      </c>
      <c r="CB214" s="5" t="str">
        <f ca="1">IF(E214&lt;&gt;"",CREATE_QUERY($B$1,A$2:AA$2,A214:AA214),"")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('rprt_dvcd_KOR_common', 'KOR', 'common', 'rprt_dvcd', '보고서구분코드', 'gb', '', '[["1000","거래명세서"],["2000","검사성적서"],["3000","완제품라벨"],["4000","완제품포장라벨"],["5000","자재라벨"],["6000","재공품라벨"]]', '1000:거래명세서 2000:검사성적서 3000:완제품라벨 4000:완제품포장라벨 5000:자재라벨 6000:재공품라벨', '', '1000=거래명세서|2000=검사성적서|3000=완제품라벨|4000=완제품포장라벨|5000=자재라벨|6000=재공품라벨', '', '0', '0', '0', '0', 'rprt_dvcd 보고서구분코드 [["1000","거래명세서"],["2000","검사성적서"],["3000","완제품라벨"],["4000","완제품포장라벨"],["5000","자재라벨"],["6000","재공품라벨"]]', ' ', '', '', '', '', '', '', '', '', '');</v>
      </c>
    </row>
    <row r="215" spans="1:80" ht="17">
      <c r="A215" s="3" t="str">
        <f t="shared" ca="1" si="88"/>
        <v>clss_dvcd_KOR_common</v>
      </c>
      <c r="B215" s="2" t="str">
        <f t="shared" ca="1" si="78"/>
        <v>KOR</v>
      </c>
      <c r="C215" s="25" t="str">
        <f t="shared" si="99"/>
        <v>common</v>
      </c>
      <c r="D215" s="25" t="s">
        <v>2710</v>
      </c>
      <c r="E215" s="25" t="s">
        <v>2711</v>
      </c>
      <c r="F215" s="25" t="str">
        <f t="shared" ca="1" si="91"/>
        <v>gb</v>
      </c>
      <c r="G215" s="25"/>
      <c r="H215" s="2" t="str">
        <f t="shared" si="92"/>
        <v>[["1000","품목코드"],["2000","거래처"],["3000","생산설비"],["4000","자재분류"]]</v>
      </c>
      <c r="I215" s="2" t="str">
        <f t="shared" si="80"/>
        <v>1000:품목코드 2000:거래처 3000:생산설비 4000:자재분류</v>
      </c>
      <c r="J215" s="2"/>
      <c r="K215" s="35" t="str">
        <f t="shared" si="81"/>
        <v>1000=품목코드|2000=거래처|3000=생산설비|4000=자재분류</v>
      </c>
      <c r="L215" s="2"/>
      <c r="M215" s="36" t="str">
        <f t="shared" ca="1" si="93"/>
        <v>0</v>
      </c>
      <c r="N215" s="36" t="str">
        <f t="shared" ca="1" si="94"/>
        <v>0</v>
      </c>
      <c r="O215" s="36" t="str">
        <f t="shared" si="95"/>
        <v>0</v>
      </c>
      <c r="P215" s="36" t="str">
        <f t="shared" si="96"/>
        <v>0</v>
      </c>
      <c r="Q215" s="35" t="str">
        <f t="shared" si="97"/>
        <v>clss_dvcd 분류구분코드 [["1000","품목코드"],["2000","거래처"],["3000","생산설비"],["4000","자재분류"]]</v>
      </c>
      <c r="R215" s="2" t="s">
        <v>921</v>
      </c>
      <c r="S215" s="2"/>
      <c r="T215" s="2"/>
      <c r="U215" s="2"/>
      <c r="V215" s="2"/>
      <c r="W215" s="2"/>
      <c r="X215" s="2"/>
      <c r="Y215" s="2"/>
      <c r="Z215" s="2"/>
      <c r="AA215" s="2"/>
      <c r="AB215" s="31" t="s">
        <v>591</v>
      </c>
      <c r="AC215" s="25" t="s">
        <v>637</v>
      </c>
      <c r="AD215" s="31" t="s">
        <v>592</v>
      </c>
      <c r="AE215" s="25" t="s">
        <v>2712</v>
      </c>
      <c r="AF215" s="31" t="s">
        <v>600</v>
      </c>
      <c r="AG215" s="25" t="s">
        <v>2713</v>
      </c>
      <c r="AH215" s="31" t="s">
        <v>601</v>
      </c>
      <c r="AI215" s="25" t="s">
        <v>2881</v>
      </c>
      <c r="AJ215" s="30"/>
      <c r="AK215" s="25"/>
      <c r="AL215" s="30"/>
      <c r="AM215" s="25"/>
      <c r="AN215" s="30"/>
      <c r="AO215" s="25"/>
      <c r="AP215" s="30"/>
      <c r="AQ215" s="25"/>
      <c r="AR215" s="30"/>
      <c r="AS215" s="25"/>
      <c r="AT215" s="30"/>
      <c r="AU215" s="25"/>
      <c r="AV215" s="30"/>
      <c r="AW215" s="25"/>
      <c r="AX215" s="30"/>
      <c r="AY215" s="25"/>
      <c r="AZ215" s="30"/>
      <c r="BA215" s="25"/>
      <c r="BB215" s="30"/>
      <c r="BC215" s="25"/>
      <c r="BD215" s="30"/>
      <c r="BE215" s="25"/>
      <c r="BF215" s="30"/>
      <c r="BG215" s="25"/>
      <c r="BH215" s="30"/>
      <c r="BI215" s="25"/>
      <c r="BJ215" s="30"/>
      <c r="BK215" s="25"/>
      <c r="BL215" s="30"/>
      <c r="BM215" s="25"/>
      <c r="BN215" s="30"/>
      <c r="BO215" s="25"/>
      <c r="BP215" s="30"/>
      <c r="BQ215" s="25"/>
      <c r="BR215" s="30"/>
      <c r="BS215" s="25"/>
      <c r="BT215" s="30"/>
      <c r="BU215" s="25"/>
      <c r="BV215" s="30"/>
      <c r="BW215" s="25"/>
      <c r="BX215" s="30"/>
      <c r="BY215" s="25"/>
      <c r="CA215" s="1" t="str">
        <f t="shared" ca="1" si="87"/>
        <v>delete from sscd_mast where sscd_idcd = 'clss_dvcd_KOR_common'  and site_idcd = 'common';</v>
      </c>
      <c r="CB215" s="5" t="str">
        <f ca="1">IF(E215&lt;&gt;"",CREATE_QUERY($B$1,A$2:AA$2,A215:AA215),"")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('clss_dvcd_KOR_common', 'KOR', 'common', 'clss_dvcd', '분류구분코드', 'gb', '', '[["1000","품목코드"],["2000","거래처"],["3000","생산설비"],["4000","자재분류"]]', '1000:품목코드 2000:거래처 3000:생산설비 4000:자재분류', '', '1000=품목코드|2000=거래처|3000=생산설비|4000=자재분류', '', '0', '0', '0', '0', 'clss_dvcd 분류구분코드 [["1000","품목코드"],["2000","거래처"],["3000","생산설비"],["4000","자재분류"]]', ' ', '', '', '', '', '', '', '', '', '');</v>
      </c>
    </row>
    <row r="216" spans="1:80" ht="17">
      <c r="A216" s="3" t="str">
        <f t="shared" ca="1" si="88"/>
        <v>pric_burd_dvcd_KOR_common</v>
      </c>
      <c r="B216" s="2" t="str">
        <f t="shared" ca="1" si="78"/>
        <v>KOR</v>
      </c>
      <c r="C216" s="25" t="str">
        <f t="shared" ref="C216:C260" si="100">IF(E216="","","common")</f>
        <v>common</v>
      </c>
      <c r="D216" s="25" t="s">
        <v>2787</v>
      </c>
      <c r="E216" s="25" t="s">
        <v>2786</v>
      </c>
      <c r="F216" s="25" t="str">
        <f t="shared" ca="1" si="91"/>
        <v>gb</v>
      </c>
      <c r="G216" s="25"/>
      <c r="H216" s="2" t="str">
        <f t="shared" si="92"/>
        <v>[["1","자사"],["2","고객사"],["9","해당없음"]]</v>
      </c>
      <c r="I216" s="2" t="str">
        <f t="shared" si="80"/>
        <v>1:자사 2:고객사 9:해당없음</v>
      </c>
      <c r="J216" s="2"/>
      <c r="K216" s="35" t="str">
        <f t="shared" si="81"/>
        <v>1=자사|2=고객사|9=해당없음</v>
      </c>
      <c r="L216" s="2"/>
      <c r="M216" s="36" t="str">
        <f t="shared" ca="1" si="93"/>
        <v>0</v>
      </c>
      <c r="N216" s="36" t="str">
        <f t="shared" ca="1" si="94"/>
        <v>0</v>
      </c>
      <c r="O216" s="36" t="str">
        <f t="shared" si="95"/>
        <v>0</v>
      </c>
      <c r="P216" s="36" t="str">
        <f t="shared" si="96"/>
        <v>0</v>
      </c>
      <c r="Q216" s="35" t="str">
        <f t="shared" si="97"/>
        <v>pric_burd_dvcd 운임부담구분코드 [["1","자사"],["2","고객사"],["9","해당없음"]]</v>
      </c>
      <c r="R216" s="2" t="s">
        <v>921</v>
      </c>
      <c r="S216" s="2"/>
      <c r="T216" s="2"/>
      <c r="U216" s="2"/>
      <c r="V216" s="2"/>
      <c r="W216" s="2"/>
      <c r="X216" s="2"/>
      <c r="Y216" s="2"/>
      <c r="Z216" s="2"/>
      <c r="AA216" s="2"/>
      <c r="AB216" s="31" t="s">
        <v>684</v>
      </c>
      <c r="AC216" s="25" t="s">
        <v>2788</v>
      </c>
      <c r="AD216" s="31" t="s">
        <v>685</v>
      </c>
      <c r="AE216" s="25" t="s">
        <v>2789</v>
      </c>
      <c r="AF216" s="31" t="s">
        <v>570</v>
      </c>
      <c r="AG216" s="25" t="s">
        <v>799</v>
      </c>
      <c r="AH216" s="30"/>
      <c r="AI216" s="25"/>
      <c r="AJ216" s="30"/>
      <c r="AK216" s="25"/>
      <c r="AL216" s="30"/>
      <c r="AM216" s="25"/>
      <c r="AN216" s="30"/>
      <c r="AO216" s="25"/>
      <c r="AP216" s="30"/>
      <c r="AQ216" s="25"/>
      <c r="AR216" s="30"/>
      <c r="AS216" s="25"/>
      <c r="AT216" s="30"/>
      <c r="AU216" s="25"/>
      <c r="AV216" s="30"/>
      <c r="AW216" s="25"/>
      <c r="AX216" s="30"/>
      <c r="AY216" s="25"/>
      <c r="AZ216" s="30"/>
      <c r="BA216" s="25"/>
      <c r="BB216" s="30"/>
      <c r="BC216" s="25"/>
      <c r="BD216" s="30"/>
      <c r="BE216" s="25"/>
      <c r="BF216" s="30"/>
      <c r="BG216" s="25"/>
      <c r="BH216" s="30"/>
      <c r="BI216" s="25"/>
      <c r="BJ216" s="30"/>
      <c r="BK216" s="25"/>
      <c r="BL216" s="30"/>
      <c r="BM216" s="25"/>
      <c r="BN216" s="30"/>
      <c r="BO216" s="25"/>
      <c r="BP216" s="30"/>
      <c r="BQ216" s="25"/>
      <c r="BR216" s="30"/>
      <c r="BS216" s="25"/>
      <c r="BT216" s="30"/>
      <c r="BU216" s="25"/>
      <c r="BV216" s="30"/>
      <c r="BW216" s="25"/>
      <c r="BX216" s="30"/>
      <c r="BY216" s="25"/>
      <c r="CA216" s="1" t="str">
        <f t="shared" ca="1" si="87"/>
        <v>delete from sscd_mast where sscd_idcd = 'pric_burd_dvcd_KOR_common'  and site_idcd = 'common';</v>
      </c>
      <c r="CB216" s="5" t="str">
        <f ca="1">IF(E216&lt;&gt;"",CREATE_QUERY($B$1,A$2:AA$2,A216:AA216),"")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('pric_burd_dvcd_KOR_common', 'KOR', 'common', 'pric_burd_dvcd', '운임부담구분코드', 'gb', '', '[["1","자사"],["2","고객사"],["9","해당없음"]]', '1:자사 2:고객사 9:해당없음', '', '1=자사|2=고객사|9=해당없음', '', '0', '0', '0', '0', 'pric_burd_dvcd 운임부담구분코드 [["1","자사"],["2","고객사"],["9","해당없음"]]', ' ', '', '', '', '', '', '', '', '', '');</v>
      </c>
    </row>
    <row r="217" spans="1:80" ht="17">
      <c r="A217" s="3" t="str">
        <f t="shared" ca="1" si="88"/>
        <v>CUTT_DVCD_KOR_common</v>
      </c>
      <c r="B217" s="2" t="str">
        <f t="shared" ca="1" si="78"/>
        <v>KOR</v>
      </c>
      <c r="C217" s="25" t="str">
        <f t="shared" si="100"/>
        <v>common</v>
      </c>
      <c r="D217" s="25" t="s">
        <v>2799</v>
      </c>
      <c r="E217" s="25" t="s">
        <v>2800</v>
      </c>
      <c r="F217" s="25" t="str">
        <f t="shared" ca="1" si="91"/>
        <v>gb</v>
      </c>
      <c r="G217" s="25"/>
      <c r="H217" s="2" t="str">
        <f t="shared" si="92"/>
        <v>[["1","반올림"],["2","버림"],["3","올림"]]</v>
      </c>
      <c r="I217" s="2" t="str">
        <f t="shared" si="80"/>
        <v>1:반올림 2:버림 3:올림</v>
      </c>
      <c r="J217" s="2"/>
      <c r="K217" s="35" t="str">
        <f t="shared" si="81"/>
        <v>1=반올림|2=버림|3=올림</v>
      </c>
      <c r="L217" s="2"/>
      <c r="M217" s="36" t="str">
        <f t="shared" ca="1" si="93"/>
        <v>0</v>
      </c>
      <c r="N217" s="36" t="str">
        <f t="shared" ca="1" si="94"/>
        <v>0</v>
      </c>
      <c r="O217" s="36" t="str">
        <f t="shared" si="95"/>
        <v>0</v>
      </c>
      <c r="P217" s="36" t="str">
        <f t="shared" si="96"/>
        <v>0</v>
      </c>
      <c r="Q217" s="35" t="str">
        <f t="shared" si="97"/>
        <v>CUTT_DVCD 절사구분코드 [["1","반올림"],["2","버림"],["3","올림"]]</v>
      </c>
      <c r="R217" s="2" t="s">
        <v>921</v>
      </c>
      <c r="S217" s="2"/>
      <c r="T217" s="2"/>
      <c r="U217" s="2"/>
      <c r="V217" s="2"/>
      <c r="W217" s="2"/>
      <c r="X217" s="2"/>
      <c r="Y217" s="2"/>
      <c r="Z217" s="2"/>
      <c r="AA217" s="2"/>
      <c r="AB217" s="31" t="s">
        <v>684</v>
      </c>
      <c r="AC217" s="25" t="s">
        <v>920</v>
      </c>
      <c r="AD217" s="31" t="s">
        <v>685</v>
      </c>
      <c r="AE217" s="25" t="s">
        <v>2801</v>
      </c>
      <c r="AF217" s="31" t="s">
        <v>687</v>
      </c>
      <c r="AG217" s="25" t="s">
        <v>2802</v>
      </c>
      <c r="AH217" s="30"/>
      <c r="AI217" s="25"/>
      <c r="AJ217" s="30"/>
      <c r="AK217" s="25"/>
      <c r="AL217" s="30"/>
      <c r="AM217" s="25"/>
      <c r="AN217" s="30"/>
      <c r="AO217" s="25"/>
      <c r="AP217" s="30"/>
      <c r="AQ217" s="25"/>
      <c r="AR217" s="30"/>
      <c r="AS217" s="25"/>
      <c r="AT217" s="30"/>
      <c r="AU217" s="25"/>
      <c r="AV217" s="30"/>
      <c r="AW217" s="25"/>
      <c r="AX217" s="30"/>
      <c r="AY217" s="25"/>
      <c r="AZ217" s="30"/>
      <c r="BA217" s="25"/>
      <c r="BB217" s="30"/>
      <c r="BC217" s="25"/>
      <c r="BD217" s="30"/>
      <c r="BE217" s="25"/>
      <c r="BF217" s="30"/>
      <c r="BG217" s="25"/>
      <c r="BH217" s="30"/>
      <c r="BI217" s="25"/>
      <c r="BJ217" s="30"/>
      <c r="BK217" s="25"/>
      <c r="BL217" s="30"/>
      <c r="BM217" s="25"/>
      <c r="BN217" s="30"/>
      <c r="BO217" s="25"/>
      <c r="BP217" s="30"/>
      <c r="BQ217" s="25"/>
      <c r="BR217" s="30"/>
      <c r="BS217" s="25"/>
      <c r="BT217" s="30"/>
      <c r="BU217" s="25"/>
      <c r="BV217" s="30"/>
      <c r="BW217" s="25"/>
      <c r="BX217" s="30"/>
      <c r="BY217" s="25"/>
      <c r="CA217" s="1" t="str">
        <f t="shared" ca="1" si="87"/>
        <v>delete from sscd_mast where sscd_idcd = 'CUTT_DVCD_KOR_common'  and site_idcd = 'common';</v>
      </c>
      <c r="CB217" s="5" t="str">
        <f ca="1">IF(E217&lt;&gt;"",CREATE_QUERY($B$1,A$2:AA$2,A217:AA217),"")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('CUTT_DVCD_KOR_common', 'KOR', 'common', 'CUTT_DVCD', '절사구분코드', 'gb', '', '[["1","반올림"],["2","버림"],["3","올림"]]', '1:반올림 2:버림 3:올림', '', '1=반올림|2=버림|3=올림', '', '0', '0', '0', '0', 'CUTT_DVCD 절사구분코드 [["1","반올림"],["2","버림"],["3","올림"]]', ' ', '', '', '', '', '', '', '', '', '');</v>
      </c>
    </row>
    <row r="218" spans="1:80" ht="17">
      <c r="A218" s="3" t="str">
        <f t="shared" ca="1" si="88"/>
        <v>sale_plan_dvcd_KOR_common</v>
      </c>
      <c r="B218" s="2" t="str">
        <f t="shared" ca="1" si="78"/>
        <v>KOR</v>
      </c>
      <c r="C218" s="25" t="str">
        <f t="shared" si="100"/>
        <v>common</v>
      </c>
      <c r="D218" s="25" t="s">
        <v>2810</v>
      </c>
      <c r="E218" s="25" t="s">
        <v>2809</v>
      </c>
      <c r="F218" s="25" t="str">
        <f t="shared" ca="1" si="91"/>
        <v>gb</v>
      </c>
      <c r="G218" s="25"/>
      <c r="H218" s="2" t="str">
        <f t="shared" si="92"/>
        <v>[["1","수주"],["2","매출"],["3","수금"]]</v>
      </c>
      <c r="I218" s="2" t="str">
        <f t="shared" si="80"/>
        <v>1:수주 2:매출 3:수금</v>
      </c>
      <c r="J218" s="2"/>
      <c r="K218" s="35" t="str">
        <f t="shared" si="81"/>
        <v>1=수주|2=매출|3=수금</v>
      </c>
      <c r="L218" s="2"/>
      <c r="M218" s="36" t="str">
        <f t="shared" ca="1" si="93"/>
        <v>0</v>
      </c>
      <c r="N218" s="36" t="str">
        <f t="shared" ca="1" si="94"/>
        <v>0</v>
      </c>
      <c r="O218" s="36" t="str">
        <f t="shared" si="95"/>
        <v>0</v>
      </c>
      <c r="P218" s="36" t="str">
        <f t="shared" si="96"/>
        <v>0</v>
      </c>
      <c r="Q218" s="35" t="str">
        <f t="shared" si="97"/>
        <v>sale_plan_dvcd 영업계획구분코드 [["1","수주"],["2","매출"],["3","수금"]]</v>
      </c>
      <c r="R218" s="2" t="s">
        <v>921</v>
      </c>
      <c r="S218" s="2"/>
      <c r="T218" s="2"/>
      <c r="U218" s="2"/>
      <c r="V218" s="2"/>
      <c r="W218" s="2"/>
      <c r="X218" s="2"/>
      <c r="Y218" s="2"/>
      <c r="Z218" s="2"/>
      <c r="AA218" s="2"/>
      <c r="AB218" s="31" t="s">
        <v>684</v>
      </c>
      <c r="AC218" s="25" t="s">
        <v>2812</v>
      </c>
      <c r="AD218" s="31" t="s">
        <v>685</v>
      </c>
      <c r="AE218" s="25" t="s">
        <v>2811</v>
      </c>
      <c r="AF218" s="31" t="s">
        <v>687</v>
      </c>
      <c r="AG218" s="25" t="s">
        <v>2813</v>
      </c>
      <c r="AH218" s="30"/>
      <c r="AI218" s="25"/>
      <c r="AJ218" s="30"/>
      <c r="AK218" s="25"/>
      <c r="AL218" s="30"/>
      <c r="AM218" s="25"/>
      <c r="AN218" s="30"/>
      <c r="AO218" s="25"/>
      <c r="AP218" s="30"/>
      <c r="AQ218" s="25"/>
      <c r="AR218" s="30"/>
      <c r="AS218" s="25"/>
      <c r="AT218" s="30"/>
      <c r="AU218" s="25"/>
      <c r="AV218" s="30"/>
      <c r="AW218" s="25"/>
      <c r="AX218" s="30"/>
      <c r="AY218" s="25"/>
      <c r="AZ218" s="30"/>
      <c r="BA218" s="25"/>
      <c r="BB218" s="30"/>
      <c r="BC218" s="25"/>
      <c r="BD218" s="30"/>
      <c r="BE218" s="25"/>
      <c r="BF218" s="30"/>
      <c r="BG218" s="25"/>
      <c r="BH218" s="30"/>
      <c r="BI218" s="25"/>
      <c r="BJ218" s="30"/>
      <c r="BK218" s="25"/>
      <c r="BL218" s="30"/>
      <c r="BM218" s="25"/>
      <c r="BN218" s="30"/>
      <c r="BO218" s="25"/>
      <c r="BP218" s="30"/>
      <c r="BQ218" s="25"/>
      <c r="BR218" s="30"/>
      <c r="BS218" s="25"/>
      <c r="BT218" s="30"/>
      <c r="BU218" s="25"/>
      <c r="BV218" s="30"/>
      <c r="BW218" s="25"/>
      <c r="BX218" s="30"/>
      <c r="BY218" s="25"/>
      <c r="CA218" s="1" t="str">
        <f t="shared" ca="1" si="87"/>
        <v>delete from sscd_mast where sscd_idcd = 'sale_plan_dvcd_KOR_common'  and site_idcd = 'common';</v>
      </c>
      <c r="CB218" s="5" t="str">
        <f ca="1">IF(E218&lt;&gt;"",CREATE_QUERY($B$1,A$2:AA$2,A218:AA218),"")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('sale_plan_dvcd_KOR_common', 'KOR', 'common', 'sale_plan_dvcd', '영업계획구분코드', 'gb', '', '[["1","수주"],["2","매출"],["3","수금"]]', '1:수주 2:매출 3:수금', '', '1=수주|2=매출|3=수금', '', '0', '0', '0', '0', 'sale_plan_dvcd 영업계획구분코드 [["1","수주"],["2","매출"],["3","수금"]]', ' ', '', '', '', '', '', '', '', '', '');</v>
      </c>
    </row>
    <row r="219" spans="1:80" ht="17">
      <c r="A219" s="3" t="str">
        <f t="shared" ca="1" si="88"/>
        <v>offr_path_dvcd_KOR_common</v>
      </c>
      <c r="B219" s="2" t="str">
        <f t="shared" ca="1" si="78"/>
        <v>KOR</v>
      </c>
      <c r="C219" s="25" t="str">
        <f t="shared" si="100"/>
        <v>common</v>
      </c>
      <c r="D219" s="25" t="s">
        <v>2814</v>
      </c>
      <c r="E219" s="25" t="s">
        <v>2815</v>
      </c>
      <c r="F219" s="25" t="str">
        <f t="shared" ca="1" si="91"/>
        <v>gb</v>
      </c>
      <c r="G219" s="25"/>
      <c r="H219" s="2" t="str">
        <f t="shared" si="92"/>
        <v>[["1","원자재발주"],["2","부자재발주"],["3","상품발주"]]</v>
      </c>
      <c r="I219" s="2" t="str">
        <f t="shared" si="80"/>
        <v>1:원자재발주 2:부자재발주 3:상품발주</v>
      </c>
      <c r="J219" s="2"/>
      <c r="K219" s="35" t="str">
        <f t="shared" si="81"/>
        <v>1=원자재발주|2=부자재발주|3=상품발주</v>
      </c>
      <c r="L219" s="2"/>
      <c r="M219" s="36" t="str">
        <f t="shared" ca="1" si="93"/>
        <v>0</v>
      </c>
      <c r="N219" s="36" t="str">
        <f t="shared" ca="1" si="94"/>
        <v>0</v>
      </c>
      <c r="O219" s="36" t="str">
        <f t="shared" si="95"/>
        <v>0</v>
      </c>
      <c r="P219" s="36" t="str">
        <f t="shared" si="96"/>
        <v>0</v>
      </c>
      <c r="Q219" s="35" t="str">
        <f t="shared" si="97"/>
        <v>offr_path_dvcd 발주경로구분코드 [["1","원자재발주"],["2","부자재발주"],["3","상품발주"]]</v>
      </c>
      <c r="R219" s="2" t="s">
        <v>921</v>
      </c>
      <c r="S219" s="2"/>
      <c r="T219" s="2"/>
      <c r="U219" s="2"/>
      <c r="V219" s="2"/>
      <c r="W219" s="2"/>
      <c r="X219" s="2"/>
      <c r="Y219" s="2"/>
      <c r="Z219" s="2"/>
      <c r="AA219" s="2"/>
      <c r="AB219" s="31" t="s">
        <v>684</v>
      </c>
      <c r="AC219" s="25" t="s">
        <v>3176</v>
      </c>
      <c r="AD219" s="31" t="s">
        <v>685</v>
      </c>
      <c r="AE219" s="25" t="s">
        <v>2816</v>
      </c>
      <c r="AF219" s="31" t="s">
        <v>687</v>
      </c>
      <c r="AG219" s="25" t="s">
        <v>2817</v>
      </c>
      <c r="AH219" s="31"/>
      <c r="AI219" s="25"/>
      <c r="AJ219" s="30"/>
      <c r="AK219" s="25"/>
      <c r="AL219" s="30"/>
      <c r="AM219" s="25"/>
      <c r="AN219" s="30"/>
      <c r="AO219" s="25"/>
      <c r="AP219" s="30"/>
      <c r="AQ219" s="25"/>
      <c r="AR219" s="30"/>
      <c r="AS219" s="25"/>
      <c r="AT219" s="30"/>
      <c r="AU219" s="25"/>
      <c r="AV219" s="30"/>
      <c r="AW219" s="25"/>
      <c r="AX219" s="30"/>
      <c r="AY219" s="25"/>
      <c r="AZ219" s="30"/>
      <c r="BA219" s="25"/>
      <c r="BB219" s="30"/>
      <c r="BC219" s="25"/>
      <c r="BD219" s="30"/>
      <c r="BE219" s="25"/>
      <c r="BF219" s="30"/>
      <c r="BG219" s="25"/>
      <c r="BH219" s="30"/>
      <c r="BI219" s="25"/>
      <c r="BJ219" s="30"/>
      <c r="BK219" s="25"/>
      <c r="BL219" s="30"/>
      <c r="BM219" s="25"/>
      <c r="BN219" s="30"/>
      <c r="BO219" s="25"/>
      <c r="BP219" s="30"/>
      <c r="BQ219" s="25"/>
      <c r="BR219" s="30"/>
      <c r="BS219" s="25"/>
      <c r="BT219" s="30"/>
      <c r="BU219" s="25"/>
      <c r="BV219" s="30"/>
      <c r="BW219" s="25"/>
      <c r="BX219" s="30"/>
      <c r="BY219" s="25"/>
      <c r="CA219" s="1" t="str">
        <f t="shared" ca="1" si="87"/>
        <v>delete from sscd_mast where sscd_idcd = 'offr_path_dvcd_KOR_common'  and site_idcd = 'common';</v>
      </c>
      <c r="CB219" s="5" t="str">
        <f ca="1">IF(E219&lt;&gt;"",CREATE_QUERY($B$1,A$2:AA$2,A219:AA219),"")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('offr_path_dvcd_KOR_common', 'KOR', 'common', 'offr_path_dvcd', '발주경로구분코드', 'gb', '', '[["1","원자재발주"],["2","부자재발주"],["3","상품발주"]]', '1:원자재발주 2:부자재발주 3:상품발주', '', '1=원자재발주|2=부자재발주|3=상품발주', '', '0', '0', '0', '0', 'offr_path_dvcd 발주경로구분코드 [["1","원자재발주"],["2","부자재발주"],["3","상품발주"]]', ' ', '', '', '', '', '', '', '', '', '');</v>
      </c>
    </row>
    <row r="220" spans="1:80" ht="17">
      <c r="A220" s="3" t="str">
        <f t="shared" ref="A220" ca="1" si="101">IF(D220="","",D220&amp;"_"&amp;B220&amp;"_"&amp;C220)</f>
        <v>ostt_path_dvcd_KOR_common</v>
      </c>
      <c r="B220" s="2" t="str">
        <f t="shared" ref="B220" ca="1" si="102">IF(E220="","",OFFSET(B220,-1,0))</f>
        <v>KOR</v>
      </c>
      <c r="C220" s="25" t="str">
        <f t="shared" si="100"/>
        <v>common</v>
      </c>
      <c r="D220" s="25" t="s">
        <v>2877</v>
      </c>
      <c r="E220" s="25" t="s">
        <v>2876</v>
      </c>
      <c r="F220" s="25" t="str">
        <f t="shared" ref="F220" ca="1" si="103">IF(A220="","","gb")</f>
        <v>gb</v>
      </c>
      <c r="G220" s="25"/>
      <c r="H220" s="2" t="str">
        <f t="shared" ref="H220" si="104">"[["""&amp;
SUBSTITUTE(SUBSTITUTE(I220,":",""",""")," ","""],[""")
&amp;"""]]"</f>
        <v>[["1","원단출고"],["2","부자재출고"],["3","제품매출"],["4","상품매출"],["9","기타"]]</v>
      </c>
      <c r="I220" s="2" t="str">
        <f t="shared" si="80"/>
        <v>1:원단출고 2:부자재출고 3:제품매출 4:상품매출 9:기타</v>
      </c>
      <c r="J220" s="2"/>
      <c r="K220" s="35" t="str">
        <f t="shared" si="81"/>
        <v>1=원단출고|2=부자재출고|3=제품매출|4=상품매출|9=기타</v>
      </c>
      <c r="L220" s="2"/>
      <c r="M220" s="36" t="str">
        <f t="shared" ref="M220" ca="1" si="105">IF(A220="","","0")</f>
        <v>0</v>
      </c>
      <c r="N220" s="36" t="str">
        <f t="shared" ref="N220" ca="1" si="106">IF(B220="","","0")</f>
        <v>0</v>
      </c>
      <c r="O220" s="36" t="str">
        <f t="shared" ref="O220" si="107">IF(C220="","","0")</f>
        <v>0</v>
      </c>
      <c r="P220" s="36" t="str">
        <f t="shared" ref="P220" si="108">IF(D220="","","0")</f>
        <v>0</v>
      </c>
      <c r="Q220" s="35" t="str">
        <f t="shared" ref="Q220" si="109">IF(D220="","",D220&amp;" "&amp;E220&amp;" "&amp;H220)</f>
        <v>ostt_path_dvcd 출고경로구분코드 [["1","원단출고"],["2","부자재출고"],["3","제품매출"],["4","상품매출"],["9","기타"]]</v>
      </c>
      <c r="R220" s="2" t="s">
        <v>921</v>
      </c>
      <c r="S220" s="2"/>
      <c r="T220" s="2"/>
      <c r="U220" s="2"/>
      <c r="V220" s="2"/>
      <c r="W220" s="2"/>
      <c r="X220" s="2"/>
      <c r="Y220" s="2"/>
      <c r="Z220" s="2"/>
      <c r="AA220" s="2"/>
      <c r="AB220" s="31" t="s">
        <v>684</v>
      </c>
      <c r="AC220" s="25" t="s">
        <v>2878</v>
      </c>
      <c r="AD220" s="31" t="s">
        <v>685</v>
      </c>
      <c r="AE220" s="25" t="s">
        <v>2879</v>
      </c>
      <c r="AF220" s="31" t="s">
        <v>687</v>
      </c>
      <c r="AG220" s="25" t="s">
        <v>2856</v>
      </c>
      <c r="AH220" s="31" t="s">
        <v>688</v>
      </c>
      <c r="AI220" s="25" t="s">
        <v>2857</v>
      </c>
      <c r="AJ220" s="31" t="s">
        <v>570</v>
      </c>
      <c r="AK220" s="25" t="s">
        <v>612</v>
      </c>
      <c r="AL220" s="30"/>
      <c r="AM220" s="25"/>
      <c r="AN220" s="30"/>
      <c r="AO220" s="25"/>
      <c r="AP220" s="30"/>
      <c r="AQ220" s="25"/>
      <c r="AR220" s="30"/>
      <c r="AS220" s="25"/>
      <c r="AT220" s="30"/>
      <c r="AU220" s="25"/>
      <c r="AV220" s="30"/>
      <c r="AW220" s="25"/>
      <c r="AX220" s="30"/>
      <c r="AY220" s="25"/>
      <c r="AZ220" s="30"/>
      <c r="BA220" s="25"/>
      <c r="BB220" s="30"/>
      <c r="BC220" s="25"/>
      <c r="BD220" s="30"/>
      <c r="BE220" s="25"/>
      <c r="BF220" s="30"/>
      <c r="BG220" s="25"/>
      <c r="BH220" s="30"/>
      <c r="BI220" s="25"/>
      <c r="BJ220" s="30"/>
      <c r="BK220" s="25"/>
      <c r="BL220" s="30"/>
      <c r="BM220" s="25"/>
      <c r="BN220" s="30"/>
      <c r="BO220" s="25"/>
      <c r="BP220" s="30"/>
      <c r="BQ220" s="25"/>
      <c r="BR220" s="30"/>
      <c r="BS220" s="25"/>
      <c r="BT220" s="30"/>
      <c r="BU220" s="25"/>
      <c r="BV220" s="30"/>
      <c r="BW220" s="25"/>
      <c r="BX220" s="30"/>
      <c r="BY220" s="25"/>
      <c r="CA220" s="1" t="str">
        <f t="shared" ca="1" si="87"/>
        <v>delete from sscd_mast where sscd_idcd = 'ostt_path_dvcd_KOR_common'  and site_idcd = 'common';</v>
      </c>
      <c r="CB220" s="5" t="str">
        <f ca="1">IF(E220&lt;&gt;"",CREATE_QUERY($B$1,A$2:AA$2,A220:AA220),"")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('ostt_path_dvcd_KOR_common', 'KOR', 'common', 'ostt_path_dvcd', '출고경로구분코드', 'gb', '', '[["1","원단출고"],["2","부자재출고"],["3","제품매출"],["4","상품매출"],["9","기타"]]', '1:원단출고 2:부자재출고 3:제품매출 4:상품매출 9:기타', '', '1=원단출고|2=부자재출고|3=제품매출|4=상품매출|9=기타', '', '0', '0', '0', '0', 'ostt_path_dvcd 출고경로구분코드 [["1","원단출고"],["2","부자재출고"],["3","제품매출"],["4","상품매출"],["9","기타"]]', ' ', '', '', '', '', '', '', '', '', '');</v>
      </c>
    </row>
    <row r="221" spans="1:80" ht="17">
      <c r="A221" s="3" t="str">
        <f t="shared" ca="1" si="88"/>
        <v>item_path_dvcd_KOR_common</v>
      </c>
      <c r="B221" s="2" t="str">
        <f t="shared" ca="1" si="78"/>
        <v>KOR</v>
      </c>
      <c r="C221" s="25" t="str">
        <f t="shared" si="100"/>
        <v>common</v>
      </c>
      <c r="D221" s="25" t="s">
        <v>2818</v>
      </c>
      <c r="E221" s="25" t="s">
        <v>2819</v>
      </c>
      <c r="F221" s="25" t="str">
        <f t="shared" ca="1" si="91"/>
        <v>gb</v>
      </c>
      <c r="G221" s="25"/>
      <c r="H221" s="2" t="str">
        <f t="shared" si="92"/>
        <v>[["1","임의"],["2","수주에"],["의한"],["등록"]]</v>
      </c>
      <c r="I221" s="2" t="str">
        <f t="shared" si="80"/>
        <v>1:임의 2:수주에 의한 등록</v>
      </c>
      <c r="J221" s="2"/>
      <c r="K221" s="35" t="str">
        <f t="shared" si="81"/>
        <v>1=임의|2=수주에 의한 등록</v>
      </c>
      <c r="L221" s="2"/>
      <c r="M221" s="36" t="str">
        <f t="shared" ca="1" si="93"/>
        <v>0</v>
      </c>
      <c r="N221" s="36" t="str">
        <f t="shared" ca="1" si="94"/>
        <v>0</v>
      </c>
      <c r="O221" s="36" t="str">
        <f t="shared" si="95"/>
        <v>0</v>
      </c>
      <c r="P221" s="36" t="str">
        <f t="shared" si="96"/>
        <v>0</v>
      </c>
      <c r="Q221" s="35" t="str">
        <f t="shared" si="97"/>
        <v>item_path_dvcd 품목경로구분코드 [["1","임의"],["2","수주에"],["의한"],["등록"]]</v>
      </c>
      <c r="R221" s="2" t="s">
        <v>921</v>
      </c>
      <c r="S221" s="2"/>
      <c r="T221" s="2"/>
      <c r="U221" s="2"/>
      <c r="V221" s="2"/>
      <c r="W221" s="2"/>
      <c r="X221" s="2"/>
      <c r="Y221" s="2"/>
      <c r="Z221" s="2"/>
      <c r="AA221" s="2"/>
      <c r="AB221" s="31" t="s">
        <v>684</v>
      </c>
      <c r="AC221" s="25" t="s">
        <v>780</v>
      </c>
      <c r="AD221" s="31" t="s">
        <v>685</v>
      </c>
      <c r="AE221" s="25" t="s">
        <v>2820</v>
      </c>
      <c r="AF221" s="30"/>
      <c r="AG221" s="25"/>
      <c r="AH221" s="30"/>
      <c r="AI221" s="25"/>
      <c r="AJ221" s="30"/>
      <c r="AK221" s="25"/>
      <c r="AL221" s="30"/>
      <c r="AM221" s="25"/>
      <c r="AN221" s="30"/>
      <c r="AO221" s="25"/>
      <c r="AP221" s="30"/>
      <c r="AQ221" s="25"/>
      <c r="AR221" s="30"/>
      <c r="AS221" s="25"/>
      <c r="AT221" s="30"/>
      <c r="AU221" s="25"/>
      <c r="AV221" s="30"/>
      <c r="AW221" s="25"/>
      <c r="AX221" s="30"/>
      <c r="AY221" s="25"/>
      <c r="AZ221" s="30"/>
      <c r="BA221" s="25"/>
      <c r="BB221" s="30"/>
      <c r="BC221" s="25"/>
      <c r="BD221" s="30"/>
      <c r="BE221" s="25"/>
      <c r="BF221" s="30"/>
      <c r="BG221" s="25"/>
      <c r="BH221" s="30"/>
      <c r="BI221" s="25"/>
      <c r="BJ221" s="30"/>
      <c r="BK221" s="25"/>
      <c r="BL221" s="30"/>
      <c r="BM221" s="25"/>
      <c r="BN221" s="30"/>
      <c r="BO221" s="25"/>
      <c r="BP221" s="30"/>
      <c r="BQ221" s="25"/>
      <c r="BR221" s="30"/>
      <c r="BS221" s="25"/>
      <c r="BT221" s="30"/>
      <c r="BU221" s="25"/>
      <c r="BV221" s="30"/>
      <c r="BW221" s="25"/>
      <c r="BX221" s="30"/>
      <c r="BY221" s="25"/>
      <c r="CA221" s="1" t="str">
        <f t="shared" ca="1" si="87"/>
        <v>delete from sscd_mast where sscd_idcd = 'item_path_dvcd_KOR_common'  and site_idcd = 'common';</v>
      </c>
      <c r="CB221" s="5" t="str">
        <f ca="1">IF(E221&lt;&gt;"",CREATE_QUERY($B$1,A$2:AA$2,A221:AA221),"")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('item_path_dvcd_KOR_common', 'KOR', 'common', 'item_path_dvcd', '품목경로구분코드', 'gb', '', '[["1","임의"],["2","수주에"],["의한"],["등록"]]', '1:임의 2:수주에 의한 등록', '', '1=임의|2=수주에 의한 등록', '', '0', '0', '0', '0', 'item_path_dvcd 품목경로구분코드 [["1","임의"],["2","수주에"],["의한"],["등록"]]', ' ', '', '', '', '', '', '', '', '', '');</v>
      </c>
    </row>
    <row r="222" spans="1:80" ht="17">
      <c r="A222" s="3" t="str">
        <f t="shared" ca="1" si="88"/>
        <v>item_make_dvcd_KOR_common</v>
      </c>
      <c r="B222" s="2" t="str">
        <f ca="1">IF(E222="","",OFFSET(B222,-1,0))</f>
        <v>KOR</v>
      </c>
      <c r="C222" s="25" t="str">
        <f t="shared" si="100"/>
        <v>common</v>
      </c>
      <c r="D222" s="25" t="s">
        <v>2825</v>
      </c>
      <c r="E222" s="25" t="s">
        <v>2824</v>
      </c>
      <c r="F222" s="25" t="str">
        <f t="shared" ca="1" si="91"/>
        <v>gb</v>
      </c>
      <c r="G222" s="25"/>
      <c r="H222" s="2" t="str">
        <f t="shared" si="92"/>
        <v>[["1","신제"],["2","수리"],["3","임의생산"]]</v>
      </c>
      <c r="I222" s="2" t="str">
        <f t="shared" si="80"/>
        <v>1:신제 2:수리 3:임의생산</v>
      </c>
      <c r="J222" s="2"/>
      <c r="K222" s="35" t="str">
        <f t="shared" si="81"/>
        <v>1=신제|2=수리|3=임의생산</v>
      </c>
      <c r="L222" s="2"/>
      <c r="M222" s="36" t="str">
        <f t="shared" ca="1" si="93"/>
        <v>0</v>
      </c>
      <c r="N222" s="36" t="str">
        <f t="shared" ca="1" si="94"/>
        <v>0</v>
      </c>
      <c r="O222" s="36" t="str">
        <f t="shared" si="95"/>
        <v>0</v>
      </c>
      <c r="P222" s="36" t="str">
        <f t="shared" si="96"/>
        <v>0</v>
      </c>
      <c r="Q222" s="35" t="str">
        <f t="shared" si="97"/>
        <v>item_make_dvcd 품목제조구분코드 [["1","신제"],["2","수리"],["3","임의생산"]]</v>
      </c>
      <c r="R222" s="2" t="s">
        <v>921</v>
      </c>
      <c r="S222" s="2"/>
      <c r="T222" s="2"/>
      <c r="U222" s="2"/>
      <c r="V222" s="2"/>
      <c r="W222" s="2"/>
      <c r="X222" s="2"/>
      <c r="Y222" s="2"/>
      <c r="Z222" s="2"/>
      <c r="AA222" s="2"/>
      <c r="AB222" s="31" t="s">
        <v>684</v>
      </c>
      <c r="AC222" s="25" t="s">
        <v>3146</v>
      </c>
      <c r="AD222" s="31" t="s">
        <v>685</v>
      </c>
      <c r="AE222" s="25" t="s">
        <v>3147</v>
      </c>
      <c r="AF222" s="31" t="s">
        <v>687</v>
      </c>
      <c r="AG222" s="25" t="s">
        <v>3148</v>
      </c>
      <c r="AH222" s="31"/>
      <c r="AI222" s="25"/>
      <c r="AJ222" s="31"/>
      <c r="AK222" s="25"/>
      <c r="AL222" s="31"/>
      <c r="AM222" s="25"/>
      <c r="AN222" s="30"/>
      <c r="AO222" s="25"/>
      <c r="AP222" s="30"/>
      <c r="AQ222" s="25"/>
      <c r="AR222" s="30"/>
      <c r="AS222" s="25"/>
      <c r="AT222" s="30"/>
      <c r="AU222" s="25"/>
      <c r="AV222" s="30"/>
      <c r="AW222" s="25"/>
      <c r="AX222" s="30"/>
      <c r="AY222" s="25"/>
      <c r="AZ222" s="30"/>
      <c r="BA222" s="25"/>
      <c r="BB222" s="30"/>
      <c r="BC222" s="25"/>
      <c r="BD222" s="30"/>
      <c r="BE222" s="25"/>
      <c r="BF222" s="30"/>
      <c r="BG222" s="25"/>
      <c r="BH222" s="30"/>
      <c r="BI222" s="25"/>
      <c r="BJ222" s="30"/>
      <c r="BK222" s="25"/>
      <c r="BL222" s="30"/>
      <c r="BM222" s="25"/>
      <c r="BN222" s="30"/>
      <c r="BO222" s="25"/>
      <c r="BP222" s="30"/>
      <c r="BQ222" s="25"/>
      <c r="BR222" s="30"/>
      <c r="BS222" s="25"/>
      <c r="BT222" s="30"/>
      <c r="BU222" s="25"/>
      <c r="BV222" s="30"/>
      <c r="BW222" s="25"/>
      <c r="BX222" s="30"/>
      <c r="BY222" s="25"/>
      <c r="CA222" s="1" t="str">
        <f t="shared" ca="1" si="87"/>
        <v>delete from sscd_mast where sscd_idcd = 'item_make_dvcd_KOR_common'  and site_idcd = 'common';</v>
      </c>
      <c r="CB222" s="5" t="str">
        <f ca="1">IF(E222&lt;&gt;"",CREATE_QUERY($B$1,A$2:AA$2,A222:AA222),"")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('item_make_dvcd_KOR_common', 'KOR', 'common', 'item_make_dvcd', '품목제조구분코드', 'gb', '', '[["1","신제"],["2","수리"],["3","임의생산"]]', '1:신제 2:수리 3:임의생산', '', '1=신제|2=수리|3=임의생산', '', '0', '0', '0', '0', 'item_make_dvcd 품목제조구분코드 [["1","신제"],["2","수리"],["3","임의생산"]]', ' ', '', '', '', '', '', '', '', '', '');</v>
      </c>
    </row>
    <row r="223" spans="1:80" ht="17">
      <c r="A223" s="3" t="str">
        <f t="shared" ca="1" si="88"/>
        <v>item_type_dvcd_KOR_common</v>
      </c>
      <c r="B223" s="2" t="str">
        <f ca="1">IF(E223="","",OFFSET(B223,-1,0))</f>
        <v>KOR</v>
      </c>
      <c r="C223" s="25" t="str">
        <f t="shared" si="100"/>
        <v>common</v>
      </c>
      <c r="D223" s="25" t="s">
        <v>2823</v>
      </c>
      <c r="E223" s="25" t="s">
        <v>2822</v>
      </c>
      <c r="F223" s="25" t="str">
        <f t="shared" ca="1" si="91"/>
        <v>gb</v>
      </c>
      <c r="G223" s="25"/>
      <c r="H223" s="2" t="str">
        <f t="shared" si="92"/>
        <v>[["1","컨테이너"],["2","화장실"]]</v>
      </c>
      <c r="I223" s="2" t="str">
        <f t="shared" ref="I223:I265" si="110">IF(AB223="","",AB223&amp;":"&amp;AC223)&amp;
IF(AD223="",""," "&amp;AD223&amp;":"&amp;AE223)&amp;
IF(AF223="",""," "&amp;AF223&amp;":"&amp;AG223)&amp;
IF(AH223="",""," "&amp;AH223&amp;":"&amp;AI223)&amp;
IF(AJ223="",""," "&amp;AJ223&amp;":"&amp;AK223)&amp;
IF(AL223="",""," "&amp;AL223&amp;":"&amp;AM223)&amp;
IF(AN223="",""," "&amp;AN223&amp;":"&amp;AO223)&amp;
IF(AP223="",""," "&amp;AP223&amp;":"&amp;AQ223)&amp;
IF(AR223="",""," "&amp;AR223&amp;":"&amp;AS223)&amp;
IF(AT223="",""," "&amp;AT223&amp;":"&amp;AU223)&amp;
IF(AV223="",""," "&amp;AV223&amp;":"&amp;AW223)&amp;
IF(AX223="",""," "&amp;AX223&amp;":"&amp;AY223)&amp;
IF(AZ223="",""," "&amp;AZ223&amp;":"&amp;BA223)&amp;
IF(BB223="",""," "&amp;BB223&amp;":"&amp;BC223)&amp;
IF(BD223="",""," "&amp;BD223&amp;":"&amp;BE223)&amp;
IF(BF223="",""," "&amp;BF223&amp;":"&amp;BG223)&amp;
IF(BH223="",""," "&amp;BH223&amp;":"&amp;BI223)&amp;
IF(BJ223="",""," "&amp;BJ223&amp;":"&amp;BK223)&amp;
IF(BL223="",""," "&amp;BL223&amp;":"&amp;BM223)&amp;
IF(BN223="",""," "&amp;BN223&amp;":"&amp;BO223)&amp;
IF(BP223="",""," "&amp;BP223&amp;":"&amp;BS223)&amp;
IF(BZ223="",""," "&amp;BZ223&amp;":"&amp;CA223)</f>
        <v>1:컨테이너 2:화장실</v>
      </c>
      <c r="J223" s="2"/>
      <c r="K223" s="35" t="str">
        <f t="shared" si="81"/>
        <v>1=컨테이너|2=화장실</v>
      </c>
      <c r="L223" s="2"/>
      <c r="M223" s="36" t="str">
        <f t="shared" ca="1" si="93"/>
        <v>0</v>
      </c>
      <c r="N223" s="36" t="str">
        <f t="shared" ca="1" si="94"/>
        <v>0</v>
      </c>
      <c r="O223" s="36" t="str">
        <f t="shared" si="95"/>
        <v>0</v>
      </c>
      <c r="P223" s="36" t="str">
        <f t="shared" si="96"/>
        <v>0</v>
      </c>
      <c r="Q223" s="35" t="str">
        <f t="shared" si="97"/>
        <v>item_type_dvcd 품목형태구분코드 [["1","컨테이너"],["2","화장실"]]</v>
      </c>
      <c r="R223" s="2" t="s">
        <v>921</v>
      </c>
      <c r="S223" s="2"/>
      <c r="T223" s="2"/>
      <c r="U223" s="2"/>
      <c r="V223" s="2"/>
      <c r="W223" s="2"/>
      <c r="X223" s="2"/>
      <c r="Y223" s="2"/>
      <c r="Z223" s="2"/>
      <c r="AA223" s="2"/>
      <c r="AB223" s="31" t="s">
        <v>684</v>
      </c>
      <c r="AC223" s="25" t="s">
        <v>2928</v>
      </c>
      <c r="AD223" s="31" t="s">
        <v>685</v>
      </c>
      <c r="AE223" s="25" t="s">
        <v>3149</v>
      </c>
      <c r="AF223" s="31"/>
      <c r="AG223" s="25"/>
      <c r="AH223" s="31"/>
      <c r="AI223" s="25"/>
      <c r="AJ223" s="31"/>
      <c r="AK223" s="25"/>
      <c r="AL223" s="31"/>
      <c r="AM223" s="25"/>
      <c r="AN223" s="30"/>
      <c r="AO223" s="25"/>
      <c r="AP223" s="30"/>
      <c r="AQ223" s="25"/>
      <c r="AR223" s="30"/>
      <c r="AS223" s="25"/>
      <c r="AT223" s="30"/>
      <c r="AU223" s="25"/>
      <c r="AV223" s="30"/>
      <c r="AW223" s="25"/>
      <c r="AX223" s="30"/>
      <c r="AY223" s="25"/>
      <c r="AZ223" s="30"/>
      <c r="BA223" s="25"/>
      <c r="BB223" s="30"/>
      <c r="BC223" s="25"/>
      <c r="BD223" s="30"/>
      <c r="BE223" s="25"/>
      <c r="BF223" s="30"/>
      <c r="BG223" s="25"/>
      <c r="BH223" s="30"/>
      <c r="BI223" s="25"/>
      <c r="BJ223" s="30"/>
      <c r="BK223" s="25"/>
      <c r="BL223" s="30"/>
      <c r="BM223" s="25"/>
      <c r="BN223" s="30"/>
      <c r="BO223" s="25"/>
      <c r="BP223" s="30"/>
      <c r="BQ223" s="25"/>
      <c r="BR223" s="30"/>
      <c r="BS223" s="25"/>
      <c r="BT223" s="30"/>
      <c r="BU223" s="25"/>
      <c r="BV223" s="30"/>
      <c r="BW223" s="25"/>
      <c r="BX223" s="30"/>
      <c r="BY223" s="25"/>
      <c r="CA223" s="1" t="str">
        <f t="shared" ref="CA223:CA265" ca="1" si="111">IF(A223="","","delete from sscd_mast where sscd_idcd = '"&amp;A223&amp;"'  and site_idcd = '"&amp;C223&amp;"';")</f>
        <v>delete from sscd_mast where sscd_idcd = 'item_type_dvcd_KOR_common'  and site_idcd = 'common';</v>
      </c>
      <c r="CB223" s="5" t="str">
        <f ca="1">IF(E223&lt;&gt;"",CREATE_QUERY($B$1,A$2:AA$2,A223:AA223),"")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('item_type_dvcd_KOR_common', 'KOR', 'common', 'item_type_dvcd', '품목형태구분코드', 'gb', '', '[["1","컨테이너"],["2","화장실"]]', '1:컨테이너 2:화장실', '', '1=컨테이너|2=화장실', '', '0', '0', '0', '0', 'item_type_dvcd 품목형태구분코드 [["1","컨테이너"],["2","화장실"]]', ' ', '', '', '', '', '', '', '', '', '');</v>
      </c>
    </row>
    <row r="224" spans="1:80" ht="17">
      <c r="A224" s="3" t="str">
        <f t="shared" ca="1" si="88"/>
        <v>prgm_dvcd_KOR_common</v>
      </c>
      <c r="B224" s="2" t="str">
        <f ca="1">IF(E224="","",OFFSET(B224,-1,0))</f>
        <v>KOR</v>
      </c>
      <c r="C224" s="25" t="str">
        <f t="shared" si="100"/>
        <v>common</v>
      </c>
      <c r="D224" s="25" t="s">
        <v>2835</v>
      </c>
      <c r="E224" s="25" t="s">
        <v>2836</v>
      </c>
      <c r="F224" s="25" t="str">
        <f t="shared" ca="1" si="91"/>
        <v>gb</v>
      </c>
      <c r="G224" s="25"/>
      <c r="H224" s="2" t="str">
        <f t="shared" si="92"/>
        <v>[["0000","메뉴"],["0001","관제"],["1000","공통"],["1001","프로젝트"],["1002","기계"],["1003","자동차부품"],["1004","사출"],["1005","주문제작"],["1006","주물"],["1007","볼트금형"],["1008","삿슈"]]</v>
      </c>
      <c r="I224" s="2" t="str">
        <f t="shared" si="110"/>
        <v>0000:메뉴 0001:관제 1000:공통 1001:프로젝트 1002:기계 1003:자동차부품 1004:사출 1005:주문제작 1006:주물 1007:볼트금형 1008:삿슈</v>
      </c>
      <c r="J224" s="2"/>
      <c r="K224" s="35" t="str">
        <f t="shared" ref="K224:K229" si="112">IF(AB224="","",AB224&amp;"="&amp;AC224)&amp;
IF(AD224="","","|"&amp;AD224&amp;"="&amp;AE224)&amp;
IF(AF224="","","|"&amp;AF224&amp;"="&amp;AG224)&amp;
IF(AH224="","","|"&amp;AH224&amp;"="&amp;AI224)&amp;
IF(AJ224="","","|"&amp;AJ224&amp;"="&amp;AK224)&amp;
IF(AL224="","","|"&amp;AL224&amp;"="&amp;AM224)&amp;
IF(AN224="","","|"&amp;AN224&amp;"="&amp;AO224)&amp;
IF(AP224="","","|"&amp;AP224&amp;"="&amp;AQ224)&amp;
IF(AR224="","","|"&amp;AR224&amp;"="&amp;AS224)&amp;
IF(AT224="","","|"&amp;AT224&amp;"="&amp;AU224)&amp;
IF(AV224="","","|"&amp;AV224&amp;"="&amp;AW224)&amp;
IF(AX224="","","|"&amp;AX224&amp;"="&amp;AY224)&amp;
IF(AZ224="","","|"&amp;AZ224&amp;"="&amp;BA224)&amp;
IF(BB224="","","|"&amp;BB224&amp;"="&amp;BC224)&amp;
IF(BD224="","","|"&amp;BD224&amp;"="&amp;BE224)&amp;
IF(BF224="","","|"&amp;BF224&amp;"="&amp;BG224)&amp;
IF(BH224="","","|"&amp;BH224&amp;"="&amp;BI224)&amp;
IF(BJ224="","","|"&amp;BJ224&amp;"="&amp;BK224)&amp;
IF(BL224="","","|"&amp;BL224&amp;"="&amp;BM224)&amp;
IF(BN224="","","|"&amp;BN224&amp;"="&amp;BO224)&amp;
IF(BP224="","","|"&amp;BP224&amp;"="&amp;BQ224)&amp;
IF(BR224="","","|"&amp;BR224&amp;"="&amp;BS224)&amp;
IF(BT224="","","|"&amp;BT224&amp;"="&amp;BU224)&amp;
IF(BV224="","","|"&amp;BV224&amp;"="&amp;BW224)&amp;
IF(BX224="","","|"&amp;BX224&amp;"="&amp;BY224)</f>
        <v>0000=메뉴|0001=관제|1000=공통|1001=프로젝트|1002=기계|1003=자동차부품|1004=사출|1005=주문제작|1006=주물|1007=볼트금형|1008=삿슈</v>
      </c>
      <c r="L224" s="2"/>
      <c r="M224" s="36" t="str">
        <f t="shared" ca="1" si="93"/>
        <v>0</v>
      </c>
      <c r="N224" s="36" t="str">
        <f t="shared" ca="1" si="94"/>
        <v>0</v>
      </c>
      <c r="O224" s="36" t="str">
        <f t="shared" si="95"/>
        <v>0</v>
      </c>
      <c r="P224" s="36" t="str">
        <f t="shared" si="96"/>
        <v>0</v>
      </c>
      <c r="Q224" s="35" t="str">
        <f t="shared" si="97"/>
        <v>prgm_dvcd 프로그램 적용분야 [["0000","메뉴"],["0001","관제"],["1000","공통"],["1001","프로젝트"],["1002","기계"],["1003","자동차부품"],["1004","사출"],["1005","주문제작"],["1006","주물"],["1007","볼트금형"],["1008","삿슈"]]</v>
      </c>
      <c r="R224" s="2" t="s">
        <v>921</v>
      </c>
      <c r="S224" s="2"/>
      <c r="T224" s="2"/>
      <c r="U224" s="2"/>
      <c r="V224" s="2"/>
      <c r="W224" s="2"/>
      <c r="X224" s="2"/>
      <c r="Y224" s="2"/>
      <c r="Z224" s="2"/>
      <c r="AA224" s="2"/>
      <c r="AB224" s="31" t="s">
        <v>776</v>
      </c>
      <c r="AC224" s="25" t="s">
        <v>2837</v>
      </c>
      <c r="AD224" s="31" t="s">
        <v>2834</v>
      </c>
      <c r="AE224" s="25" t="s">
        <v>2833</v>
      </c>
      <c r="AF224" s="31" t="s">
        <v>591</v>
      </c>
      <c r="AG224" s="25" t="s">
        <v>2826</v>
      </c>
      <c r="AH224" s="31" t="s">
        <v>654</v>
      </c>
      <c r="AI224" s="25" t="s">
        <v>2658</v>
      </c>
      <c r="AJ224" s="31" t="s">
        <v>655</v>
      </c>
      <c r="AK224" s="25" t="s">
        <v>2831</v>
      </c>
      <c r="AL224" s="31" t="s">
        <v>656</v>
      </c>
      <c r="AM224" s="25" t="s">
        <v>2832</v>
      </c>
      <c r="AN224" s="31" t="s">
        <v>657</v>
      </c>
      <c r="AO224" s="25" t="s">
        <v>2439</v>
      </c>
      <c r="AP224" s="31" t="s">
        <v>658</v>
      </c>
      <c r="AQ224" s="25" t="s">
        <v>2830</v>
      </c>
      <c r="AR224" s="31" t="s">
        <v>2497</v>
      </c>
      <c r="AS224" s="25" t="s">
        <v>2827</v>
      </c>
      <c r="AT224" s="31" t="s">
        <v>2498</v>
      </c>
      <c r="AU224" s="25" t="s">
        <v>2828</v>
      </c>
      <c r="AV224" s="31" t="s">
        <v>2499</v>
      </c>
      <c r="AW224" s="25" t="s">
        <v>2829</v>
      </c>
      <c r="AX224" s="30"/>
      <c r="AY224" s="25"/>
      <c r="AZ224" s="30"/>
      <c r="BA224" s="25"/>
      <c r="BB224" s="30"/>
      <c r="BC224" s="25"/>
      <c r="BD224" s="30"/>
      <c r="BE224" s="25"/>
      <c r="BF224" s="30"/>
      <c r="BG224" s="25"/>
      <c r="BH224" s="30"/>
      <c r="BI224" s="25"/>
      <c r="BJ224" s="30"/>
      <c r="BK224" s="25"/>
      <c r="BL224" s="30"/>
      <c r="BM224" s="25"/>
      <c r="BN224" s="30"/>
      <c r="BO224" s="25"/>
      <c r="BP224" s="30"/>
      <c r="BQ224" s="25"/>
      <c r="BR224" s="30"/>
      <c r="BS224" s="25"/>
      <c r="BT224" s="30"/>
      <c r="BU224" s="25"/>
      <c r="BV224" s="30"/>
      <c r="BW224" s="25"/>
      <c r="BX224" s="30"/>
      <c r="BY224" s="25"/>
      <c r="CA224" s="1" t="str">
        <f t="shared" ca="1" si="111"/>
        <v>delete from sscd_mast where sscd_idcd = 'prgm_dvcd_KOR_common'  and site_idcd = 'common';</v>
      </c>
      <c r="CB224" s="5" t="str">
        <f ca="1">IF(E224&lt;&gt;"",CREATE_QUERY($B$1,A$2:AA$2,A224:AA224),"")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('prgm_dvcd_KOR_common', 'KOR', 'common', 'prgm_dvcd', '프로그램 적용분야', 'gb', '', '[["0000","메뉴"],["0001","관제"],["1000","공통"],["1001","프로젝트"],["1002","기계"],["1003","자동차부품"],["1004","사출"],["1005","주문제작"],["1006","주물"],["1007","볼트금형"],["1008","삿슈"]]', '0000:메뉴 0001:관제 1000:공통 1001:프로젝트 1002:기계 1003:자동차부품 1004:사출 1005:주문제작 1006:주물 1007:볼트금형 1008:삿슈', '', '0000=메뉴|0001=관제|1000=공통|1001=프로젝트|1002=기계|1003=자동차부품|1004=사출|1005=주문제작|1006=주물|1007=볼트금형|1008=삿슈', '', '0', '0', '0', '0', 'prgm_dvcd 프로그램 적용분야 [["0000","메뉴"],["0001","관제"],["1000","공통"],["1001","프로젝트"],["1002","기계"],["1003","자동차부품"],["1004","사출"],["1005","주문제작"],["1006","주물"],["1007","볼트금형"],["1008","삿슈"]]', ' ', '', '', '', '', '', '', '', '', '');</v>
      </c>
    </row>
    <row r="225" spans="1:80" ht="17">
      <c r="A225" s="3" t="str">
        <f t="shared" ca="1" si="88"/>
        <v>purc_sale_dvcd_KOR_common</v>
      </c>
      <c r="B225" s="2" t="str">
        <f ca="1">IF(E225="","",OFFSET(B225,-1,0))</f>
        <v>KOR</v>
      </c>
      <c r="C225" s="25" t="str">
        <f t="shared" si="100"/>
        <v>common</v>
      </c>
      <c r="D225" s="25" t="s">
        <v>2838</v>
      </c>
      <c r="E225" s="25" t="s">
        <v>2839</v>
      </c>
      <c r="F225" s="25" t="str">
        <f t="shared" ca="1" si="91"/>
        <v>gb</v>
      </c>
      <c r="G225" s="25"/>
      <c r="H225" s="2" t="str">
        <f t="shared" si="92"/>
        <v>[["1","매입"],["2","매출"],["3","현금영수증"]]</v>
      </c>
      <c r="I225" s="2" t="str">
        <f t="shared" si="110"/>
        <v>1:매입 2:매출 3:현금영수증</v>
      </c>
      <c r="J225" s="2"/>
      <c r="K225" s="35" t="str">
        <f t="shared" si="112"/>
        <v>1=매입|2=매출|3=현금영수증</v>
      </c>
      <c r="L225" s="2"/>
      <c r="M225" s="36" t="str">
        <f t="shared" ca="1" si="93"/>
        <v>0</v>
      </c>
      <c r="N225" s="36" t="str">
        <f t="shared" ca="1" si="94"/>
        <v>0</v>
      </c>
      <c r="O225" s="36" t="str">
        <f t="shared" si="95"/>
        <v>0</v>
      </c>
      <c r="P225" s="36" t="str">
        <f t="shared" si="96"/>
        <v>0</v>
      </c>
      <c r="Q225" s="35" t="str">
        <f t="shared" si="97"/>
        <v>purc_sale_dvcd 매입매출구분코드 [["1","매입"],["2","매출"],["3","현금영수증"]]</v>
      </c>
      <c r="R225" s="2" t="s">
        <v>921</v>
      </c>
      <c r="S225" s="2"/>
      <c r="T225" s="2"/>
      <c r="U225" s="2"/>
      <c r="V225" s="2"/>
      <c r="W225" s="2"/>
      <c r="X225" s="2"/>
      <c r="Y225" s="2"/>
      <c r="Z225" s="2"/>
      <c r="AA225" s="2"/>
      <c r="AB225" s="31" t="s">
        <v>684</v>
      </c>
      <c r="AC225" s="25" t="s">
        <v>2840</v>
      </c>
      <c r="AD225" s="31" t="s">
        <v>685</v>
      </c>
      <c r="AE225" s="25" t="s">
        <v>2811</v>
      </c>
      <c r="AF225" s="31" t="s">
        <v>687</v>
      </c>
      <c r="AG225" s="25" t="s">
        <v>2845</v>
      </c>
      <c r="AH225" s="30"/>
      <c r="AI225" s="25"/>
      <c r="AJ225" s="30"/>
      <c r="AK225" s="25"/>
      <c r="AL225" s="30"/>
      <c r="AM225" s="25"/>
      <c r="AN225" s="30"/>
      <c r="AO225" s="25"/>
      <c r="AP225" s="30"/>
      <c r="AQ225" s="25"/>
      <c r="AR225" s="30"/>
      <c r="AS225" s="25"/>
      <c r="AT225" s="30"/>
      <c r="AU225" s="25"/>
      <c r="AV225" s="30"/>
      <c r="AW225" s="25"/>
      <c r="AX225" s="30"/>
      <c r="AY225" s="25"/>
      <c r="AZ225" s="30"/>
      <c r="BA225" s="25"/>
      <c r="BB225" s="30"/>
      <c r="BC225" s="25"/>
      <c r="BD225" s="30"/>
      <c r="BE225" s="25"/>
      <c r="BF225" s="30"/>
      <c r="BG225" s="25"/>
      <c r="BH225" s="30"/>
      <c r="BI225" s="25"/>
      <c r="BJ225" s="30"/>
      <c r="BK225" s="25"/>
      <c r="BL225" s="30"/>
      <c r="BM225" s="25"/>
      <c r="BN225" s="30"/>
      <c r="BO225" s="25"/>
      <c r="BP225" s="30"/>
      <c r="BQ225" s="25"/>
      <c r="BR225" s="30"/>
      <c r="BS225" s="25"/>
      <c r="BT225" s="30"/>
      <c r="BU225" s="25"/>
      <c r="BV225" s="30"/>
      <c r="BW225" s="25"/>
      <c r="BX225" s="30"/>
      <c r="BY225" s="25"/>
      <c r="CA225" s="1" t="str">
        <f t="shared" ca="1" si="111"/>
        <v>delete from sscd_mast where sscd_idcd = 'purc_sale_dvcd_KOR_common'  and site_idcd = 'common';</v>
      </c>
      <c r="CB225" s="5" t="str">
        <f ca="1">IF(E225&lt;&gt;"",CREATE_QUERY($B$1,A$2:AA$2,A225:AA225),"")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('purc_sale_dvcd_KOR_common', 'KOR', 'common', 'purc_sale_dvcd', '매입매출구분코드', 'gb', '', '[["1","매입"],["2","매출"],["3","현금영수증"]]', '1:매입 2:매출 3:현금영수증', '', '1=매입|2=매출|3=현금영수증', '', '0', '0', '0', '0', 'purc_sale_dvcd 매입매출구분코드 [["1","매입"],["2","매출"],["3","현금영수증"]]', ' ', '', '', '', '', '', '', '', '', '');</v>
      </c>
    </row>
    <row r="226" spans="1:80" ht="15.75" customHeight="1">
      <c r="A226" s="3" t="str">
        <f t="shared" ca="1" si="88"/>
        <v>rqod_rcvd_dvcd_KOR_common</v>
      </c>
      <c r="B226" s="2" t="str">
        <f ca="1">IF(E226="","",OFFSET(B226,-1,0))</f>
        <v>KOR</v>
      </c>
      <c r="C226" s="25" t="str">
        <f t="shared" si="100"/>
        <v>common</v>
      </c>
      <c r="D226" s="25" t="s">
        <v>2842</v>
      </c>
      <c r="E226" s="25" t="s">
        <v>2841</v>
      </c>
      <c r="F226" s="25" t="str">
        <f t="shared" ca="1" si="91"/>
        <v>gb</v>
      </c>
      <c r="G226" s="25"/>
      <c r="H226" s="2" t="str">
        <f t="shared" si="92"/>
        <v>[["1","청구"],["2","영수"]]</v>
      </c>
      <c r="I226" s="2" t="str">
        <f>IF(AB226="","",AB226&amp;":"&amp;AE226)&amp;
IF(AD226="",""," "&amp;AD226&amp;":"&amp;AC226)&amp;
IF(AF226="",""," "&amp;AF226&amp;":"&amp;#REF!)&amp;
IF(AH226="",""," "&amp;AH226&amp;":"&amp;AI226)&amp;
IF(AJ226="",""," "&amp;AJ226&amp;":"&amp;AK226)&amp;
IF(AL226="",""," "&amp;AL226&amp;":"&amp;AM226)&amp;
IF(AN226="",""," "&amp;AN226&amp;":"&amp;AO226)&amp;
IF(AP226="",""," "&amp;AP226&amp;":"&amp;AQ226)&amp;
IF(AR226="",""," "&amp;AR226&amp;":"&amp;AS226)&amp;
IF(AT226="",""," "&amp;AT226&amp;":"&amp;AU226)&amp;
IF(AV226="",""," "&amp;AV226&amp;":"&amp;AW226)&amp;
IF(AX226="",""," "&amp;AX226&amp;":"&amp;AY226)&amp;
IF(AZ226="",""," "&amp;AZ226&amp;":"&amp;BA226)&amp;
IF(BB226="",""," "&amp;BB226&amp;":"&amp;BC226)&amp;
IF(BD226="",""," "&amp;BD226&amp;":"&amp;BE226)&amp;
IF(BF226="",""," "&amp;BF226&amp;":"&amp;BG226)&amp;
IF(BH226="",""," "&amp;BH226&amp;":"&amp;BI226)&amp;
IF(BJ226="",""," "&amp;BJ226&amp;":"&amp;BK226)&amp;
IF(BL226="",""," "&amp;BL226&amp;":"&amp;BM226)&amp;
IF(BN226="",""," "&amp;BN226&amp;":"&amp;BO226)&amp;
IF(BP226="",""," "&amp;BP226&amp;":"&amp;BS226)&amp;
IF(BZ226="",""," "&amp;BZ226&amp;":"&amp;CA226)</f>
        <v>1:청구 2:영수</v>
      </c>
      <c r="J226" s="2"/>
      <c r="K226" s="35" t="str">
        <f>IF(AB226="","",AB226&amp;"="&amp;AE226)&amp;
IF(AD226="","","|"&amp;AD226&amp;"="&amp;AC226)&amp;
IF(AF226="","","|"&amp;AF226&amp;"="&amp;#REF!)&amp;
IF(AH226="","","|"&amp;AH226&amp;"="&amp;AI226)&amp;
IF(AJ226="","","|"&amp;AJ226&amp;"="&amp;AK226)&amp;
IF(AL226="","","|"&amp;AL226&amp;"="&amp;AM226)&amp;
IF(AN226="","","|"&amp;AN226&amp;"="&amp;AO226)&amp;
IF(AP226="","","|"&amp;AP226&amp;"="&amp;AQ226)&amp;
IF(AR226="","","|"&amp;AR226&amp;"="&amp;AS226)&amp;
IF(AT226="","","|"&amp;AT226&amp;"="&amp;AU226)&amp;
IF(AV226="","","|"&amp;AV226&amp;"="&amp;AW226)&amp;
IF(AX226="","","|"&amp;AX226&amp;"="&amp;AY226)&amp;
IF(AZ226="","","|"&amp;AZ226&amp;"="&amp;BA226)&amp;
IF(BB226="","","|"&amp;BB226&amp;"="&amp;BC226)&amp;
IF(BD226="","","|"&amp;BD226&amp;"="&amp;BE226)&amp;
IF(BF226="","","|"&amp;BF226&amp;"="&amp;BG226)&amp;
IF(BH226="","","|"&amp;BH226&amp;"="&amp;BI226)&amp;
IF(BJ226="","","|"&amp;BJ226&amp;"="&amp;BK226)&amp;
IF(BL226="","","|"&amp;BL226&amp;"="&amp;BM226)&amp;
IF(BN226="","","|"&amp;BN226&amp;"="&amp;BO226)&amp;
IF(BP226="","","|"&amp;BP226&amp;"="&amp;BQ226)&amp;
IF(BR226="","","|"&amp;BR226&amp;"="&amp;BS226)&amp;
IF(BT226="","","|"&amp;BT226&amp;"="&amp;BU226)&amp;
IF(BV226="","","|"&amp;BV226&amp;"="&amp;BW226)&amp;
IF(BX226="","","|"&amp;BX226&amp;"="&amp;BY226)</f>
        <v>1=청구|2=영수</v>
      </c>
      <c r="L226" s="2"/>
      <c r="M226" s="36" t="str">
        <f t="shared" ca="1" si="93"/>
        <v>0</v>
      </c>
      <c r="N226" s="36" t="str">
        <f t="shared" ca="1" si="94"/>
        <v>0</v>
      </c>
      <c r="O226" s="36" t="str">
        <f t="shared" si="95"/>
        <v>0</v>
      </c>
      <c r="P226" s="36" t="str">
        <f t="shared" si="96"/>
        <v>0</v>
      </c>
      <c r="Q226" s="35" t="str">
        <f t="shared" si="97"/>
        <v>rqod_rcvd_dvcd 청구영수구분코드 [["1","청구"],["2","영수"]]</v>
      </c>
      <c r="R226" s="2" t="s">
        <v>921</v>
      </c>
      <c r="S226" s="2"/>
      <c r="T226" s="2"/>
      <c r="U226" s="2"/>
      <c r="V226" s="2"/>
      <c r="W226" s="2"/>
      <c r="X226" s="2"/>
      <c r="Y226" s="2"/>
      <c r="Z226" s="2"/>
      <c r="AA226" s="2"/>
      <c r="AB226" s="31" t="s">
        <v>684</v>
      </c>
      <c r="AC226" s="25" t="s">
        <v>2844</v>
      </c>
      <c r="AD226" s="31" t="s">
        <v>685</v>
      </c>
      <c r="AE226" s="25" t="s">
        <v>2843</v>
      </c>
      <c r="AF226" s="30"/>
      <c r="AH226" s="30"/>
      <c r="AI226" s="25"/>
      <c r="AJ226" s="30"/>
      <c r="AK226" s="25"/>
      <c r="AL226" s="30"/>
      <c r="AM226" s="25"/>
      <c r="AN226" s="30"/>
      <c r="AO226" s="25"/>
      <c r="AP226" s="30"/>
      <c r="AQ226" s="25"/>
      <c r="AR226" s="30"/>
      <c r="AS226" s="25"/>
      <c r="AT226" s="30"/>
      <c r="AU226" s="25"/>
      <c r="AV226" s="30"/>
      <c r="AW226" s="25"/>
      <c r="AX226" s="30"/>
      <c r="AY226" s="25"/>
      <c r="AZ226" s="30"/>
      <c r="BA226" s="25"/>
      <c r="BB226" s="30"/>
      <c r="BC226" s="25"/>
      <c r="BD226" s="30"/>
      <c r="BE226" s="25"/>
      <c r="BF226" s="30"/>
      <c r="BG226" s="25"/>
      <c r="BH226" s="30"/>
      <c r="BI226" s="25"/>
      <c r="BJ226" s="30"/>
      <c r="BK226" s="25"/>
      <c r="BL226" s="30"/>
      <c r="BM226" s="25"/>
      <c r="BN226" s="30"/>
      <c r="BO226" s="25"/>
      <c r="BP226" s="30"/>
      <c r="BQ226" s="25"/>
      <c r="BR226" s="30"/>
      <c r="BS226" s="25"/>
      <c r="BT226" s="30"/>
      <c r="BU226" s="25"/>
      <c r="BV226" s="30"/>
      <c r="BW226" s="25"/>
      <c r="BX226" s="30"/>
      <c r="BY226" s="25"/>
      <c r="CA226" s="1" t="str">
        <f t="shared" ca="1" si="111"/>
        <v>delete from sscd_mast where sscd_idcd = 'rqod_rcvd_dvcd_KOR_common'  and site_idcd = 'common';</v>
      </c>
      <c r="CB226" s="5" t="str">
        <f ca="1">IF(E226&lt;&gt;"",CREATE_QUERY($B$1,A$2:AA$2,A226:AA226),"")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('rqod_rcvd_dvcd_KOR_common', 'KOR', 'common', 'rqod_rcvd_dvcd', '청구영수구분코드', 'gb', '', '[["1","청구"],["2","영수"]]', '1:청구 2:영수', '', '1=청구|2=영수', '', '0', '0', '0', '0', 'rqod_rcvd_dvcd 청구영수구분코드 [["1","청구"],["2","영수"]]', ' ', '', '', '', '', '', '', '', '', '');</v>
      </c>
    </row>
    <row r="227" spans="1:80" ht="17">
      <c r="A227" s="3" t="str">
        <f t="shared" ref="A227:A234" ca="1" si="113">IF(D227="","",D227&amp;"_"&amp;B227&amp;"_"&amp;C227)</f>
        <v>txbl_path_dvcd_KOR_common</v>
      </c>
      <c r="B227" s="2" t="str">
        <f t="shared" ref="B227:B234" ca="1" si="114">IF(E227="","",OFFSET(B227,-1,0))</f>
        <v>KOR</v>
      </c>
      <c r="C227" s="25" t="str">
        <f t="shared" si="100"/>
        <v>common</v>
      </c>
      <c r="D227" s="25" t="s">
        <v>2846</v>
      </c>
      <c r="E227" s="25" t="s">
        <v>2847</v>
      </c>
      <c r="F227" s="25" t="str">
        <f t="shared" ca="1" si="91"/>
        <v>gb</v>
      </c>
      <c r="G227" s="25"/>
      <c r="H227" s="2" t="str">
        <f t="shared" si="92"/>
        <v>[["11","원단매입"],["12","상품매입"],["13","기타매입"],["14","부자재매입"],["15","외주매입"],["21","제품매출"],["22","상품매출"],["23","기타매출"]]</v>
      </c>
      <c r="I227" s="2" t="str">
        <f t="shared" si="110"/>
        <v>11:원단매입 12:상품매입 13:기타매입 14:부자재매입 15:외주매입 21:제품매출 22:상품매출 23:기타매출</v>
      </c>
      <c r="J227" s="2"/>
      <c r="K227" s="35" t="str">
        <f t="shared" si="112"/>
        <v>11=원단매입|12=상품매입|13=기타매입|14=부자재매입|15=외주매입|21=제품매출|22=상품매출|23=기타매출</v>
      </c>
      <c r="L227" s="2"/>
      <c r="M227" s="36" t="str">
        <f t="shared" ca="1" si="93"/>
        <v>0</v>
      </c>
      <c r="N227" s="36" t="str">
        <f t="shared" ca="1" si="94"/>
        <v>0</v>
      </c>
      <c r="O227" s="36" t="str">
        <f t="shared" si="95"/>
        <v>0</v>
      </c>
      <c r="P227" s="36" t="str">
        <f t="shared" si="96"/>
        <v>0</v>
      </c>
      <c r="Q227" s="35" t="str">
        <f t="shared" si="97"/>
        <v>txbl_path_dvcd 세금계산서발행경로구분코드 [["11","원단매입"],["12","상품매입"],["13","기타매입"],["14","부자재매입"],["15","외주매입"],["21","제품매출"],["22","상품매출"],["23","기타매출"]]</v>
      </c>
      <c r="R227" s="2" t="s">
        <v>921</v>
      </c>
      <c r="S227" s="2"/>
      <c r="T227" s="2"/>
      <c r="U227" s="2"/>
      <c r="V227" s="2"/>
      <c r="W227" s="2"/>
      <c r="X227" s="2"/>
      <c r="Y227" s="2"/>
      <c r="Z227" s="2"/>
      <c r="AA227" s="2"/>
      <c r="AB227" s="31" t="s">
        <v>2618</v>
      </c>
      <c r="AC227" s="25" t="s">
        <v>2848</v>
      </c>
      <c r="AD227" s="31" t="s">
        <v>2619</v>
      </c>
      <c r="AE227" s="25" t="s">
        <v>2851</v>
      </c>
      <c r="AF227" s="31" t="s">
        <v>2852</v>
      </c>
      <c r="AG227" s="25" t="s">
        <v>2849</v>
      </c>
      <c r="AH227" s="31" t="s">
        <v>2920</v>
      </c>
      <c r="AI227" s="25" t="s">
        <v>2921</v>
      </c>
      <c r="AJ227" s="31" t="s">
        <v>2931</v>
      </c>
      <c r="AK227" s="25" t="s">
        <v>2419</v>
      </c>
      <c r="AL227" s="31" t="s">
        <v>2850</v>
      </c>
      <c r="AM227" s="25" t="s">
        <v>2856</v>
      </c>
      <c r="AN227" s="31" t="s">
        <v>2853</v>
      </c>
      <c r="AO227" s="25" t="s">
        <v>2857</v>
      </c>
      <c r="AP227" s="31" t="s">
        <v>2854</v>
      </c>
      <c r="AQ227" s="25" t="s">
        <v>2855</v>
      </c>
      <c r="AR227" s="30"/>
      <c r="AS227" s="25"/>
      <c r="AT227" s="30"/>
      <c r="AU227" s="25"/>
      <c r="AV227" s="30"/>
      <c r="AW227" s="25"/>
      <c r="AX227" s="30"/>
      <c r="AY227" s="25"/>
      <c r="AZ227" s="30"/>
      <c r="BA227" s="25"/>
      <c r="BB227" s="30"/>
      <c r="BC227" s="25"/>
      <c r="BD227" s="30"/>
      <c r="BE227" s="25"/>
      <c r="BF227" s="30"/>
      <c r="BG227" s="25"/>
      <c r="BH227" s="30"/>
      <c r="BI227" s="25"/>
      <c r="BJ227" s="30"/>
      <c r="BK227" s="25"/>
      <c r="BL227" s="30"/>
      <c r="BM227" s="25"/>
      <c r="BN227" s="30"/>
      <c r="BO227" s="25"/>
      <c r="BP227" s="30"/>
      <c r="BQ227" s="25"/>
      <c r="BR227" s="30"/>
      <c r="BS227" s="25"/>
      <c r="BT227" s="30"/>
      <c r="BU227" s="25"/>
      <c r="BV227" s="30"/>
      <c r="BW227" s="25"/>
      <c r="BX227" s="30"/>
      <c r="BY227" s="25"/>
      <c r="CA227" s="1" t="str">
        <f t="shared" ca="1" si="111"/>
        <v>delete from sscd_mast where sscd_idcd = 'txbl_path_dvcd_KOR_common'  and site_idcd = 'common';</v>
      </c>
      <c r="CB227" s="5" t="str">
        <f ca="1">IF(E227&lt;&gt;"",CREATE_QUERY($B$1,A$2:AA$2,A227:AA227),"")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('txbl_path_dvcd_KOR_common', 'KOR', 'common', 'txbl_path_dvcd', '세금계산서발행경로구분코드', 'gb', '', '[["11","원단매입"],["12","상품매입"],["13","기타매입"],["14","부자재매입"],["15","외주매입"],["21","제품매출"],["22","상품매출"],["23","기타매출"]]', '11:원단매입 12:상품매입 13:기타매입 14:부자재매입 15:외주매입 21:제품매출 22:상품매출 23:기타매출', '', '11=원단매입|12=상품매입|13=기타매입|14=부자재매입|15=외주매입|21=제품매출|22=상품매출|23=기타매출', '', '0', '0', '0', '0', 'txbl_path_dvcd 세금계산서발행경로구분코드 [["11","원단매입"],["12","상품매입"],["13","기타매입"],["14","부자재매입"],["15","외주매입"],["21","제품매출"],["22","상품매출"],["23","기타매출"]]', ' ', '', '', '', '', '', '', '', '', '');</v>
      </c>
    </row>
    <row r="228" spans="1:80" ht="17">
      <c r="A228" s="3" t="str">
        <f t="shared" ca="1" si="113"/>
        <v>bond_dvcd_KOR_common</v>
      </c>
      <c r="B228" s="2" t="str">
        <f t="shared" ca="1" si="114"/>
        <v>KOR</v>
      </c>
      <c r="C228" s="25" t="str">
        <f t="shared" si="100"/>
        <v>common</v>
      </c>
      <c r="D228" s="25" t="s">
        <v>2860</v>
      </c>
      <c r="E228" s="25" t="s">
        <v>2861</v>
      </c>
      <c r="F228" s="25" t="str">
        <f t="shared" ca="1" si="91"/>
        <v>gb</v>
      </c>
      <c r="G228" s="25"/>
      <c r="H228" s="2" t="str">
        <f t="shared" si="92"/>
        <v>[["1","매출채권"],["2","매입채무"]]</v>
      </c>
      <c r="I228" s="2" t="str">
        <f t="shared" si="110"/>
        <v>1:매출채권 2:매입채무</v>
      </c>
      <c r="J228" s="2"/>
      <c r="K228" s="35" t="str">
        <f t="shared" si="112"/>
        <v>1=매출채권|2=매입채무</v>
      </c>
      <c r="L228" s="2"/>
      <c r="M228" s="36" t="str">
        <f t="shared" ca="1" si="93"/>
        <v>0</v>
      </c>
      <c r="N228" s="36" t="str">
        <f t="shared" ca="1" si="94"/>
        <v>0</v>
      </c>
      <c r="O228" s="36" t="str">
        <f t="shared" si="95"/>
        <v>0</v>
      </c>
      <c r="P228" s="36" t="str">
        <f t="shared" si="96"/>
        <v>0</v>
      </c>
      <c r="Q228" s="35" t="str">
        <f t="shared" si="97"/>
        <v>bond_dvcd 채권채무구분코드 [["1","매출채권"],["2","매입채무"]]</v>
      </c>
      <c r="R228" s="2" t="s">
        <v>921</v>
      </c>
      <c r="S228" s="2"/>
      <c r="T228" s="2"/>
      <c r="U228" s="2"/>
      <c r="V228" s="2"/>
      <c r="W228" s="2"/>
      <c r="X228" s="2"/>
      <c r="Y228" s="2"/>
      <c r="Z228" s="2"/>
      <c r="AA228" s="2"/>
      <c r="AB228" s="31" t="s">
        <v>684</v>
      </c>
      <c r="AC228" s="25" t="s">
        <v>2862</v>
      </c>
      <c r="AD228" s="31" t="s">
        <v>685</v>
      </c>
      <c r="AE228" s="25" t="s">
        <v>2863</v>
      </c>
      <c r="AF228" s="30"/>
      <c r="AG228" s="25"/>
      <c r="AH228" s="30"/>
      <c r="AI228" s="25"/>
      <c r="AJ228" s="30"/>
      <c r="AK228" s="25"/>
      <c r="AL228" s="30"/>
      <c r="AM228" s="25"/>
      <c r="AN228" s="30"/>
      <c r="AO228" s="25"/>
      <c r="AP228" s="30"/>
      <c r="AQ228" s="25"/>
      <c r="AR228" s="30"/>
      <c r="AS228" s="25"/>
      <c r="AT228" s="30"/>
      <c r="AU228" s="25"/>
      <c r="AV228" s="30"/>
      <c r="AW228" s="25"/>
      <c r="AX228" s="30"/>
      <c r="AY228" s="25"/>
      <c r="AZ228" s="30"/>
      <c r="BA228" s="25"/>
      <c r="BB228" s="30"/>
      <c r="BC228" s="25"/>
      <c r="BD228" s="30"/>
      <c r="BE228" s="25"/>
      <c r="BF228" s="30"/>
      <c r="BG228" s="25"/>
      <c r="BH228" s="30"/>
      <c r="BI228" s="25"/>
      <c r="BJ228" s="30"/>
      <c r="BK228" s="25"/>
      <c r="BL228" s="30"/>
      <c r="BM228" s="25"/>
      <c r="BN228" s="30"/>
      <c r="BO228" s="25"/>
      <c r="BP228" s="30"/>
      <c r="BQ228" s="25"/>
      <c r="BR228" s="30"/>
      <c r="BS228" s="25"/>
      <c r="BT228" s="30"/>
      <c r="BU228" s="25"/>
      <c r="BV228" s="30"/>
      <c r="BW228" s="25"/>
      <c r="BX228" s="30"/>
      <c r="BY228" s="25"/>
      <c r="CA228" s="1" t="str">
        <f t="shared" ca="1" si="111"/>
        <v>delete from sscd_mast where sscd_idcd = 'bond_dvcd_KOR_common'  and site_idcd = 'common';</v>
      </c>
      <c r="CB228" s="5" t="str">
        <f ca="1">IF(E228&lt;&gt;"",CREATE_QUERY($B$1,A$2:AA$2,A228:AA228),"")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('bond_dvcd_KOR_common', 'KOR', 'common', 'bond_dvcd', '채권채무구분코드', 'gb', '', '[["1","매출채권"],["2","매입채무"]]', '1:매출채권 2:매입채무', '', '1=매출채권|2=매입채무', '', '0', '0', '0', '0', 'bond_dvcd 채권채무구분코드 [["1","매출채권"],["2","매입채무"]]', ' ', '', '', '', '', '', '', '', '', '');</v>
      </c>
    </row>
    <row r="229" spans="1:80" ht="17">
      <c r="A229" s="3" t="str">
        <f t="shared" ca="1" si="113"/>
        <v>mtrl_clss_dvcd_KOR_common</v>
      </c>
      <c r="B229" s="2" t="str">
        <f t="shared" ca="1" si="114"/>
        <v>KOR</v>
      </c>
      <c r="C229" s="25" t="str">
        <f t="shared" si="100"/>
        <v>common</v>
      </c>
      <c r="D229" s="25" t="s">
        <v>2874</v>
      </c>
      <c r="E229" s="25" t="s">
        <v>2875</v>
      </c>
      <c r="F229" s="25" t="str">
        <f t="shared" ca="1" si="91"/>
        <v>gb</v>
      </c>
      <c r="G229" s="25"/>
      <c r="H229" s="2" t="str">
        <f t="shared" si="92"/>
        <v>[["1","철재"],["2","내장재"],["3","부속자재"]]</v>
      </c>
      <c r="I229" s="2" t="str">
        <f t="shared" si="110"/>
        <v>1:철재 2:내장재 3:부속자재</v>
      </c>
      <c r="J229" s="2"/>
      <c r="K229" s="35" t="str">
        <f t="shared" si="112"/>
        <v>1=철재|2=내장재|3=부속자재</v>
      </c>
      <c r="L229" s="2"/>
      <c r="M229" s="36" t="str">
        <f t="shared" ca="1" si="93"/>
        <v>0</v>
      </c>
      <c r="N229" s="36" t="str">
        <f t="shared" ca="1" si="94"/>
        <v>0</v>
      </c>
      <c r="O229" s="36" t="str">
        <f t="shared" si="95"/>
        <v>0</v>
      </c>
      <c r="P229" s="36" t="str">
        <f t="shared" si="96"/>
        <v>0</v>
      </c>
      <c r="Q229" s="35" t="str">
        <f t="shared" si="97"/>
        <v>mtrl_clss_dvcd 자재분류구분코드 [["1","철재"],["2","내장재"],["3","부속자재"]]</v>
      </c>
      <c r="R229" s="2" t="s">
        <v>921</v>
      </c>
      <c r="S229" s="2"/>
      <c r="T229" s="2"/>
      <c r="U229" s="2"/>
      <c r="V229" s="2"/>
      <c r="W229" s="2"/>
      <c r="X229" s="2"/>
      <c r="Y229" s="2"/>
      <c r="Z229" s="2"/>
      <c r="AA229" s="2"/>
      <c r="AB229" s="31" t="s">
        <v>684</v>
      </c>
      <c r="AC229" s="25" t="s">
        <v>3177</v>
      </c>
      <c r="AD229" s="31" t="s">
        <v>685</v>
      </c>
      <c r="AE229" s="25" t="s">
        <v>3178</v>
      </c>
      <c r="AF229" s="31" t="s">
        <v>687</v>
      </c>
      <c r="AG229" s="25" t="s">
        <v>2859</v>
      </c>
      <c r="AH229" s="30"/>
      <c r="AI229" s="25"/>
      <c r="AJ229" s="30"/>
      <c r="AK229" s="25"/>
      <c r="AL229" s="30"/>
      <c r="AM229" s="25"/>
      <c r="AN229" s="30"/>
      <c r="AO229" s="25"/>
      <c r="AP229" s="30"/>
      <c r="AQ229" s="25"/>
      <c r="AR229" s="30"/>
      <c r="AS229" s="25"/>
      <c r="AT229" s="30"/>
      <c r="AU229" s="25"/>
      <c r="AV229" s="30"/>
      <c r="AW229" s="25"/>
      <c r="AX229" s="30"/>
      <c r="AY229" s="25"/>
      <c r="AZ229" s="30"/>
      <c r="BA229" s="25"/>
      <c r="BB229" s="30"/>
      <c r="BC229" s="25"/>
      <c r="BD229" s="30"/>
      <c r="BE229" s="25"/>
      <c r="BF229" s="30"/>
      <c r="BG229" s="25"/>
      <c r="BH229" s="30"/>
      <c r="BI229" s="25"/>
      <c r="BJ229" s="30"/>
      <c r="BK229" s="25"/>
      <c r="BL229" s="30"/>
      <c r="BM229" s="25"/>
      <c r="BN229" s="30"/>
      <c r="BO229" s="25"/>
      <c r="BP229" s="30"/>
      <c r="BQ229" s="25"/>
      <c r="BR229" s="30"/>
      <c r="BS229" s="25"/>
      <c r="BT229" s="30"/>
      <c r="BU229" s="25"/>
      <c r="BV229" s="30"/>
      <c r="BW229" s="25"/>
      <c r="BX229" s="30"/>
      <c r="BY229" s="25"/>
      <c r="CA229" s="1" t="str">
        <f t="shared" ca="1" si="111"/>
        <v>delete from sscd_mast where sscd_idcd = 'mtrl_clss_dvcd_KOR_common'  and site_idcd = 'common';</v>
      </c>
      <c r="CB229" s="5" t="str">
        <f ca="1">IF(E229&lt;&gt;"",CREATE_QUERY($B$1,A$2:AA$2,A229:AA229),"")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('mtrl_clss_dvcd_KOR_common', 'KOR', 'common', 'mtrl_clss_dvcd', '자재분류구분코드', 'gb', '', '[["1","철재"],["2","내장재"],["3","부속자재"]]', '1:철재 2:내장재 3:부속자재', '', '1=철재|2=내장재|3=부속자재', '', '0', '0', '0', '0', 'mtrl_clss_dvcd 자재분류구분코드 [["1","철재"],["2","내장재"],["3","부속자재"]]', ' ', '', '', '', '', '', '', '', '', '');</v>
      </c>
    </row>
    <row r="230" spans="1:80" ht="17">
      <c r="A230" s="3" t="str">
        <f t="shared" ca="1" si="113"/>
        <v>asmt_dvcd_KOR_common</v>
      </c>
      <c r="B230" s="2" t="str">
        <f t="shared" ca="1" si="114"/>
        <v>KOR</v>
      </c>
      <c r="C230" s="25" t="str">
        <f t="shared" si="100"/>
        <v>common</v>
      </c>
      <c r="D230" s="25" t="s">
        <v>2888</v>
      </c>
      <c r="E230" s="25" t="s">
        <v>2889</v>
      </c>
      <c r="F230" s="25" t="str">
        <f t="shared" ca="1" si="91"/>
        <v>gb</v>
      </c>
      <c r="G230" s="25"/>
      <c r="H230" s="2" t="str">
        <f t="shared" si="92"/>
        <v>[["01","공통"],["02","목재"],["03","수지"],["04","필름"],["05","접착제"],["06","방수제"],["08","기타"],["09","소모품"]]</v>
      </c>
      <c r="I230" s="2" t="str">
        <f t="shared" si="110"/>
        <v>01:공통 02:목재 03:수지 04:필름 05:접착제 06:방수제 08:기타 09:소모품</v>
      </c>
      <c r="J230" s="2"/>
      <c r="K230" s="2" t="str">
        <f t="shared" ref="K230:K244" si="115">IF(AB230="","",AB230&amp;"="&amp;AC230)&amp;
IF(AD230="","","|"&amp;AD230&amp;"="&amp;AE230)&amp;
IF(AF230="","","|"&amp;AF230&amp;"="&amp;AG230)&amp;
IF(AH230="","","|"&amp;AH230&amp;"="&amp;AI230)&amp;
IF(AJ230="","","|"&amp;AJ230&amp;"="&amp;AK230)&amp;
IF(AL230="","","|"&amp;AL230&amp;"="&amp;AM230)&amp;
IF(AN230="","","|"&amp;AN230&amp;"="&amp;AO230)&amp;
IF(AP230="","","|"&amp;AP230&amp;"="&amp;AQ230)&amp;
IF(AR230="","","|"&amp;AR230&amp;"="&amp;AS230)&amp;
IF(AT230="","","|"&amp;AT230&amp;"="&amp;AU230)&amp;
IF(AV230="","","|"&amp;AV230&amp;"="&amp;AW230)&amp;
IF(AX230="","","|"&amp;AX230&amp;"="&amp;AY230)&amp;
IF(AZ230="","","|"&amp;AZ230&amp;"="&amp;BA230)&amp;
IF(BB230="","","|"&amp;BB230&amp;"="&amp;BC230)&amp;
IF(BD230="","","|"&amp;BD230&amp;"="&amp;BE230)&amp;
IF(BF230="","","|"&amp;BF230&amp;"="&amp;BG230)&amp;
IF(BH230="","","|"&amp;BH230&amp;"="&amp;BI230)&amp;
IF(BJ230="","","|"&amp;BJ230&amp;"="&amp;BK230)&amp;
IF(BL230="","","|"&amp;BL230&amp;"="&amp;BM230)&amp;
IF(BN230="","","|"&amp;BN230&amp;"="&amp;BO230)&amp;
IF(BP230="","","|"&amp;BP230&amp;"="&amp;BS230)&amp;
IF(BZ230="","","|"&amp;BZ230&amp;"="&amp;CA230)</f>
        <v>01=공통|02=목재|03=수지|04=필름|05=접착제|06=방수제|08=기타|09=소모품</v>
      </c>
      <c r="L230" s="2"/>
      <c r="M230" s="36" t="str">
        <f t="shared" ca="1" si="93"/>
        <v>0</v>
      </c>
      <c r="N230" s="36" t="str">
        <f t="shared" ca="1" si="94"/>
        <v>0</v>
      </c>
      <c r="O230" s="36" t="str">
        <f t="shared" si="95"/>
        <v>0</v>
      </c>
      <c r="P230" s="36" t="str">
        <f t="shared" si="96"/>
        <v>0</v>
      </c>
      <c r="Q230" s="35" t="str">
        <f t="shared" si="97"/>
        <v>asmt_dvcd 부자재구분코드 [["01","공통"],["02","목재"],["03","수지"],["04","필름"],["05","접착제"],["06","방수제"],["08","기타"],["09","소모품"]]</v>
      </c>
      <c r="R230" s="2" t="s">
        <v>921</v>
      </c>
      <c r="S230" s="2"/>
      <c r="T230" s="2"/>
      <c r="U230" s="2"/>
      <c r="V230" s="2"/>
      <c r="W230" s="2"/>
      <c r="X230" s="2"/>
      <c r="Y230" s="2"/>
      <c r="Z230" s="2"/>
      <c r="AA230" s="2"/>
      <c r="AB230" s="31" t="s">
        <v>2608</v>
      </c>
      <c r="AC230" s="25" t="s">
        <v>2826</v>
      </c>
      <c r="AD230" s="31" t="s">
        <v>2609</v>
      </c>
      <c r="AE230" s="25" t="s">
        <v>3179</v>
      </c>
      <c r="AF230" s="31" t="s">
        <v>2611</v>
      </c>
      <c r="AG230" s="25" t="s">
        <v>2890</v>
      </c>
      <c r="AH230" s="31" t="s">
        <v>2612</v>
      </c>
      <c r="AI230" s="25" t="s">
        <v>2821</v>
      </c>
      <c r="AJ230" s="31" t="s">
        <v>2613</v>
      </c>
      <c r="AK230" s="25" t="s">
        <v>2891</v>
      </c>
      <c r="AL230" s="31" t="s">
        <v>2614</v>
      </c>
      <c r="AM230" s="25" t="s">
        <v>2892</v>
      </c>
      <c r="AN230" s="31" t="s">
        <v>2616</v>
      </c>
      <c r="AO230" s="25" t="s">
        <v>612</v>
      </c>
      <c r="AP230" s="31" t="s">
        <v>2617</v>
      </c>
      <c r="AQ230" s="25" t="s">
        <v>1453</v>
      </c>
      <c r="AR230" s="31"/>
      <c r="AS230" s="25"/>
      <c r="AT230" s="31"/>
      <c r="AU230" s="25"/>
      <c r="AV230" s="30"/>
      <c r="AW230" s="25"/>
      <c r="AX230" s="30"/>
      <c r="AY230" s="25"/>
      <c r="AZ230" s="30"/>
      <c r="BA230" s="25"/>
      <c r="BB230" s="30"/>
      <c r="BC230" s="25"/>
      <c r="BD230" s="30"/>
      <c r="BE230" s="25"/>
      <c r="BF230" s="30"/>
      <c r="BG230" s="25"/>
      <c r="BH230" s="30"/>
      <c r="BI230" s="25"/>
      <c r="BJ230" s="30"/>
      <c r="BK230" s="25"/>
      <c r="BL230" s="30"/>
      <c r="BM230" s="25"/>
      <c r="BN230" s="30"/>
      <c r="BO230" s="25"/>
      <c r="BP230" s="30"/>
      <c r="BQ230" s="25"/>
      <c r="BR230" s="30"/>
      <c r="BS230" s="25"/>
      <c r="BT230" s="30"/>
      <c r="BU230" s="25"/>
      <c r="BV230" s="30"/>
      <c r="BW230" s="25"/>
      <c r="BX230" s="30"/>
      <c r="BY230" s="25"/>
      <c r="CA230" s="1" t="str">
        <f t="shared" ca="1" si="111"/>
        <v>delete from sscd_mast where sscd_idcd = 'asmt_dvcd_KOR_common'  and site_idcd = 'common';</v>
      </c>
      <c r="CB230" s="5" t="str">
        <f ca="1">IF(E230&lt;&gt;"",CREATE_QUERY($B$1,A$2:AA$2,A230:AA230),"")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('asmt_dvcd_KOR_common', 'KOR', 'common', 'asmt_dvcd', '부자재구분코드', 'gb', '', '[["01","공통"],["02","목재"],["03","수지"],["04","필름"],["05","접착제"],["06","방수제"],["08","기타"],["09","소모품"]]', '01:공통 02:목재 03:수지 04:필름 05:접착제 06:방수제 08:기타 09:소모품', '', '01=공통|02=목재|03=수지|04=필름|05=접착제|06=방수제|08=기타|09=소모품', '', '0', '0', '0', '0', 'asmt_dvcd 부자재구분코드 [["01","공통"],["02","목재"],["03","수지"],["04","필름"],["05","접착제"],["06","방수제"],["08","기타"],["09","소모품"]]', ' ', '', '', '', '', '', '', '', '', '');</v>
      </c>
    </row>
    <row r="231" spans="1:80" ht="17">
      <c r="A231" s="3" t="str">
        <f t="shared" ca="1" si="113"/>
        <v>efcn_grad_dvcd_KOR_common</v>
      </c>
      <c r="B231" s="2" t="str">
        <f t="shared" ca="1" si="114"/>
        <v>KOR</v>
      </c>
      <c r="C231" s="25" t="str">
        <f t="shared" si="100"/>
        <v>common</v>
      </c>
      <c r="D231" s="25" t="s">
        <v>2906</v>
      </c>
      <c r="E231" s="25" t="s">
        <v>2907</v>
      </c>
      <c r="F231" s="25" t="str">
        <f t="shared" ca="1" si="91"/>
        <v>gb</v>
      </c>
      <c r="G231" s="25"/>
      <c r="H231" s="2" t="str">
        <f t="shared" si="92"/>
        <v>[["01","1등급"],["02","2등급"],["03","3등급"],["04","4등급"]]</v>
      </c>
      <c r="I231" s="2" t="str">
        <f t="shared" si="110"/>
        <v>01:1등급 02:2등급 03:3등급 04:4등급</v>
      </c>
      <c r="J231" s="2"/>
      <c r="K231" s="2" t="str">
        <f t="shared" si="115"/>
        <v>01=1등급|02=2등급|03=3등급|04=4등급</v>
      </c>
      <c r="L231" s="2"/>
      <c r="M231" s="36" t="str">
        <f t="shared" ca="1" si="93"/>
        <v>0</v>
      </c>
      <c r="N231" s="36" t="str">
        <f t="shared" ca="1" si="94"/>
        <v>0</v>
      </c>
      <c r="O231" s="36" t="str">
        <f t="shared" si="95"/>
        <v>0</v>
      </c>
      <c r="P231" s="36" t="str">
        <f t="shared" si="96"/>
        <v>0</v>
      </c>
      <c r="Q231" s="35" t="str">
        <f t="shared" si="97"/>
        <v>efcn_grad_dvcd 효율등급 [["01","1등급"],["02","2등급"],["03","3등급"],["04","4등급"]]</v>
      </c>
      <c r="R231" s="2" t="s">
        <v>921</v>
      </c>
      <c r="S231" s="2"/>
      <c r="T231" s="2"/>
      <c r="U231" s="2"/>
      <c r="V231" s="2"/>
      <c r="W231" s="2"/>
      <c r="X231" s="2"/>
      <c r="Y231" s="2"/>
      <c r="Z231" s="2"/>
      <c r="AA231" s="2"/>
      <c r="AB231" s="31" t="s">
        <v>2608</v>
      </c>
      <c r="AC231" s="25" t="s">
        <v>2908</v>
      </c>
      <c r="AD231" s="31" t="s">
        <v>2609</v>
      </c>
      <c r="AE231" s="25" t="s">
        <v>2909</v>
      </c>
      <c r="AF231" s="31" t="s">
        <v>2611</v>
      </c>
      <c r="AG231" s="25" t="s">
        <v>2910</v>
      </c>
      <c r="AH231" s="31" t="s">
        <v>2612</v>
      </c>
      <c r="AI231" s="25" t="s">
        <v>2911</v>
      </c>
      <c r="AJ231" s="30"/>
      <c r="AK231" s="25"/>
      <c r="AL231" s="30"/>
      <c r="AM231" s="25"/>
      <c r="AN231" s="30"/>
      <c r="AO231" s="25"/>
      <c r="AP231" s="30"/>
      <c r="AQ231" s="25"/>
      <c r="AR231" s="30"/>
      <c r="AS231" s="25"/>
      <c r="AT231" s="30"/>
      <c r="AU231" s="25"/>
      <c r="AV231" s="30"/>
      <c r="AW231" s="25"/>
      <c r="AX231" s="30"/>
      <c r="AY231" s="25"/>
      <c r="AZ231" s="30"/>
      <c r="BA231" s="25"/>
      <c r="BB231" s="30"/>
      <c r="BC231" s="25"/>
      <c r="BD231" s="30"/>
      <c r="BE231" s="25"/>
      <c r="BF231" s="30"/>
      <c r="BG231" s="25"/>
      <c r="BH231" s="30"/>
      <c r="BI231" s="25"/>
      <c r="BJ231" s="30"/>
      <c r="BK231" s="25"/>
      <c r="BL231" s="30"/>
      <c r="BM231" s="25"/>
      <c r="BN231" s="30"/>
      <c r="BO231" s="25"/>
      <c r="BP231" s="30"/>
      <c r="BQ231" s="25"/>
      <c r="BR231" s="30"/>
      <c r="BS231" s="25"/>
      <c r="BT231" s="30"/>
      <c r="BU231" s="25"/>
      <c r="BV231" s="30"/>
      <c r="BW231" s="25"/>
      <c r="BX231" s="30"/>
      <c r="BY231" s="25"/>
      <c r="CA231" s="1" t="str">
        <f t="shared" ca="1" si="111"/>
        <v>delete from sscd_mast where sscd_idcd = 'efcn_grad_dvcd_KOR_common'  and site_idcd = 'common';</v>
      </c>
      <c r="CB231" s="5" t="str">
        <f ca="1">IF(E231&lt;&gt;"",CREATE_QUERY($B$1,A$2:AA$2,A231:AA231),"")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('efcn_grad_dvcd_KOR_common', 'KOR', 'common', 'efcn_grad_dvcd', '효율등급', 'gb', '', '[["01","1등급"],["02","2등급"],["03","3등급"],["04","4등급"]]', '01:1등급 02:2등급 03:3등급 04:4등급', '', '01=1등급|02=2등급|03=3등급|04=4등급', '', '0', '0', '0', '0', 'efcn_grad_dvcd 효율등급 [["01","1등급"],["02","2등급"],["03","3등급"],["04","4등급"]]', ' ', '', '', '', '', '', '', '', '', '');</v>
      </c>
    </row>
    <row r="232" spans="1:80" ht="17">
      <c r="A232" s="3" t="str">
        <f t="shared" ca="1" si="113"/>
        <v>asmb_plac_dvcd_KOR_common</v>
      </c>
      <c r="B232" s="2" t="str">
        <f t="shared" ca="1" si="114"/>
        <v>KOR</v>
      </c>
      <c r="C232" s="25" t="str">
        <f t="shared" si="100"/>
        <v>common</v>
      </c>
      <c r="D232" s="25" t="s">
        <v>2912</v>
      </c>
      <c r="E232" s="25" t="s">
        <v>2913</v>
      </c>
      <c r="F232" s="25" t="str">
        <f t="shared" ca="1" si="91"/>
        <v>gb</v>
      </c>
      <c r="G232" s="25"/>
      <c r="H232" s="2" t="str">
        <f t="shared" si="92"/>
        <v>[["T","Top"],["B","Bottom"],["L","Left"],["R","Right"],["C","Center"]]</v>
      </c>
      <c r="I232" s="2" t="str">
        <f t="shared" si="110"/>
        <v>T:Top B:Bottom L:Left R:Right C:Center</v>
      </c>
      <c r="J232" s="2"/>
      <c r="K232" s="2" t="str">
        <f t="shared" si="115"/>
        <v>T=Top|B=Bottom|L=Left|R=Right|C=Center</v>
      </c>
      <c r="L232" s="2"/>
      <c r="M232" s="36" t="str">
        <f t="shared" ca="1" si="93"/>
        <v>0</v>
      </c>
      <c r="N232" s="36" t="str">
        <f t="shared" ca="1" si="94"/>
        <v>0</v>
      </c>
      <c r="O232" s="36" t="str">
        <f t="shared" si="95"/>
        <v>0</v>
      </c>
      <c r="P232" s="36" t="str">
        <f t="shared" si="96"/>
        <v>0</v>
      </c>
      <c r="Q232" s="35" t="str">
        <f t="shared" si="97"/>
        <v>asmb_plac_dvcd 조립위치구분코드 [["T","Top"],["B","Bottom"],["L","Left"],["R","Right"],["C","Center"]]</v>
      </c>
      <c r="R232" s="2" t="s">
        <v>921</v>
      </c>
      <c r="S232" s="2"/>
      <c r="T232" s="2"/>
      <c r="U232" s="2"/>
      <c r="V232" s="2"/>
      <c r="W232" s="2"/>
      <c r="X232" s="2"/>
      <c r="Y232" s="2"/>
      <c r="Z232" s="2"/>
      <c r="AA232" s="2"/>
      <c r="AB232" s="31" t="s">
        <v>2914</v>
      </c>
      <c r="AC232" s="25" t="s">
        <v>2915</v>
      </c>
      <c r="AD232" s="30" t="s">
        <v>752</v>
      </c>
      <c r="AE232" s="25" t="s">
        <v>2916</v>
      </c>
      <c r="AF232" s="30" t="s">
        <v>2872</v>
      </c>
      <c r="AG232" s="25" t="s">
        <v>2885</v>
      </c>
      <c r="AH232" s="30" t="s">
        <v>2867</v>
      </c>
      <c r="AI232" s="25" t="s">
        <v>2884</v>
      </c>
      <c r="AJ232" s="30" t="s">
        <v>1447</v>
      </c>
      <c r="AK232" s="25" t="s">
        <v>2917</v>
      </c>
      <c r="AL232" s="30"/>
      <c r="AM232" s="25"/>
      <c r="AN232" s="30"/>
      <c r="AO232" s="25"/>
      <c r="AP232" s="30"/>
      <c r="AQ232" s="25"/>
      <c r="AR232" s="30"/>
      <c r="AS232" s="25"/>
      <c r="AT232" s="30"/>
      <c r="AU232" s="25"/>
      <c r="AV232" s="30"/>
      <c r="AW232" s="25"/>
      <c r="AX232" s="30"/>
      <c r="AY232" s="25"/>
      <c r="AZ232" s="30"/>
      <c r="BA232" s="25"/>
      <c r="BB232" s="30"/>
      <c r="BC232" s="25"/>
      <c r="BD232" s="30"/>
      <c r="BE232" s="25"/>
      <c r="BF232" s="30"/>
      <c r="BG232" s="25"/>
      <c r="BH232" s="30"/>
      <c r="BI232" s="25"/>
      <c r="BJ232" s="30"/>
      <c r="BK232" s="25"/>
      <c r="BL232" s="30"/>
      <c r="BM232" s="25"/>
      <c r="BN232" s="30"/>
      <c r="BO232" s="25"/>
      <c r="BP232" s="30"/>
      <c r="BQ232" s="25"/>
      <c r="BR232" s="30"/>
      <c r="BS232" s="25"/>
      <c r="BT232" s="30"/>
      <c r="BU232" s="25"/>
      <c r="BV232" s="30"/>
      <c r="BW232" s="25"/>
      <c r="BX232" s="30"/>
      <c r="BY232" s="25"/>
      <c r="CA232" s="1" t="str">
        <f t="shared" ca="1" si="111"/>
        <v>delete from sscd_mast where sscd_idcd = 'asmb_plac_dvcd_KOR_common'  and site_idcd = 'common';</v>
      </c>
      <c r="CB232" s="5" t="str">
        <f ca="1">IF(E232&lt;&gt;"",CREATE_QUERY($B$1,A$2:AA$2,A232:AA232),"")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('asmb_plac_dvcd_KOR_common', 'KOR', 'common', 'asmb_plac_dvcd', '조립위치구분코드', 'gb', '', '[["T","Top"],["B","Bottom"],["L","Left"],["R","Right"],["C","Center"]]', 'T:Top B:Bottom L:Left R:Right C:Center', '', 'T=Top|B=Bottom|L=Left|R=Right|C=Center', '', '0', '0', '0', '0', 'asmb_plac_dvcd 조립위치구분코드 [["T","Top"],["B","Bottom"],["L","Left"],["R","Right"],["C","Center"]]', ' ', '', '', '', '', '', '', '', '', '');</v>
      </c>
    </row>
    <row r="233" spans="1:80" ht="17">
      <c r="A233" s="3" t="str">
        <f t="shared" ca="1" si="113"/>
        <v>trst_dvcd_KOR_common</v>
      </c>
      <c r="B233" s="2" t="str">
        <f t="shared" ca="1" si="114"/>
        <v>KOR</v>
      </c>
      <c r="C233" s="25" t="str">
        <f t="shared" si="100"/>
        <v>common</v>
      </c>
      <c r="D233" s="25" t="s">
        <v>2918</v>
      </c>
      <c r="E233" s="25" t="s">
        <v>2919</v>
      </c>
      <c r="F233" s="25" t="str">
        <f t="shared" ca="1" si="91"/>
        <v>gb</v>
      </c>
      <c r="G233" s="25"/>
      <c r="H233" s="2" t="str">
        <f t="shared" si="92"/>
        <v>[["1","자사"],["2","고객사"]]</v>
      </c>
      <c r="I233" s="2" t="str">
        <f t="shared" si="110"/>
        <v>1:자사 2:고객사</v>
      </c>
      <c r="J233" s="2"/>
      <c r="K233" s="2" t="str">
        <f t="shared" si="115"/>
        <v>1=자사|2=고객사</v>
      </c>
      <c r="L233" s="2"/>
      <c r="M233" s="36" t="str">
        <f t="shared" ca="1" si="93"/>
        <v>0</v>
      </c>
      <c r="N233" s="36" t="str">
        <f t="shared" ca="1" si="94"/>
        <v>0</v>
      </c>
      <c r="O233" s="36" t="str">
        <f t="shared" si="95"/>
        <v>0</v>
      </c>
      <c r="P233" s="36" t="str">
        <f t="shared" si="96"/>
        <v>0</v>
      </c>
      <c r="Q233" s="35" t="str">
        <f t="shared" si="97"/>
        <v>trst_dvcd 견적의뢰구분코드 [["1","자사"],["2","고객사"]]</v>
      </c>
      <c r="R233" s="2" t="s">
        <v>921</v>
      </c>
      <c r="S233" s="2"/>
      <c r="T233" s="2"/>
      <c r="U233" s="2"/>
      <c r="V233" s="2"/>
      <c r="W233" s="2"/>
      <c r="X233" s="2"/>
      <c r="Y233" s="2"/>
      <c r="Z233" s="2"/>
      <c r="AA233" s="2"/>
      <c r="AB233" s="31">
        <v>1</v>
      </c>
      <c r="AC233" s="25" t="s">
        <v>2788</v>
      </c>
      <c r="AD233" s="31">
        <v>2</v>
      </c>
      <c r="AE233" s="25" t="s">
        <v>2789</v>
      </c>
      <c r="AF233" s="30"/>
      <c r="AG233" s="25"/>
      <c r="AH233" s="30"/>
      <c r="AI233" s="25"/>
      <c r="AJ233" s="30"/>
      <c r="AK233" s="25"/>
      <c r="AL233" s="30"/>
      <c r="AM233" s="25"/>
      <c r="AN233" s="30"/>
      <c r="AO233" s="25"/>
      <c r="AP233" s="30"/>
      <c r="AQ233" s="25"/>
      <c r="AR233" s="30"/>
      <c r="AS233" s="25"/>
      <c r="AT233" s="30"/>
      <c r="AU233" s="25"/>
      <c r="AV233" s="30"/>
      <c r="AW233" s="25"/>
      <c r="AX233" s="30"/>
      <c r="AY233" s="25"/>
      <c r="AZ233" s="30"/>
      <c r="BA233" s="25"/>
      <c r="BB233" s="30"/>
      <c r="BC233" s="25"/>
      <c r="BD233" s="30"/>
      <c r="BE233" s="25"/>
      <c r="BF233" s="30"/>
      <c r="BG233" s="25"/>
      <c r="BH233" s="30"/>
      <c r="BI233" s="25"/>
      <c r="BJ233" s="30"/>
      <c r="BK233" s="25"/>
      <c r="BL233" s="30"/>
      <c r="BM233" s="25"/>
      <c r="BN233" s="30"/>
      <c r="BO233" s="25"/>
      <c r="BP233" s="30"/>
      <c r="BQ233" s="25"/>
      <c r="BR233" s="30"/>
      <c r="BS233" s="25"/>
      <c r="BT233" s="30"/>
      <c r="BU233" s="25"/>
      <c r="BV233" s="30"/>
      <c r="BW233" s="25"/>
      <c r="BX233" s="30"/>
      <c r="BY233" s="25"/>
      <c r="CA233" s="1" t="str">
        <f t="shared" ca="1" si="111"/>
        <v>delete from sscd_mast where sscd_idcd = 'trst_dvcd_KOR_common'  and site_idcd = 'common';</v>
      </c>
      <c r="CB233" s="5" t="str">
        <f ca="1">IF(E233&lt;&gt;"",CREATE_QUERY($B$1,A$2:AA$2,A233:AA233),"")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('trst_dvcd_KOR_common', 'KOR', 'common', 'trst_dvcd', '견적의뢰구분코드', 'gb', '', '[["1","자사"],["2","고객사"]]', '1:자사 2:고객사', '', '1=자사|2=고객사', '', '0', '0', '0', '0', 'trst_dvcd 견적의뢰구분코드 [["1","자사"],["2","고객사"]]', ' ', '', '', '', '', '', '', '', '', '');</v>
      </c>
    </row>
    <row r="234" spans="1:80" ht="17">
      <c r="A234" s="3" t="str">
        <f t="shared" ca="1" si="113"/>
        <v>wkun_dvcd_KOR_common</v>
      </c>
      <c r="B234" s="2" t="str">
        <f t="shared" ca="1" si="114"/>
        <v>KOR</v>
      </c>
      <c r="C234" s="25" t="str">
        <f t="shared" si="100"/>
        <v>common</v>
      </c>
      <c r="D234" s="25" t="s">
        <v>2925</v>
      </c>
      <c r="E234" s="25" t="s">
        <v>2926</v>
      </c>
      <c r="F234" s="25" t="str">
        <f t="shared" ca="1" si="91"/>
        <v>gb</v>
      </c>
      <c r="G234" s="25"/>
      <c r="H234" s="2" t="str">
        <f t="shared" si="92"/>
        <v>[["1","도"],["2","컨테이너"],["3","홈"],["4","방"]]</v>
      </c>
      <c r="I234" s="2" t="str">
        <f t="shared" si="110"/>
        <v>1:도 2:컨테이너 3:홈 4:방</v>
      </c>
      <c r="J234" s="2"/>
      <c r="K234" s="2" t="str">
        <f t="shared" si="115"/>
        <v>1=도|2=컨테이너|3=홈|4=방</v>
      </c>
      <c r="L234" s="2"/>
      <c r="M234" s="36" t="str">
        <f t="shared" ca="1" si="93"/>
        <v>0</v>
      </c>
      <c r="N234" s="36" t="str">
        <f t="shared" ca="1" si="94"/>
        <v>0</v>
      </c>
      <c r="O234" s="36" t="str">
        <f t="shared" si="95"/>
        <v>0</v>
      </c>
      <c r="P234" s="36" t="str">
        <f t="shared" si="96"/>
        <v>0</v>
      </c>
      <c r="Q234" s="35" t="str">
        <f t="shared" si="97"/>
        <v>wkun_dvcd 작업단위 [["1","도"],["2","컨테이너"],["3","홈"],["4","방"]]</v>
      </c>
      <c r="R234" s="2" t="s">
        <v>921</v>
      </c>
      <c r="S234" s="2"/>
      <c r="T234" s="2"/>
      <c r="U234" s="2"/>
      <c r="V234" s="2"/>
      <c r="W234" s="2"/>
      <c r="X234" s="2"/>
      <c r="Y234" s="2"/>
      <c r="Z234" s="2"/>
      <c r="AA234" s="2"/>
      <c r="AB234" s="30">
        <v>1</v>
      </c>
      <c r="AC234" s="25" t="s">
        <v>2927</v>
      </c>
      <c r="AD234" s="30">
        <v>2</v>
      </c>
      <c r="AE234" s="25" t="s">
        <v>2928</v>
      </c>
      <c r="AF234" s="30">
        <v>3</v>
      </c>
      <c r="AG234" s="25" t="s">
        <v>2929</v>
      </c>
      <c r="AH234" s="30">
        <v>4</v>
      </c>
      <c r="AI234" s="25" t="s">
        <v>2930</v>
      </c>
      <c r="AJ234" s="30"/>
      <c r="AK234" s="25"/>
      <c r="AL234" s="30"/>
      <c r="AM234" s="25"/>
      <c r="AN234" s="30"/>
      <c r="AO234" s="25"/>
      <c r="AP234" s="30"/>
      <c r="AQ234" s="25"/>
      <c r="AR234" s="30"/>
      <c r="AS234" s="25"/>
      <c r="AT234" s="30"/>
      <c r="AU234" s="25"/>
      <c r="AV234" s="30"/>
      <c r="AW234" s="25"/>
      <c r="AX234" s="30"/>
      <c r="AY234" s="25"/>
      <c r="AZ234" s="30"/>
      <c r="BA234" s="25"/>
      <c r="BB234" s="30"/>
      <c r="BC234" s="25"/>
      <c r="BD234" s="30"/>
      <c r="BE234" s="25"/>
      <c r="BF234" s="30"/>
      <c r="BG234" s="25"/>
      <c r="BH234" s="30"/>
      <c r="BI234" s="25"/>
      <c r="BJ234" s="30"/>
      <c r="BK234" s="25"/>
      <c r="BL234" s="30"/>
      <c r="BM234" s="25"/>
      <c r="BN234" s="30"/>
      <c r="BO234" s="25"/>
      <c r="BP234" s="30"/>
      <c r="BQ234" s="25"/>
      <c r="BR234" s="30"/>
      <c r="BS234" s="25"/>
      <c r="BT234" s="30"/>
      <c r="BU234" s="25"/>
      <c r="BV234" s="30"/>
      <c r="BW234" s="25"/>
      <c r="BX234" s="30"/>
      <c r="BY234" s="25"/>
      <c r="CA234" s="1" t="str">
        <f t="shared" ca="1" si="111"/>
        <v>delete from sscd_mast where sscd_idcd = 'wkun_dvcd_KOR_common'  and site_idcd = 'common';</v>
      </c>
      <c r="CB234" s="5" t="str">
        <f ca="1">IF(E234&lt;&gt;"",CREATE_QUERY($B$1,A$2:AA$2,A234:AA234),"")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('wkun_dvcd_KOR_common', 'KOR', 'common', 'wkun_dvcd', '작업단위', 'gb', '', '[["1","도"],["2","컨테이너"],["3","홈"],["4","방"]]', '1:도 2:컨테이너 3:홈 4:방', '', '1=도|2=컨테이너|3=홈|4=방', '', '0', '0', '0', '0', 'wkun_dvcd 작업단위 [["1","도"],["2","컨테이너"],["3","홈"],["4","방"]]', ' ', '', '', '', '', '', '', '', '', '');</v>
      </c>
    </row>
    <row r="235" spans="1:80" ht="17">
      <c r="A235" s="3" t="str">
        <f t="shared" ref="A235:A272" ca="1" si="116">IF(D235="","",D235&amp;"_"&amp;B235&amp;"_"&amp;C235)</f>
        <v>carr_dvcd_KOR_common</v>
      </c>
      <c r="B235" s="2" t="str">
        <f t="shared" ref="B235:B272" ca="1" si="117">IF(E235="","",OFFSET(B235,-1,0))</f>
        <v>KOR</v>
      </c>
      <c r="C235" s="25" t="str">
        <f t="shared" si="100"/>
        <v>common</v>
      </c>
      <c r="D235" s="25" t="s">
        <v>2969</v>
      </c>
      <c r="E235" s="25" t="s">
        <v>2970</v>
      </c>
      <c r="F235" s="25" t="str">
        <f t="shared" ca="1" si="91"/>
        <v>gb</v>
      </c>
      <c r="G235" s="25"/>
      <c r="H235" s="2" t="str">
        <f t="shared" si="92"/>
        <v>[["1","없음"],["2","3개월미만"],["3","3~6개월"],["4","1년이상"],["5","기타"]]</v>
      </c>
      <c r="I235" s="2" t="str">
        <f t="shared" si="110"/>
        <v>1:없음 2:3개월미만 3:3~6개월 4:1년이상 5:기타</v>
      </c>
      <c r="J235" s="2"/>
      <c r="K235" s="2" t="str">
        <f t="shared" si="115"/>
        <v>1=없음|2=3개월미만|3=3~6개월|4=1년이상|5=기타</v>
      </c>
      <c r="L235" s="2"/>
      <c r="M235" s="36" t="str">
        <f t="shared" ca="1" si="93"/>
        <v>0</v>
      </c>
      <c r="N235" s="36" t="str">
        <f t="shared" ca="1" si="94"/>
        <v>0</v>
      </c>
      <c r="O235" s="36" t="str">
        <f t="shared" si="95"/>
        <v>0</v>
      </c>
      <c r="P235" s="36" t="str">
        <f t="shared" si="96"/>
        <v>0</v>
      </c>
      <c r="Q235" s="35" t="str">
        <f t="shared" si="97"/>
        <v>carr_dvcd 경력구분코드 [["1","없음"],["2","3개월미만"],["3","3~6개월"],["4","1년이상"],["5","기타"]]</v>
      </c>
      <c r="R235" s="2" t="s">
        <v>921</v>
      </c>
      <c r="S235" s="2"/>
      <c r="T235" s="2"/>
      <c r="U235" s="2"/>
      <c r="V235" s="2"/>
      <c r="W235" s="2"/>
      <c r="X235" s="2"/>
      <c r="Y235" s="2"/>
      <c r="Z235" s="2"/>
      <c r="AA235" s="2"/>
      <c r="AB235" s="31" t="s">
        <v>2964</v>
      </c>
      <c r="AC235" s="25" t="s">
        <v>2971</v>
      </c>
      <c r="AD235" s="31" t="s">
        <v>2965</v>
      </c>
      <c r="AE235" s="25" t="s">
        <v>2972</v>
      </c>
      <c r="AF235" s="31" t="s">
        <v>2967</v>
      </c>
      <c r="AG235" s="25" t="s">
        <v>2973</v>
      </c>
      <c r="AH235" s="31" t="s">
        <v>2968</v>
      </c>
      <c r="AI235" s="25" t="s">
        <v>2974</v>
      </c>
      <c r="AJ235" s="31" t="s">
        <v>2975</v>
      </c>
      <c r="AK235" s="25" t="s">
        <v>2976</v>
      </c>
      <c r="AL235" s="30"/>
      <c r="AM235" s="25"/>
      <c r="AN235" s="30"/>
      <c r="AO235" s="25"/>
      <c r="AP235" s="30"/>
      <c r="AQ235" s="25"/>
      <c r="AR235" s="30"/>
      <c r="AS235" s="25"/>
      <c r="AT235" s="30"/>
      <c r="AU235" s="25"/>
      <c r="AV235" s="30"/>
      <c r="AW235" s="25"/>
      <c r="AX235" s="30"/>
      <c r="AY235" s="25"/>
      <c r="AZ235" s="30"/>
      <c r="BA235" s="25"/>
      <c r="BB235" s="30"/>
      <c r="BC235" s="25"/>
      <c r="BD235" s="30"/>
      <c r="BE235" s="25"/>
      <c r="BF235" s="30"/>
      <c r="BG235" s="25"/>
      <c r="BH235" s="30"/>
      <c r="BI235" s="25"/>
      <c r="BJ235" s="30"/>
      <c r="BK235" s="25"/>
      <c r="BL235" s="30"/>
      <c r="BM235" s="25"/>
      <c r="BN235" s="30"/>
      <c r="BO235" s="25"/>
      <c r="BP235" s="30"/>
      <c r="BQ235" s="25"/>
      <c r="BR235" s="30"/>
      <c r="BS235" s="25"/>
      <c r="BT235" s="30"/>
      <c r="BU235" s="25"/>
      <c r="BV235" s="30"/>
      <c r="BW235" s="25"/>
      <c r="BX235" s="30"/>
      <c r="BY235" s="25"/>
      <c r="CA235" s="1" t="str">
        <f t="shared" ca="1" si="111"/>
        <v>delete from sscd_mast where sscd_idcd = 'carr_dvcd_KOR_common'  and site_idcd = 'common';</v>
      </c>
      <c r="CB235" s="5" t="str">
        <f ca="1">IF(E235&lt;&gt;"",CREATE_QUERY($B$1,A$2:AA$2,A235:AA235),"")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('carr_dvcd_KOR_common', 'KOR', 'common', 'carr_dvcd', '경력구분코드', 'gb', '', '[["1","없음"],["2","3개월미만"],["3","3~6개월"],["4","1년이상"],["5","기타"]]', '1:없음 2:3개월미만 3:3~6개월 4:1년이상 5:기타', '', '1=없음|2=3개월미만|3=3~6개월|4=1년이상|5=기타', '', '0', '0', '0', '0', 'carr_dvcd 경력구분코드 [["1","없음"],["2","3개월미만"],["3","3~6개월"],["4","1년이상"],["5","기타"]]', ' ', '', '', '', '', '', '', '', '', '');</v>
      </c>
    </row>
    <row r="236" spans="1:80" ht="17">
      <c r="A236" s="3" t="str">
        <f t="shared" ca="1" si="116"/>
        <v>picg_dvcd_KOR_common</v>
      </c>
      <c r="B236" s="2" t="str">
        <f t="shared" ca="1" si="117"/>
        <v>KOR</v>
      </c>
      <c r="C236" s="25" t="str">
        <f t="shared" si="100"/>
        <v>common</v>
      </c>
      <c r="D236" s="25" t="s">
        <v>2980</v>
      </c>
      <c r="E236" s="25" t="s">
        <v>2981</v>
      </c>
      <c r="F236" s="25" t="str">
        <f t="shared" ref="F236:F296" ca="1" si="118">IF(A236="","","gb")</f>
        <v>gb</v>
      </c>
      <c r="G236" s="25"/>
      <c r="H236" s="2" t="str">
        <f t="shared" ref="H236:H296" si="119">"[["""&amp;
SUBSTITUTE(SUBSTITUTE(I236,":",""",""")," ","""],[""")
&amp;"""]]"</f>
        <v>[["1","신규가입"],["2","재가입"],["3","정지"],["4","정지복귀"],["9","탈퇴"]]</v>
      </c>
      <c r="I236" s="2" t="str">
        <f t="shared" si="110"/>
        <v>1:신규가입 2:재가입 3:정지 4:정지복귀 9:탈퇴</v>
      </c>
      <c r="J236" s="2"/>
      <c r="K236" s="2" t="str">
        <f t="shared" si="115"/>
        <v>1=신규가입|2=재가입|3=정지|4=정지복귀|9=탈퇴</v>
      </c>
      <c r="L236" s="2"/>
      <c r="M236" s="36" t="str">
        <f t="shared" ref="M236:M296" ca="1" si="120">IF(A236="","","0")</f>
        <v>0</v>
      </c>
      <c r="N236" s="36" t="str">
        <f t="shared" ref="N236:N296" ca="1" si="121">IF(B236="","","0")</f>
        <v>0</v>
      </c>
      <c r="O236" s="36" t="str">
        <f t="shared" ref="O236:O296" si="122">IF(C236="","","0")</f>
        <v>0</v>
      </c>
      <c r="P236" s="36" t="str">
        <f t="shared" ref="P236:P296" si="123">IF(D236="","","0")</f>
        <v>0</v>
      </c>
      <c r="Q236" s="35" t="str">
        <f t="shared" ref="Q236:Q296" si="124">IF(D236="","",D236&amp;" "&amp;E236&amp;" "&amp;H236)</f>
        <v>picg_dvcd 신상변동구분코드 [["1","신규가입"],["2","재가입"],["3","정지"],["4","정지복귀"],["9","탈퇴"]]</v>
      </c>
      <c r="R236" s="2" t="s">
        <v>921</v>
      </c>
      <c r="S236" s="2"/>
      <c r="T236" s="2"/>
      <c r="U236" s="2"/>
      <c r="V236" s="2"/>
      <c r="W236" s="2"/>
      <c r="X236" s="2"/>
      <c r="Y236" s="2"/>
      <c r="Z236" s="2"/>
      <c r="AA236" s="2"/>
      <c r="AB236" s="31" t="s">
        <v>2964</v>
      </c>
      <c r="AC236" s="25" t="s">
        <v>2982</v>
      </c>
      <c r="AD236" s="31" t="s">
        <v>2965</v>
      </c>
      <c r="AE236" s="25" t="s">
        <v>2966</v>
      </c>
      <c r="AF236" s="31" t="s">
        <v>2967</v>
      </c>
      <c r="AG236" s="25" t="s">
        <v>2977</v>
      </c>
      <c r="AH236" s="31" t="s">
        <v>2968</v>
      </c>
      <c r="AI236" s="25" t="s">
        <v>2983</v>
      </c>
      <c r="AJ236" s="31" t="s">
        <v>2978</v>
      </c>
      <c r="AK236" s="25" t="s">
        <v>2979</v>
      </c>
      <c r="AL236" s="30"/>
      <c r="AM236" s="25"/>
      <c r="AN236" s="30"/>
      <c r="AO236" s="25"/>
      <c r="AP236" s="30"/>
      <c r="AQ236" s="25"/>
      <c r="AR236" s="30"/>
      <c r="AS236" s="25"/>
      <c r="AT236" s="30"/>
      <c r="AU236" s="25"/>
      <c r="AV236" s="30"/>
      <c r="AW236" s="25"/>
      <c r="AX236" s="30"/>
      <c r="AY236" s="25"/>
      <c r="AZ236" s="30"/>
      <c r="BA236" s="25"/>
      <c r="BB236" s="30"/>
      <c r="BC236" s="25"/>
      <c r="BD236" s="30"/>
      <c r="BE236" s="25"/>
      <c r="BF236" s="30"/>
      <c r="BG236" s="25"/>
      <c r="BH236" s="30"/>
      <c r="BI236" s="25"/>
      <c r="BJ236" s="30"/>
      <c r="BK236" s="25"/>
      <c r="BL236" s="30"/>
      <c r="BM236" s="25"/>
      <c r="BN236" s="30"/>
      <c r="BO236" s="25"/>
      <c r="BP236" s="30"/>
      <c r="BQ236" s="25"/>
      <c r="BR236" s="30"/>
      <c r="BS236" s="25"/>
      <c r="BT236" s="30"/>
      <c r="BU236" s="25"/>
      <c r="BV236" s="30"/>
      <c r="BW236" s="25"/>
      <c r="BX236" s="30"/>
      <c r="BY236" s="25"/>
      <c r="CA236" s="1" t="str">
        <f t="shared" ca="1" si="111"/>
        <v>delete from sscd_mast where sscd_idcd = 'picg_dvcd_KOR_common'  and site_idcd = 'common';</v>
      </c>
      <c r="CB236" s="5" t="str">
        <f ca="1">IF(E236&lt;&gt;"",CREATE_QUERY($B$1,A$2:AA$2,A236:AA236),"")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('picg_dvcd_KOR_common', 'KOR', 'common', 'picg_dvcd', '신상변동구분코드', 'gb', '', '[["1","신규가입"],["2","재가입"],["3","정지"],["4","정지복귀"],["9","탈퇴"]]', '1:신규가입 2:재가입 3:정지 4:정지복귀 9:탈퇴', '', '1=신규가입|2=재가입|3=정지|4=정지복귀|9=탈퇴', '', '0', '0', '0', '0', 'picg_dvcd 신상변동구분코드 [["1","신규가입"],["2","재가입"],["3","정지"],["4","정지복귀"],["9","탈퇴"]]', ' ', '', '', '', '', '', '', '', '', '');</v>
      </c>
    </row>
    <row r="237" spans="1:80" ht="17">
      <c r="A237" s="3" t="str">
        <f t="shared" ca="1" si="116"/>
        <v>resv_stat_dvcd_KOR_common</v>
      </c>
      <c r="B237" s="2" t="str">
        <f t="shared" ca="1" si="117"/>
        <v>KOR</v>
      </c>
      <c r="C237" s="25" t="str">
        <f t="shared" si="100"/>
        <v>common</v>
      </c>
      <c r="D237" s="25" t="s">
        <v>2991</v>
      </c>
      <c r="E237" s="25" t="s">
        <v>2992</v>
      </c>
      <c r="F237" s="25" t="str">
        <f t="shared" ca="1" si="118"/>
        <v>gb</v>
      </c>
      <c r="G237" s="25"/>
      <c r="H237" s="2" t="str">
        <f t="shared" si="119"/>
        <v>[["0","대기"],["1","예약"],["2","보류"],["3","방문"],["9","취소"]]</v>
      </c>
      <c r="I237" s="2" t="str">
        <f t="shared" si="110"/>
        <v>0:대기 1:예약 2:보류 3:방문 9:취소</v>
      </c>
      <c r="J237" s="2"/>
      <c r="K237" s="2" t="str">
        <f t="shared" si="115"/>
        <v>0=대기|1=예약|2=보류|3=방문|9=취소</v>
      </c>
      <c r="L237" s="2"/>
      <c r="M237" s="36" t="str">
        <f t="shared" ca="1" si="120"/>
        <v>0</v>
      </c>
      <c r="N237" s="36" t="str">
        <f t="shared" ca="1" si="121"/>
        <v>0</v>
      </c>
      <c r="O237" s="36" t="str">
        <f t="shared" si="122"/>
        <v>0</v>
      </c>
      <c r="P237" s="36" t="str">
        <f t="shared" si="123"/>
        <v>0</v>
      </c>
      <c r="Q237" s="35" t="str">
        <f t="shared" si="124"/>
        <v>resv_stat_dvcd 예약상태구분코드 [["0","대기"],["1","예약"],["2","보류"],["3","방문"],["9","취소"]]</v>
      </c>
      <c r="R237" s="2" t="s">
        <v>921</v>
      </c>
      <c r="S237" s="2"/>
      <c r="T237" s="2"/>
      <c r="U237" s="2"/>
      <c r="V237" s="2"/>
      <c r="W237" s="2"/>
      <c r="X237" s="2"/>
      <c r="Y237" s="2"/>
      <c r="Z237" s="2"/>
      <c r="AA237" s="2"/>
      <c r="AB237" s="31" t="s">
        <v>3000</v>
      </c>
      <c r="AC237" s="25" t="s">
        <v>3001</v>
      </c>
      <c r="AD237" s="31" t="s">
        <v>2986</v>
      </c>
      <c r="AE237" s="25" t="s">
        <v>2993</v>
      </c>
      <c r="AF237" s="31" t="s">
        <v>2994</v>
      </c>
      <c r="AG237" s="25" t="s">
        <v>2996</v>
      </c>
      <c r="AH237" s="31" t="s">
        <v>2995</v>
      </c>
      <c r="AI237" s="25" t="s">
        <v>2999</v>
      </c>
      <c r="AJ237" s="31" t="s">
        <v>2997</v>
      </c>
      <c r="AK237" s="25" t="s">
        <v>2998</v>
      </c>
      <c r="AL237" s="30"/>
      <c r="AM237" s="25"/>
      <c r="AN237" s="30"/>
      <c r="AO237" s="25"/>
      <c r="AP237" s="30"/>
      <c r="AQ237" s="25"/>
      <c r="AR237" s="30"/>
      <c r="AS237" s="25"/>
      <c r="AT237" s="30"/>
      <c r="AU237" s="25"/>
      <c r="AV237" s="30"/>
      <c r="AW237" s="25"/>
      <c r="AX237" s="30"/>
      <c r="AY237" s="25"/>
      <c r="AZ237" s="30"/>
      <c r="BA237" s="25"/>
      <c r="BB237" s="30"/>
      <c r="BC237" s="25"/>
      <c r="BD237" s="30"/>
      <c r="BE237" s="25"/>
      <c r="BF237" s="30"/>
      <c r="BG237" s="25"/>
      <c r="BH237" s="30"/>
      <c r="BI237" s="25"/>
      <c r="BJ237" s="30"/>
      <c r="BK237" s="25"/>
      <c r="BL237" s="30"/>
      <c r="BM237" s="25"/>
      <c r="BN237" s="30"/>
      <c r="BO237" s="25"/>
      <c r="BP237" s="30"/>
      <c r="BQ237" s="25"/>
      <c r="BR237" s="30"/>
      <c r="BS237" s="25"/>
      <c r="BT237" s="30"/>
      <c r="BU237" s="25"/>
      <c r="BV237" s="30"/>
      <c r="BW237" s="25"/>
      <c r="BX237" s="30"/>
      <c r="BY237" s="25"/>
      <c r="CA237" s="1" t="str">
        <f t="shared" ca="1" si="111"/>
        <v>delete from sscd_mast where sscd_idcd = 'resv_stat_dvcd_KOR_common'  and site_idcd = 'common';</v>
      </c>
      <c r="CB237" s="5" t="str">
        <f ca="1">IF(E237&lt;&gt;"",CREATE_QUERY($B$1,A$2:AA$2,A237:AA237),"")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('resv_stat_dvcd_KOR_common', 'KOR', 'common', 'resv_stat_dvcd', '예약상태구분코드', 'gb', '', '[["0","대기"],["1","예약"],["2","보류"],["3","방문"],["9","취소"]]', '0:대기 1:예약 2:보류 3:방문 9:취소', '', '0=대기|1=예약|2=보류|3=방문|9=취소', '', '0', '0', '0', '0', 'resv_stat_dvcd 예약상태구분코드 [["0","대기"],["1","예약"],["2","보류"],["3","방문"],["9","취소"]]', ' ', '', '', '', '', '', '', '', '', '');</v>
      </c>
    </row>
    <row r="238" spans="1:80" ht="17">
      <c r="A238" s="3" t="str">
        <f t="shared" ca="1" si="116"/>
        <v>smbk_data_dvcd_KOR_common</v>
      </c>
      <c r="B238" s="2" t="str">
        <f t="shared" ca="1" si="117"/>
        <v>KOR</v>
      </c>
      <c r="C238" s="25" t="str">
        <f t="shared" si="100"/>
        <v>common</v>
      </c>
      <c r="D238" s="25" t="s">
        <v>3009</v>
      </c>
      <c r="E238" s="25" t="s">
        <v>3008</v>
      </c>
      <c r="F238" s="25" t="str">
        <f t="shared" ca="1" si="118"/>
        <v>gb</v>
      </c>
      <c r="G238" s="25"/>
      <c r="H238" s="2" t="str">
        <f t="shared" si="119"/>
        <v>[["0","수입"],["1","비용"],["3","고정자산매입"]]</v>
      </c>
      <c r="I238" s="2" t="str">
        <f t="shared" si="110"/>
        <v>0:수입 1:비용 3:고정자산매입</v>
      </c>
      <c r="J238" s="2"/>
      <c r="K238" s="2" t="str">
        <f t="shared" si="115"/>
        <v>0=수입|1=비용|3=고정자산매입</v>
      </c>
      <c r="L238" s="2"/>
      <c r="M238" s="36" t="str">
        <f t="shared" ca="1" si="120"/>
        <v>0</v>
      </c>
      <c r="N238" s="36" t="str">
        <f t="shared" ca="1" si="121"/>
        <v>0</v>
      </c>
      <c r="O238" s="36" t="str">
        <f t="shared" si="122"/>
        <v>0</v>
      </c>
      <c r="P238" s="36" t="str">
        <f t="shared" si="123"/>
        <v>0</v>
      </c>
      <c r="Q238" s="35" t="str">
        <f t="shared" si="124"/>
        <v>smbk_data_dvcd 간편징부자료구분코드 [["0","수입"],["1","비용"],["3","고정자산매입"]]</v>
      </c>
      <c r="R238" s="2" t="s">
        <v>921</v>
      </c>
      <c r="S238" s="2"/>
      <c r="T238" s="2"/>
      <c r="U238" s="2"/>
      <c r="V238" s="2"/>
      <c r="W238" s="2"/>
      <c r="X238" s="2"/>
      <c r="Y238" s="2"/>
      <c r="Z238" s="2"/>
      <c r="AA238" s="2"/>
      <c r="AB238" s="31" t="s">
        <v>3002</v>
      </c>
      <c r="AC238" s="25" t="s">
        <v>3003</v>
      </c>
      <c r="AD238" s="31" t="s">
        <v>3005</v>
      </c>
      <c r="AE238" s="25" t="s">
        <v>3006</v>
      </c>
      <c r="AF238" s="30">
        <v>3</v>
      </c>
      <c r="AG238" s="25" t="s">
        <v>3007</v>
      </c>
      <c r="AH238" s="30"/>
      <c r="AI238" s="25"/>
      <c r="AJ238" s="30"/>
      <c r="AK238" s="25"/>
      <c r="AL238" s="30"/>
      <c r="AM238" s="25"/>
      <c r="AN238" s="30"/>
      <c r="AO238" s="25"/>
      <c r="AP238" s="30"/>
      <c r="AQ238" s="25"/>
      <c r="AR238" s="30"/>
      <c r="AS238" s="25"/>
      <c r="AT238" s="30"/>
      <c r="AU238" s="25"/>
      <c r="AV238" s="30"/>
      <c r="AW238" s="25"/>
      <c r="AX238" s="30"/>
      <c r="AY238" s="25"/>
      <c r="AZ238" s="30"/>
      <c r="BA238" s="25"/>
      <c r="BB238" s="30"/>
      <c r="BC238" s="25"/>
      <c r="BD238" s="30"/>
      <c r="BE238" s="25"/>
      <c r="BF238" s="30"/>
      <c r="BG238" s="25"/>
      <c r="BH238" s="30"/>
      <c r="BI238" s="25"/>
      <c r="BJ238" s="30"/>
      <c r="BK238" s="25"/>
      <c r="BL238" s="30"/>
      <c r="BM238" s="25"/>
      <c r="BN238" s="30"/>
      <c r="BO238" s="25"/>
      <c r="BP238" s="30"/>
      <c r="BQ238" s="25"/>
      <c r="BR238" s="30"/>
      <c r="BS238" s="25"/>
      <c r="BT238" s="30"/>
      <c r="BU238" s="25"/>
      <c r="BV238" s="30"/>
      <c r="BW238" s="25"/>
      <c r="BX238" s="30"/>
      <c r="BY238" s="25"/>
      <c r="CA238" s="1" t="str">
        <f t="shared" ca="1" si="111"/>
        <v>delete from sscd_mast where sscd_idcd = 'smbk_data_dvcd_KOR_common'  and site_idcd = 'common';</v>
      </c>
      <c r="CB238" s="5" t="str">
        <f ca="1">IF(E238&lt;&gt;"",CREATE_QUERY($B$1,A$2:AA$2,A238:AA238),"")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('smbk_data_dvcd_KOR_common', 'KOR', 'common', 'smbk_data_dvcd', '간편징부자료구분코드', 'gb', '', '[["0","수입"],["1","비용"],["3","고정자산매입"]]', '0:수입 1:비용 3:고정자산매입', '', '0=수입|1=비용|3=고정자산매입', '', '0', '0', '0', '0', 'smbk_data_dvcd 간편징부자료구분코드 [["0","수입"],["1","비용"],["3","고정자산매입"]]', ' ', '', '', '', '', '', '', '', '', '');</v>
      </c>
    </row>
    <row r="239" spans="1:80" ht="17">
      <c r="A239" s="3" t="str">
        <f t="shared" ca="1" si="116"/>
        <v>prof_dvcd_KOR_common</v>
      </c>
      <c r="B239" s="2" t="str">
        <f t="shared" ca="1" si="117"/>
        <v>KOR</v>
      </c>
      <c r="C239" s="25" t="str">
        <f t="shared" si="100"/>
        <v>common</v>
      </c>
      <c r="D239" s="25" t="s">
        <v>3010</v>
      </c>
      <c r="E239" s="25" t="s">
        <v>3011</v>
      </c>
      <c r="F239" s="25" t="str">
        <f t="shared" ca="1" si="118"/>
        <v>gb</v>
      </c>
      <c r="G239" s="25"/>
      <c r="H239" s="2" t="str">
        <f t="shared" si="119"/>
        <v>[["1","세금계산서"],["2","계산서"],["3","신용카드"],["4","현금영수증"],["5","간이영수증"],["9","기타"]]</v>
      </c>
      <c r="I239" s="2" t="str">
        <f t="shared" si="110"/>
        <v>1:세금계산서 2:계산서 3:신용카드 4:현금영수증 5:간이영수증 9:기타</v>
      </c>
      <c r="J239" s="2"/>
      <c r="K239" s="2" t="str">
        <f t="shared" si="115"/>
        <v>1=세금계산서|2=계산서|3=신용카드|4=현금영수증|5=간이영수증|9=기타</v>
      </c>
      <c r="L239" s="2"/>
      <c r="M239" s="36" t="str">
        <f t="shared" ca="1" si="120"/>
        <v>0</v>
      </c>
      <c r="N239" s="36" t="str">
        <f t="shared" ca="1" si="121"/>
        <v>0</v>
      </c>
      <c r="O239" s="36" t="str">
        <f t="shared" si="122"/>
        <v>0</v>
      </c>
      <c r="P239" s="36" t="str">
        <f t="shared" si="123"/>
        <v>0</v>
      </c>
      <c r="Q239" s="35" t="str">
        <f t="shared" si="124"/>
        <v>prof_dvcd 증빙구분코드 [["1","세금계산서"],["2","계산서"],["3","신용카드"],["4","현금영수증"],["5","간이영수증"],["9","기타"]]</v>
      </c>
      <c r="R239" s="2" t="s">
        <v>921</v>
      </c>
      <c r="S239" s="2"/>
      <c r="T239" s="2"/>
      <c r="U239" s="2"/>
      <c r="V239" s="2"/>
      <c r="W239" s="2"/>
      <c r="X239" s="2"/>
      <c r="Y239" s="2"/>
      <c r="Z239" s="2"/>
      <c r="AA239" s="2"/>
      <c r="AB239" s="31" t="s">
        <v>3005</v>
      </c>
      <c r="AC239" s="25" t="s">
        <v>3012</v>
      </c>
      <c r="AD239" s="31" t="s">
        <v>3004</v>
      </c>
      <c r="AE239" s="25" t="s">
        <v>3013</v>
      </c>
      <c r="AF239" s="31" t="s">
        <v>3015</v>
      </c>
      <c r="AG239" s="25" t="s">
        <v>3014</v>
      </c>
      <c r="AH239" s="31" t="s">
        <v>3016</v>
      </c>
      <c r="AI239" s="25" t="s">
        <v>3017</v>
      </c>
      <c r="AJ239" s="31" t="s">
        <v>3018</v>
      </c>
      <c r="AK239" s="25" t="s">
        <v>3020</v>
      </c>
      <c r="AL239" s="31" t="s">
        <v>3019</v>
      </c>
      <c r="AM239" s="25" t="s">
        <v>612</v>
      </c>
      <c r="AN239" s="30"/>
      <c r="AO239" s="25"/>
      <c r="AP239" s="30"/>
      <c r="AQ239" s="25"/>
      <c r="AR239" s="30"/>
      <c r="AS239" s="25"/>
      <c r="AT239" s="30"/>
      <c r="AU239" s="25"/>
      <c r="AV239" s="30"/>
      <c r="AW239" s="25"/>
      <c r="AX239" s="30"/>
      <c r="AY239" s="25"/>
      <c r="AZ239" s="30"/>
      <c r="BA239" s="25"/>
      <c r="BB239" s="30"/>
      <c r="BC239" s="25"/>
      <c r="BD239" s="30"/>
      <c r="BE239" s="25"/>
      <c r="BF239" s="30"/>
      <c r="BG239" s="25"/>
      <c r="BH239" s="30"/>
      <c r="BI239" s="25"/>
      <c r="BJ239" s="30"/>
      <c r="BK239" s="25"/>
      <c r="BL239" s="30"/>
      <c r="BM239" s="25"/>
      <c r="BN239" s="30"/>
      <c r="BO239" s="25"/>
      <c r="BP239" s="30"/>
      <c r="BQ239" s="25"/>
      <c r="BR239" s="30"/>
      <c r="BS239" s="25"/>
      <c r="BT239" s="30"/>
      <c r="BU239" s="25"/>
      <c r="BV239" s="30"/>
      <c r="BW239" s="25"/>
      <c r="BX239" s="30"/>
      <c r="BY239" s="25"/>
      <c r="CA239" s="1" t="str">
        <f t="shared" ca="1" si="111"/>
        <v>delete from sscd_mast where sscd_idcd = 'prof_dvcd_KOR_common'  and site_idcd = 'common';</v>
      </c>
      <c r="CB239" s="5" t="str">
        <f ca="1">IF(E239&lt;&gt;"",CREATE_QUERY($B$1,A$2:AA$2,A239:AA239),"")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('prof_dvcd_KOR_common', 'KOR', 'common', 'prof_dvcd', '증빙구분코드', 'gb', '', '[["1","세금계산서"],["2","계산서"],["3","신용카드"],["4","현금영수증"],["5","간이영수증"],["9","기타"]]', '1:세금계산서 2:계산서 3:신용카드 4:현금영수증 5:간이영수증 9:기타', '', '1=세금계산서|2=계산서|3=신용카드|4=현금영수증|5=간이영수증|9=기타', '', '0', '0', '0', '0', 'prof_dvcd 증빙구분코드 [["1","세금계산서"],["2","계산서"],["3","신용카드"],["4","현금영수증"],["5","간이영수증"],["9","기타"]]', ' ', '', '', '', '', '', '', '', '', '');</v>
      </c>
    </row>
    <row r="240" spans="1:80" ht="17">
      <c r="A240" s="3" t="str">
        <f t="shared" ca="1" si="116"/>
        <v>refn_dvcd_KOR_common</v>
      </c>
      <c r="B240" s="2" t="str">
        <f t="shared" ca="1" si="117"/>
        <v>KOR</v>
      </c>
      <c r="C240" s="25" t="str">
        <f t="shared" si="100"/>
        <v>common</v>
      </c>
      <c r="D240" s="25" t="s">
        <v>3021</v>
      </c>
      <c r="E240" s="25" t="s">
        <v>3022</v>
      </c>
      <c r="F240" s="25" t="str">
        <f t="shared" ca="1" si="118"/>
        <v>gb</v>
      </c>
      <c r="G240" s="25"/>
      <c r="H240" s="2" t="str">
        <f t="shared" si="119"/>
        <v>[["1","용도.용법"],["2","보관방법"],["3","취급사항"],["4","세부취급사항"]]</v>
      </c>
      <c r="I240" s="2" t="str">
        <f t="shared" si="110"/>
        <v>1:용도.용법 2:보관방법 3:취급사항 4:세부취급사항</v>
      </c>
      <c r="J240" s="2"/>
      <c r="K240" s="2" t="str">
        <f t="shared" si="115"/>
        <v>1=용도.용법|2=보관방법|3=취급사항|4=세부취급사항</v>
      </c>
      <c r="L240" s="2"/>
      <c r="M240" s="36" t="str">
        <f t="shared" ca="1" si="120"/>
        <v>0</v>
      </c>
      <c r="N240" s="36" t="str">
        <f t="shared" ca="1" si="121"/>
        <v>0</v>
      </c>
      <c r="O240" s="36" t="str">
        <f t="shared" si="122"/>
        <v>0</v>
      </c>
      <c r="P240" s="36" t="str">
        <f t="shared" si="123"/>
        <v>0</v>
      </c>
      <c r="Q240" s="35" t="str">
        <f t="shared" si="124"/>
        <v>refn_dvcd 참조구분코드 [["1","용도.용법"],["2","보관방법"],["3","취급사항"],["4","세부취급사항"]]</v>
      </c>
      <c r="R240" s="2" t="s">
        <v>921</v>
      </c>
      <c r="S240" s="2"/>
      <c r="T240" s="2"/>
      <c r="U240" s="2"/>
      <c r="V240" s="2"/>
      <c r="W240" s="2"/>
      <c r="X240" s="2"/>
      <c r="Y240" s="2"/>
      <c r="Z240" s="2"/>
      <c r="AA240" s="2"/>
      <c r="AB240" s="31" t="s">
        <v>3023</v>
      </c>
      <c r="AC240" s="25" t="s">
        <v>3024</v>
      </c>
      <c r="AD240" s="31" t="s">
        <v>3025</v>
      </c>
      <c r="AE240" s="25" t="s">
        <v>3026</v>
      </c>
      <c r="AF240" s="31" t="s">
        <v>3027</v>
      </c>
      <c r="AG240" s="25" t="s">
        <v>3028</v>
      </c>
      <c r="AH240" s="31" t="s">
        <v>3029</v>
      </c>
      <c r="AI240" s="25" t="s">
        <v>3030</v>
      </c>
      <c r="AJ240" s="30"/>
      <c r="AK240" s="25"/>
      <c r="AL240" s="30"/>
      <c r="AM240" s="25"/>
      <c r="AN240" s="30"/>
      <c r="AO240" s="25"/>
      <c r="AP240" s="30"/>
      <c r="AQ240" s="25"/>
      <c r="AR240" s="30"/>
      <c r="AS240" s="25"/>
      <c r="AT240" s="30"/>
      <c r="AU240" s="25"/>
      <c r="AV240" s="30"/>
      <c r="AW240" s="25"/>
      <c r="AX240" s="30"/>
      <c r="AY240" s="25"/>
      <c r="AZ240" s="30"/>
      <c r="BA240" s="25"/>
      <c r="BB240" s="30"/>
      <c r="BC240" s="25"/>
      <c r="BD240" s="30"/>
      <c r="BE240" s="25"/>
      <c r="BF240" s="30"/>
      <c r="BG240" s="25"/>
      <c r="BH240" s="30"/>
      <c r="BI240" s="25"/>
      <c r="BJ240" s="30"/>
      <c r="BK240" s="25"/>
      <c r="BL240" s="30"/>
      <c r="BM240" s="25"/>
      <c r="BN240" s="30"/>
      <c r="BO240" s="25"/>
      <c r="BP240" s="30"/>
      <c r="BQ240" s="25"/>
      <c r="BR240" s="30"/>
      <c r="BS240" s="25"/>
      <c r="BT240" s="30"/>
      <c r="BU240" s="25"/>
      <c r="BV240" s="30"/>
      <c r="BW240" s="25"/>
      <c r="BX240" s="30"/>
      <c r="BY240" s="25"/>
      <c r="CA240" s="1" t="str">
        <f t="shared" ca="1" si="111"/>
        <v>delete from sscd_mast where sscd_idcd = 'refn_dvcd_KOR_common'  and site_idcd = 'common';</v>
      </c>
      <c r="CB240" s="5" t="str">
        <f ca="1">IF(E240&lt;&gt;"",CREATE_QUERY($B$1,A$2:AA$2,A240:AA240),"")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('refn_dvcd_KOR_common', 'KOR', 'common', 'refn_dvcd', '참조구분코드', 'gb', '', '[["1","용도.용법"],["2","보관방법"],["3","취급사항"],["4","세부취급사항"]]', '1:용도.용법 2:보관방법 3:취급사항 4:세부취급사항', '', '1=용도.용법|2=보관방법|3=취급사항|4=세부취급사항', '', '0', '0', '0', '0', 'refn_dvcd 참조구분코드 [["1","용도.용법"],["2","보관방법"],["3","취급사항"],["4","세부취급사항"]]', ' ', '', '', '', '', '', '', '', '', '');</v>
      </c>
    </row>
    <row r="241" spans="1:80" ht="17">
      <c r="A241" s="3" t="str">
        <f t="shared" ca="1" si="116"/>
        <v>stot_time_dvcd_KOR_common</v>
      </c>
      <c r="B241" s="2" t="str">
        <f t="shared" ca="1" si="117"/>
        <v>KOR</v>
      </c>
      <c r="C241" s="25" t="str">
        <f t="shared" si="100"/>
        <v>common</v>
      </c>
      <c r="D241" s="25" t="s">
        <v>3031</v>
      </c>
      <c r="E241" s="25" t="s">
        <v>3032</v>
      </c>
      <c r="F241" s="25" t="str">
        <f t="shared" ca="1" si="118"/>
        <v>gb</v>
      </c>
      <c r="G241" s="25"/>
      <c r="H241" s="2" t="str">
        <f t="shared" si="119"/>
        <v>[["11","CWO(Cash"],["With"],["Order)"],["12","T/T(Advenced"],["Telegraphic"],["Transfer"],["Payment)"],["13","Red"],["clause"],["credit"],["21","COD(Cash"],["On"],["Delivery)"],["22","CAD(Cash"],["Against"],["Documents)"],["23","D/P(Document"],["Against"],["Payment)"],["24","At"],["Sight"],["L/C"],["31","D/A(Document"],["Against"],["Acceptance)"],["32","Usance"],["D/P"],["33","Usance"],["L/C"],["34","Open"],["Account"]]</v>
      </c>
      <c r="I241" s="2" t="str">
        <f t="shared" si="110"/>
        <v>11:CWO(Cash With Order) 12:T/T(Advenced Telegraphic Transfer Payment) 13:Red clause credit 21:COD(Cash On Delivery) 22:CAD(Cash Against Documents) 23:D/P(Document Against Payment) 24:At Sight L/C 31:D/A(Document Against Acceptance) 32:Usance D/P 33:Usance L/C 34:Open Account</v>
      </c>
      <c r="J241" s="2"/>
      <c r="K241" s="2" t="str">
        <f t="shared" si="115"/>
        <v>11=CWO(Cash With Order)|12=T/T(Advenced Telegraphic Transfer Payment)|13=Red clause credit|21=COD(Cash On Delivery)|22=CAD(Cash Against Documents)|23=D/P(Document Against Payment)|24=At Sight L/C|31=D/A(Document Against Acceptance)|32=Usance D/P|33=Usance L/C|34=Open Account</v>
      </c>
      <c r="L241" s="2"/>
      <c r="M241" s="36" t="str">
        <f t="shared" ca="1" si="120"/>
        <v>0</v>
      </c>
      <c r="N241" s="36" t="str">
        <f t="shared" ca="1" si="121"/>
        <v>0</v>
      </c>
      <c r="O241" s="36" t="str">
        <f t="shared" si="122"/>
        <v>0</v>
      </c>
      <c r="P241" s="36" t="str">
        <f t="shared" si="123"/>
        <v>0</v>
      </c>
      <c r="Q241" s="35" t="str">
        <f t="shared" si="124"/>
        <v>stot_time_dvcd 결제시기구분코드 [["11","CWO(Cash"],["With"],["Order)"],["12","T/T(Advenced"],["Telegraphic"],["Transfer"],["Payment)"],["13","Red"],["clause"],["credit"],["21","COD(Cash"],["On"],["Delivery)"],["22","CAD(Cash"],["Against"],["Documents)"],["23","D/P(Document"],["Against"],["Payment)"],["24","At"],["Sight"],["L/C"],["31","D/A(Document"],["Against"],["Acceptance)"],["32","Usance"],["D/P"],["33","Usance"],["L/C"],["34","Open"],["Account"]]</v>
      </c>
      <c r="R241" s="2" t="s">
        <v>921</v>
      </c>
      <c r="S241" s="2"/>
      <c r="T241" s="2"/>
      <c r="U241" s="2"/>
      <c r="V241" s="2"/>
      <c r="W241" s="2"/>
      <c r="X241" s="2"/>
      <c r="Y241" s="2"/>
      <c r="Z241" s="2"/>
      <c r="AA241" s="2"/>
      <c r="AB241" s="31" t="s">
        <v>2618</v>
      </c>
      <c r="AC241" s="25" t="s">
        <v>3043</v>
      </c>
      <c r="AD241" s="31" t="s">
        <v>2619</v>
      </c>
      <c r="AE241" s="25" t="s">
        <v>3044</v>
      </c>
      <c r="AF241" s="31" t="s">
        <v>2852</v>
      </c>
      <c r="AG241" s="25" t="s">
        <v>3045</v>
      </c>
      <c r="AH241" s="31" t="s">
        <v>2850</v>
      </c>
      <c r="AI241" s="25" t="s">
        <v>3046</v>
      </c>
      <c r="AJ241" s="31" t="s">
        <v>2853</v>
      </c>
      <c r="AK241" s="25" t="s">
        <v>3048</v>
      </c>
      <c r="AL241" s="31" t="s">
        <v>2854</v>
      </c>
      <c r="AM241" s="25" t="s">
        <v>3047</v>
      </c>
      <c r="AN241" s="31" t="s">
        <v>3049</v>
      </c>
      <c r="AO241" s="25" t="s">
        <v>3050</v>
      </c>
      <c r="AP241" s="31" t="s">
        <v>3036</v>
      </c>
      <c r="AQ241" s="25" t="s">
        <v>3051</v>
      </c>
      <c r="AR241" s="31" t="s">
        <v>3035</v>
      </c>
      <c r="AS241" s="25" t="s">
        <v>3052</v>
      </c>
      <c r="AT241" s="31" t="s">
        <v>3053</v>
      </c>
      <c r="AU241" s="25" t="s">
        <v>3054</v>
      </c>
      <c r="AV241" s="31" t="s">
        <v>3055</v>
      </c>
      <c r="AW241" s="25" t="s">
        <v>3056</v>
      </c>
      <c r="AX241" s="30"/>
      <c r="AY241" s="25"/>
      <c r="AZ241" s="30"/>
      <c r="BA241" s="25"/>
      <c r="BB241" s="30"/>
      <c r="BC241" s="25"/>
      <c r="BD241" s="30"/>
      <c r="BE241" s="25"/>
      <c r="BF241" s="30"/>
      <c r="BG241" s="25"/>
      <c r="BH241" s="30"/>
      <c r="BI241" s="25"/>
      <c r="BJ241" s="30"/>
      <c r="BK241" s="25"/>
      <c r="BL241" s="30"/>
      <c r="BM241" s="25"/>
      <c r="BN241" s="30"/>
      <c r="BO241" s="25"/>
      <c r="BP241" s="30"/>
      <c r="BQ241" s="25"/>
      <c r="BR241" s="30"/>
      <c r="BS241" s="25"/>
      <c r="BT241" s="30"/>
      <c r="BU241" s="25"/>
      <c r="BV241" s="30"/>
      <c r="BW241" s="25"/>
      <c r="BX241" s="30"/>
      <c r="BY241" s="25"/>
      <c r="CA241" s="1" t="str">
        <f t="shared" ca="1" si="111"/>
        <v>delete from sscd_mast where sscd_idcd = 'stot_time_dvcd_KOR_common'  and site_idcd = 'common';</v>
      </c>
      <c r="CB241" s="5" t="str">
        <f ca="1">IF(E241&lt;&gt;"",CREATE_QUERY($B$1,A$2:AA$2,A241:AA241),"")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('stot_time_dvcd_KOR_common', 'KOR', 'common', 'stot_time_dvcd', '결제시기구분코드', 'gb', '', '[["11","CWO(Cash"],["With"],["Order)"],["12","T/T(Advenced"],["Telegraphic"],["Transfer"],["Payment)"],["13","Red"],["clause"],["credit"],["21","COD(Cash"],["On"],["Delivery)"],["22","CAD(Cash"],["Against"],["Documents)"],["23","D/P(Document"],["Against"],["Payment)"],["24","At"],["Sight"],["L/C"],["31","D/A(Document"],["Against"],["Acceptance)"],["32","Usance"],["D/P"],["33","Usance"],["L/C"],["34","Open"],["Account"]]', '11:CWO(Cash With Order) 12:T/T(Advenced Telegraphic Transfer Payment) 13:Red clause credit 21:COD(Cash On Delivery) 22:CAD(Cash Against Documents) 23:D/P(Document Against Payment) 24:At Sight L/C 31:D/A(Document Against Acceptance) 32:Usance D/P 33:Usance L/C 34:Open Account', '', '11=CWO(Cash With Order)|12=T/T(Advenced Telegraphic Transfer Payment)|13=Red clause credit|21=COD(Cash On Delivery)|22=CAD(Cash Against Documents)|23=D/P(Document Against Payment)|24=At Sight L/C|31=D/A(Document Against Acceptance)|32=Usance D/P|33=Usance L/C|34=Open Account', '', '0', '0', '0', '0', 'stot_time_dvcd 결제시기구분코드 [["11","CWO(Cash"],["With"],["Order)"],["12","T/T(Advenced"],["Telegraphic"],["Transfer"],["Payment)"],["13","Red"],["clause"],["credit"],["21","COD(Cash"],["On"],["Delivery)"],["22","CAD(Cash"],["Against"],["Documents)"],["23","D/P(Document"],["Against"],["Payment)"],["24","At"],["Sight"],["L/C"],["31","D/A(Document"],["Against"],["Acceptance)"],["32","Usance"],["D/P"],["33","Usance"],["L/C"],["34","Open"],["Account"]]', ' ', '', '', '', '', '', '', '', '', '');</v>
      </c>
    </row>
    <row r="242" spans="1:80" ht="17">
      <c r="A242" s="3" t="str">
        <f t="shared" ca="1" si="116"/>
        <v>gods_dvcd_KOR_common</v>
      </c>
      <c r="B242" s="2" t="str">
        <f t="shared" ca="1" si="117"/>
        <v>KOR</v>
      </c>
      <c r="C242" s="25" t="str">
        <f t="shared" si="100"/>
        <v>common</v>
      </c>
      <c r="D242" s="25" t="s">
        <v>3037</v>
      </c>
      <c r="E242" s="25" t="s">
        <v>3038</v>
      </c>
      <c r="F242" s="25" t="str">
        <f t="shared" ca="1" si="118"/>
        <v>gb</v>
      </c>
      <c r="G242" s="25"/>
      <c r="H242" s="2" t="str">
        <f t="shared" si="119"/>
        <v>[["1","재화"],["2","용역"],["9","기타"]]</v>
      </c>
      <c r="I242" s="2" t="str">
        <f t="shared" si="110"/>
        <v>1:재화 2:용역 9:기타</v>
      </c>
      <c r="J242" s="2"/>
      <c r="K242" s="2" t="str">
        <f t="shared" si="115"/>
        <v>1=재화|2=용역|9=기타</v>
      </c>
      <c r="L242" s="2"/>
      <c r="M242" s="36" t="str">
        <f t="shared" ca="1" si="120"/>
        <v>0</v>
      </c>
      <c r="N242" s="36" t="str">
        <f t="shared" ca="1" si="121"/>
        <v>0</v>
      </c>
      <c r="O242" s="36" t="str">
        <f t="shared" si="122"/>
        <v>0</v>
      </c>
      <c r="P242" s="36" t="str">
        <f t="shared" si="123"/>
        <v>0</v>
      </c>
      <c r="Q242" s="35" t="str">
        <f t="shared" si="124"/>
        <v>gods_dvcd 재화구분코드 [["1","재화"],["2","용역"],["9","기타"]]</v>
      </c>
      <c r="R242" s="2" t="s">
        <v>921</v>
      </c>
      <c r="S242" s="2"/>
      <c r="T242" s="2"/>
      <c r="U242" s="2"/>
      <c r="V242" s="2"/>
      <c r="W242" s="2"/>
      <c r="X242" s="2"/>
      <c r="Y242" s="2"/>
      <c r="Z242" s="2"/>
      <c r="AA242" s="2"/>
      <c r="AB242" s="31" t="s">
        <v>3033</v>
      </c>
      <c r="AC242" s="25" t="s">
        <v>3039</v>
      </c>
      <c r="AD242" s="31" t="s">
        <v>3034</v>
      </c>
      <c r="AE242" s="25" t="s">
        <v>3040</v>
      </c>
      <c r="AF242" s="31" t="s">
        <v>3041</v>
      </c>
      <c r="AG242" s="25" t="s">
        <v>3042</v>
      </c>
      <c r="AH242" s="30"/>
      <c r="AI242" s="25"/>
      <c r="AJ242" s="30"/>
      <c r="AK242" s="25"/>
      <c r="AL242" s="30"/>
      <c r="AM242" s="25"/>
      <c r="AN242" s="30"/>
      <c r="AO242" s="25"/>
      <c r="AP242" s="30"/>
      <c r="AQ242" s="25"/>
      <c r="AR242" s="30"/>
      <c r="AS242" s="25"/>
      <c r="AT242" s="30"/>
      <c r="AU242" s="25"/>
      <c r="AV242" s="30"/>
      <c r="AW242" s="25"/>
      <c r="AX242" s="30"/>
      <c r="AY242" s="25"/>
      <c r="AZ242" s="30"/>
      <c r="BA242" s="25"/>
      <c r="BB242" s="30"/>
      <c r="BC242" s="25"/>
      <c r="BD242" s="30"/>
      <c r="BE242" s="25"/>
      <c r="BF242" s="30"/>
      <c r="BG242" s="25"/>
      <c r="BH242" s="30"/>
      <c r="BI242" s="25"/>
      <c r="BJ242" s="30"/>
      <c r="BK242" s="25"/>
      <c r="BL242" s="30"/>
      <c r="BM242" s="25"/>
      <c r="BN242" s="30"/>
      <c r="BO242" s="25"/>
      <c r="BP242" s="30"/>
      <c r="BQ242" s="25"/>
      <c r="BR242" s="30"/>
      <c r="BS242" s="25"/>
      <c r="BT242" s="30"/>
      <c r="BU242" s="25"/>
      <c r="BV242" s="30"/>
      <c r="BW242" s="25"/>
      <c r="BX242" s="30"/>
      <c r="BY242" s="25"/>
      <c r="CA242" s="1" t="str">
        <f t="shared" ca="1" si="111"/>
        <v>delete from sscd_mast where sscd_idcd = 'gods_dvcd_KOR_common'  and site_idcd = 'common';</v>
      </c>
      <c r="CB242" s="5" t="str">
        <f ca="1">IF(E242&lt;&gt;"",CREATE_QUERY($B$1,A$2:AA$2,A242:AA242),"")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('gods_dvcd_KOR_common', 'KOR', 'common', 'gods_dvcd', '재화구분코드', 'gb', '', '[["1","재화"],["2","용역"],["9","기타"]]', '1:재화 2:용역 9:기타', '', '1=재화|2=용역|9=기타', '', '0', '0', '0', '0', 'gods_dvcd 재화구분코드 [["1","재화"],["2","용역"],["9","기타"]]', ' ', '', '', '', '', '', '', '', '', '');</v>
      </c>
    </row>
    <row r="243" spans="1:80" ht="17">
      <c r="A243" s="3" t="str">
        <f t="shared" ca="1" si="116"/>
        <v>trde_stot_dvcd_KOR_common</v>
      </c>
      <c r="B243" s="2" t="str">
        <f t="shared" ca="1" si="117"/>
        <v>KOR</v>
      </c>
      <c r="C243" s="25" t="str">
        <f t="shared" si="100"/>
        <v>common</v>
      </c>
      <c r="D243" s="25" t="s">
        <v>3065</v>
      </c>
      <c r="E243" s="25" t="s">
        <v>3066</v>
      </c>
      <c r="F243" s="25" t="str">
        <f t="shared" ca="1" si="118"/>
        <v>gb</v>
      </c>
      <c r="G243" s="25"/>
      <c r="H243" s="2" t="str">
        <f t="shared" si="119"/>
        <v>[["10","T/T(송금)"],["21","D/A"],["22","D/P"],["30","L/C"]]</v>
      </c>
      <c r="I243" s="2" t="str">
        <f t="shared" si="110"/>
        <v>10:T/T(송금) 21:D/A 22:D/P 30:L/C</v>
      </c>
      <c r="J243" s="2"/>
      <c r="K243" s="2" t="str">
        <f t="shared" si="115"/>
        <v>10=T/T(송금)|21=D/A|22=D/P|30=L/C</v>
      </c>
      <c r="L243" s="2"/>
      <c r="M243" s="36" t="str">
        <f t="shared" ca="1" si="120"/>
        <v>0</v>
      </c>
      <c r="N243" s="36" t="str">
        <f t="shared" ca="1" si="121"/>
        <v>0</v>
      </c>
      <c r="O243" s="36" t="str">
        <f t="shared" si="122"/>
        <v>0</v>
      </c>
      <c r="P243" s="36" t="str">
        <f t="shared" si="123"/>
        <v>0</v>
      </c>
      <c r="Q243" s="35" t="str">
        <f t="shared" si="124"/>
        <v>trde_stot_dvcd 무역결제구분코드 [["10","T/T(송금)"],["21","D/A"],["22","D/P"],["30","L/C"]]</v>
      </c>
      <c r="R243" s="2" t="s">
        <v>921</v>
      </c>
      <c r="S243" s="2"/>
      <c r="T243" s="2"/>
      <c r="U243" s="2"/>
      <c r="V243" s="2"/>
      <c r="W243" s="2"/>
      <c r="X243" s="2"/>
      <c r="Y243" s="2"/>
      <c r="Z243" s="2"/>
      <c r="AA243" s="2"/>
      <c r="AB243" s="31" t="s">
        <v>3057</v>
      </c>
      <c r="AC243" s="25" t="s">
        <v>3058</v>
      </c>
      <c r="AD243" s="31" t="s">
        <v>3059</v>
      </c>
      <c r="AE243" s="25" t="s">
        <v>3060</v>
      </c>
      <c r="AF243" s="31" t="s">
        <v>3061</v>
      </c>
      <c r="AG243" s="25" t="s">
        <v>3062</v>
      </c>
      <c r="AH243" s="31" t="s">
        <v>3063</v>
      </c>
      <c r="AI243" s="25" t="s">
        <v>3064</v>
      </c>
      <c r="AJ243" s="30"/>
      <c r="AK243" s="25"/>
      <c r="AL243" s="30"/>
      <c r="AM243" s="25"/>
      <c r="AN243" s="30"/>
      <c r="AO243" s="25"/>
      <c r="AP243" s="30"/>
      <c r="AQ243" s="25"/>
      <c r="AR243" s="30"/>
      <c r="AS243" s="25"/>
      <c r="AT243" s="30"/>
      <c r="AU243" s="25"/>
      <c r="AV243" s="30"/>
      <c r="AW243" s="25"/>
      <c r="AX243" s="30"/>
      <c r="AY243" s="25"/>
      <c r="AZ243" s="30"/>
      <c r="BA243" s="25"/>
      <c r="BB243" s="30"/>
      <c r="BC243" s="25"/>
      <c r="BD243" s="30"/>
      <c r="BE243" s="25"/>
      <c r="BF243" s="30"/>
      <c r="BG243" s="25"/>
      <c r="BH243" s="30"/>
      <c r="BI243" s="25"/>
      <c r="BJ243" s="30"/>
      <c r="BK243" s="25"/>
      <c r="BL243" s="30"/>
      <c r="BM243" s="25"/>
      <c r="BN243" s="30"/>
      <c r="BO243" s="25"/>
      <c r="BP243" s="30"/>
      <c r="BQ243" s="25"/>
      <c r="BR243" s="30"/>
      <c r="BS243" s="25"/>
      <c r="BT243" s="30"/>
      <c r="BU243" s="25"/>
      <c r="BV243" s="30"/>
      <c r="BW243" s="25"/>
      <c r="BX243" s="30"/>
      <c r="BY243" s="25"/>
      <c r="CA243" s="1" t="str">
        <f t="shared" ca="1" si="111"/>
        <v>delete from sscd_mast where sscd_idcd = 'trde_stot_dvcd_KOR_common'  and site_idcd = 'common';</v>
      </c>
      <c r="CB243" s="5" t="str">
        <f ca="1">IF(E243&lt;&gt;"",CREATE_QUERY($B$1,A$2:AA$2,A243:AA243),"")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('trde_stot_dvcd_KOR_common', 'KOR', 'common', 'trde_stot_dvcd', '무역결제구분코드', 'gb', '', '[["10","T/T(송금)"],["21","D/A"],["22","D/P"],["30","L/C"]]', '10:T/T(송금) 21:D/A 22:D/P 30:L/C', '', '10=T/T(송금)|21=D/A|22=D/P|30=L/C', '', '0', '0', '0', '0', 'trde_stot_dvcd 무역결제구분코드 [["10","T/T(송금)"],["21","D/A"],["22","D/P"],["30","L/C"]]', ' ', '', '', '', '', '', '', '', '', '');</v>
      </c>
    </row>
    <row r="244" spans="1:80" ht="17">
      <c r="A244" s="3" t="str">
        <f t="shared" ca="1" si="116"/>
        <v>expt_invc_dvcd_KOR_common</v>
      </c>
      <c r="B244" s="2" t="str">
        <f t="shared" ca="1" si="117"/>
        <v>KOR</v>
      </c>
      <c r="C244" s="25" t="str">
        <f t="shared" si="100"/>
        <v>common</v>
      </c>
      <c r="D244" s="25" t="s">
        <v>3067</v>
      </c>
      <c r="E244" s="25" t="s">
        <v>3068</v>
      </c>
      <c r="F244" s="25" t="str">
        <f t="shared" ca="1" si="118"/>
        <v>gb</v>
      </c>
      <c r="G244" s="25"/>
      <c r="H244" s="2" t="str">
        <f t="shared" si="119"/>
        <v>[["01","일반수출면장"],["02","무상수출(반송)면장"]]</v>
      </c>
      <c r="I244" s="2" t="str">
        <f t="shared" si="110"/>
        <v>01:일반수출면장 02:무상수출(반송)면장</v>
      </c>
      <c r="J244" s="2"/>
      <c r="K244" s="2" t="str">
        <f t="shared" si="115"/>
        <v>01=일반수출면장|02=무상수출(반송)면장</v>
      </c>
      <c r="L244" s="2"/>
      <c r="M244" s="36" t="str">
        <f t="shared" ca="1" si="120"/>
        <v>0</v>
      </c>
      <c r="N244" s="36" t="str">
        <f t="shared" ca="1" si="121"/>
        <v>0</v>
      </c>
      <c r="O244" s="36" t="str">
        <f t="shared" si="122"/>
        <v>0</v>
      </c>
      <c r="P244" s="36" t="str">
        <f t="shared" si="123"/>
        <v>0</v>
      </c>
      <c r="Q244" s="35" t="str">
        <f t="shared" si="124"/>
        <v>expt_invc_dvcd 수출면장구분코드 [["01","일반수출면장"],["02","무상수출(반송)면장"]]</v>
      </c>
      <c r="R244" s="2" t="s">
        <v>921</v>
      </c>
      <c r="S244" s="2"/>
      <c r="T244" s="2"/>
      <c r="U244" s="2"/>
      <c r="V244" s="2"/>
      <c r="W244" s="2"/>
      <c r="X244" s="2"/>
      <c r="Y244" s="2"/>
      <c r="Z244" s="2"/>
      <c r="AA244" s="2"/>
      <c r="AB244" s="31" t="s">
        <v>3069</v>
      </c>
      <c r="AC244" s="25" t="s">
        <v>3070</v>
      </c>
      <c r="AD244" s="31" t="s">
        <v>3071</v>
      </c>
      <c r="AE244" s="25" t="s">
        <v>3072</v>
      </c>
      <c r="AF244" s="30"/>
      <c r="AG244" s="25"/>
      <c r="AH244" s="30"/>
      <c r="AI244" s="25"/>
      <c r="AJ244" s="30"/>
      <c r="AK244" s="25"/>
      <c r="AL244" s="30"/>
      <c r="AM244" s="25"/>
      <c r="AN244" s="30"/>
      <c r="AO244" s="25"/>
      <c r="AP244" s="30"/>
      <c r="AQ244" s="25"/>
      <c r="AR244" s="30"/>
      <c r="AS244" s="25"/>
      <c r="AT244" s="30"/>
      <c r="AU244" s="25"/>
      <c r="AV244" s="30"/>
      <c r="AW244" s="25"/>
      <c r="AX244" s="30"/>
      <c r="AY244" s="25"/>
      <c r="AZ244" s="30"/>
      <c r="BA244" s="25"/>
      <c r="BB244" s="30"/>
      <c r="BC244" s="25"/>
      <c r="BD244" s="30"/>
      <c r="BE244" s="25"/>
      <c r="BF244" s="30"/>
      <c r="BG244" s="25"/>
      <c r="BH244" s="30"/>
      <c r="BI244" s="25"/>
      <c r="BJ244" s="30"/>
      <c r="BK244" s="25"/>
      <c r="BL244" s="30"/>
      <c r="BM244" s="25"/>
      <c r="BN244" s="30"/>
      <c r="BO244" s="25"/>
      <c r="BP244" s="30"/>
      <c r="BQ244" s="25"/>
      <c r="BR244" s="30"/>
      <c r="BS244" s="25"/>
      <c r="BT244" s="30"/>
      <c r="BU244" s="25"/>
      <c r="BV244" s="30"/>
      <c r="BW244" s="25"/>
      <c r="BX244" s="30"/>
      <c r="BY244" s="25"/>
      <c r="CA244" s="1" t="str">
        <f t="shared" ca="1" si="111"/>
        <v>delete from sscd_mast where sscd_idcd = 'expt_invc_dvcd_KOR_common'  and site_idcd = 'common';</v>
      </c>
      <c r="CB244" s="5" t="str">
        <f ca="1">IF(E244&lt;&gt;"",CREATE_QUERY($B$1,A$2:AA$2,A244:AA244),"")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('expt_invc_dvcd_KOR_common', 'KOR', 'common', 'expt_invc_dvcd', '수출면장구분코드', 'gb', '', '[["01","일반수출면장"],["02","무상수출(반송)면장"]]', '01:일반수출면장 02:무상수출(반송)면장', '', '01=일반수출면장|02=무상수출(반송)면장', '', '0', '0', '0', '0', 'expt_invc_dvcd 수출면장구분코드 [["01","일반수출면장"],["02","무상수출(반송)면장"]]', ' ', '', '', '', '', '', '', '', '', '');</v>
      </c>
    </row>
    <row r="245" spans="1:80" ht="17">
      <c r="A245" s="3" t="str">
        <f t="shared" ca="1" si="116"/>
        <v>imex_path_dvcd_KOR_common</v>
      </c>
      <c r="B245" s="2" t="str">
        <f t="shared" ca="1" si="117"/>
        <v>KOR</v>
      </c>
      <c r="C245" s="25" t="str">
        <f t="shared" si="100"/>
        <v>common</v>
      </c>
      <c r="D245" s="25" t="s">
        <v>3073</v>
      </c>
      <c r="E245" s="25" t="s">
        <v>3074</v>
      </c>
      <c r="F245" s="25" t="str">
        <f t="shared" ca="1" si="118"/>
        <v>gb</v>
      </c>
      <c r="G245" s="25"/>
      <c r="H245" s="2" t="str">
        <f t="shared" si="119"/>
        <v>[["10","수입Order"],["20","수입Invoice"],["30","수입B/L"],["40","수입신고필증"]]</v>
      </c>
      <c r="I245" s="2" t="str">
        <f t="shared" si="110"/>
        <v>10:수입Order 20:수입Invoice 30:수입B/L 40:수입신고필증</v>
      </c>
      <c r="J245" s="2"/>
      <c r="K245" s="2" t="str">
        <f t="shared" ref="K245:K277" si="125">IF(AB245="","",AB245&amp;"="&amp;AC245)&amp;
IF(AD245="","","|"&amp;AD245&amp;"="&amp;AE245)&amp;
IF(AF245="","","|"&amp;AF245&amp;"="&amp;AG245)&amp;
IF(AH245="","","|"&amp;AH245&amp;"="&amp;AI245)&amp;
IF(AJ245="","","|"&amp;AJ245&amp;"="&amp;AK245)&amp;
IF(AL245="","","|"&amp;AL245&amp;"="&amp;AM245)&amp;
IF(AN245="","","|"&amp;AN245&amp;"="&amp;AO245)&amp;
IF(AP245="","","|"&amp;AP245&amp;"="&amp;AQ245)&amp;
IF(AR245="","","|"&amp;AR245&amp;"="&amp;AS245)&amp;
IF(AT245="","","|"&amp;AT245&amp;"="&amp;AU245)&amp;
IF(AV245="","","|"&amp;AV245&amp;"="&amp;AW245)&amp;
IF(AX245="","","|"&amp;AX245&amp;"="&amp;AY245)&amp;
IF(AZ245="","","|"&amp;AZ245&amp;"="&amp;BA245)&amp;
IF(BB245="","","|"&amp;BB245&amp;"="&amp;BC245)&amp;
IF(BD245="","","|"&amp;BD245&amp;"="&amp;BE245)&amp;
IF(BF245="","","|"&amp;BF245&amp;"="&amp;BG245)&amp;
IF(BH245="","","|"&amp;BH245&amp;"="&amp;BI245)&amp;
IF(BJ245="","","|"&amp;BJ245&amp;"="&amp;BK245)&amp;
IF(BL245="","","|"&amp;BL245&amp;"="&amp;BM245)&amp;
IF(BN245="","","|"&amp;BN245&amp;"="&amp;BO245)&amp;
IF(BP245="","","|"&amp;BP245&amp;"="&amp;BS245)&amp;
IF(BZ245="","","|"&amp;BZ245&amp;"="&amp;CA245)</f>
        <v>10=수입Order|20=수입Invoice|30=수입B/L|40=수입신고필증</v>
      </c>
      <c r="L245" s="2"/>
      <c r="M245" s="36" t="str">
        <f t="shared" ca="1" si="120"/>
        <v>0</v>
      </c>
      <c r="N245" s="36" t="str">
        <f t="shared" ca="1" si="121"/>
        <v>0</v>
      </c>
      <c r="O245" s="36" t="str">
        <f t="shared" si="122"/>
        <v>0</v>
      </c>
      <c r="P245" s="36" t="str">
        <f t="shared" si="123"/>
        <v>0</v>
      </c>
      <c r="Q245" s="35" t="str">
        <f t="shared" si="124"/>
        <v>imex_path_dvcd 수입비용경로구분코드 [["10","수입Order"],["20","수입Invoice"],["30","수입B/L"],["40","수입신고필증"]]</v>
      </c>
      <c r="R245" s="2" t="s">
        <v>921</v>
      </c>
      <c r="S245" s="2"/>
      <c r="T245" s="2"/>
      <c r="U245" s="2"/>
      <c r="V245" s="2"/>
      <c r="W245" s="2"/>
      <c r="X245" s="2"/>
      <c r="Y245" s="2"/>
      <c r="Z245" s="2"/>
      <c r="AA245" s="2"/>
      <c r="AB245" s="31" t="s">
        <v>3075</v>
      </c>
      <c r="AC245" s="25" t="s">
        <v>3076</v>
      </c>
      <c r="AD245" s="31" t="s">
        <v>3077</v>
      </c>
      <c r="AE245" s="25" t="s">
        <v>3078</v>
      </c>
      <c r="AF245" s="31" t="s">
        <v>3079</v>
      </c>
      <c r="AG245" s="25" t="s">
        <v>3080</v>
      </c>
      <c r="AH245" s="31" t="s">
        <v>3081</v>
      </c>
      <c r="AI245" s="25" t="s">
        <v>3082</v>
      </c>
      <c r="AJ245" s="30"/>
      <c r="AK245" s="25"/>
      <c r="AL245" s="30"/>
      <c r="AM245" s="25"/>
      <c r="AN245" s="30"/>
      <c r="AO245" s="25"/>
      <c r="AP245" s="30"/>
      <c r="AQ245" s="25"/>
      <c r="AR245" s="30"/>
      <c r="AS245" s="25"/>
      <c r="AT245" s="30"/>
      <c r="AU245" s="25"/>
      <c r="AV245" s="30"/>
      <c r="AW245" s="25"/>
      <c r="AX245" s="30"/>
      <c r="AY245" s="25"/>
      <c r="AZ245" s="30"/>
      <c r="BA245" s="25"/>
      <c r="BB245" s="30"/>
      <c r="BC245" s="25"/>
      <c r="BD245" s="30"/>
      <c r="BE245" s="25"/>
      <c r="BF245" s="30"/>
      <c r="BG245" s="25"/>
      <c r="BH245" s="30"/>
      <c r="BI245" s="25"/>
      <c r="BJ245" s="30"/>
      <c r="BK245" s="25"/>
      <c r="BL245" s="30"/>
      <c r="BM245" s="25"/>
      <c r="BN245" s="30"/>
      <c r="BO245" s="25"/>
      <c r="BP245" s="30"/>
      <c r="BQ245" s="25"/>
      <c r="BR245" s="30"/>
      <c r="BS245" s="25"/>
      <c r="BT245" s="30"/>
      <c r="BU245" s="25"/>
      <c r="BV245" s="30"/>
      <c r="BW245" s="25"/>
      <c r="BX245" s="30"/>
      <c r="BY245" s="25"/>
      <c r="CA245" s="1" t="str">
        <f t="shared" ca="1" si="111"/>
        <v>delete from sscd_mast where sscd_idcd = 'imex_path_dvcd_KOR_common'  and site_idcd = 'common';</v>
      </c>
      <c r="CB245" s="5" t="str">
        <f ca="1">IF(E245&lt;&gt;"",CREATE_QUERY($B$1,A$2:AA$2,A245:AA245),"")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('imex_path_dvcd_KOR_common', 'KOR', 'common', 'imex_path_dvcd', '수입비용경로구분코드', 'gb', '', '[["10","수입Order"],["20","수입Invoice"],["30","수입B/L"],["40","수입신고필증"]]', '10:수입Order 20:수입Invoice 30:수입B/L 40:수입신고필증', '', '10=수입Order|20=수입Invoice|30=수입B/L|40=수입신고필증', '', '0', '0', '0', '0', 'imex_path_dvcd 수입비용경로구분코드 [["10","수입Order"],["20","수입Invoice"],["30","수입B/L"],["40","수입신고필증"]]', ' ', '', '', '', '', '', '', '', '', '');</v>
      </c>
    </row>
    <row r="246" spans="1:80" ht="17">
      <c r="A246" s="3" t="str">
        <f t="shared" ca="1" si="116"/>
        <v>sale_path_dvcd_KOR_common</v>
      </c>
      <c r="B246" s="2" t="str">
        <f t="shared" ca="1" si="117"/>
        <v>KOR</v>
      </c>
      <c r="C246" s="25" t="str">
        <f t="shared" si="100"/>
        <v>common</v>
      </c>
      <c r="D246" s="25" t="s">
        <v>3083</v>
      </c>
      <c r="E246" s="25" t="s">
        <v>3084</v>
      </c>
      <c r="F246" s="25" t="str">
        <f t="shared" ca="1" si="118"/>
        <v>gb</v>
      </c>
      <c r="G246" s="25"/>
      <c r="H246" s="2" t="str">
        <f t="shared" si="119"/>
        <v>[["00","정상"],["90","적송품"],["이월"]]</v>
      </c>
      <c r="I246" s="2" t="str">
        <f t="shared" si="110"/>
        <v>00:정상 90:적송품 이월</v>
      </c>
      <c r="J246" s="2"/>
      <c r="K246" s="2" t="str">
        <f t="shared" si="125"/>
        <v>00=정상|90=적송품 이월</v>
      </c>
      <c r="L246" s="2"/>
      <c r="M246" s="36" t="str">
        <f t="shared" ca="1" si="120"/>
        <v>0</v>
      </c>
      <c r="N246" s="36" t="str">
        <f t="shared" ca="1" si="121"/>
        <v>0</v>
      </c>
      <c r="O246" s="36" t="str">
        <f t="shared" si="122"/>
        <v>0</v>
      </c>
      <c r="P246" s="36" t="str">
        <f t="shared" si="123"/>
        <v>0</v>
      </c>
      <c r="Q246" s="35" t="str">
        <f t="shared" si="124"/>
        <v>sale_path_dvcd 판매경로구분코드 [["00","정상"],["90","적송품"],["이월"]]</v>
      </c>
      <c r="R246" s="2" t="s">
        <v>921</v>
      </c>
      <c r="S246" s="2"/>
      <c r="T246" s="2"/>
      <c r="U246" s="2"/>
      <c r="V246" s="2"/>
      <c r="W246" s="2"/>
      <c r="X246" s="2"/>
      <c r="Y246" s="2"/>
      <c r="Z246" s="2"/>
      <c r="AA246" s="2"/>
      <c r="AB246" s="31" t="s">
        <v>3085</v>
      </c>
      <c r="AC246" s="25" t="s">
        <v>3086</v>
      </c>
      <c r="AD246" s="31" t="s">
        <v>3087</v>
      </c>
      <c r="AE246" s="25" t="s">
        <v>3088</v>
      </c>
      <c r="AF246" s="30"/>
      <c r="AG246" s="25"/>
      <c r="AH246" s="30"/>
      <c r="AI246" s="25"/>
      <c r="AJ246" s="30"/>
      <c r="AK246" s="25"/>
      <c r="AL246" s="30"/>
      <c r="AM246" s="25"/>
      <c r="AN246" s="30"/>
      <c r="AO246" s="25"/>
      <c r="AP246" s="30"/>
      <c r="AQ246" s="25"/>
      <c r="AR246" s="30"/>
      <c r="AS246" s="25"/>
      <c r="AT246" s="30"/>
      <c r="AU246" s="25"/>
      <c r="AV246" s="30"/>
      <c r="AW246" s="25"/>
      <c r="AX246" s="30"/>
      <c r="AY246" s="25"/>
      <c r="AZ246" s="30"/>
      <c r="BA246" s="25"/>
      <c r="BB246" s="30"/>
      <c r="BC246" s="25"/>
      <c r="BD246" s="30"/>
      <c r="BE246" s="25"/>
      <c r="BF246" s="30"/>
      <c r="BG246" s="25"/>
      <c r="BH246" s="30"/>
      <c r="BI246" s="25"/>
      <c r="BJ246" s="30"/>
      <c r="BK246" s="25"/>
      <c r="BL246" s="30"/>
      <c r="BM246" s="25"/>
      <c r="BN246" s="30"/>
      <c r="BO246" s="25"/>
      <c r="BP246" s="30"/>
      <c r="BQ246" s="25"/>
      <c r="BR246" s="30"/>
      <c r="BS246" s="25"/>
      <c r="BT246" s="30"/>
      <c r="BU246" s="25"/>
      <c r="BV246" s="30"/>
      <c r="BW246" s="25"/>
      <c r="BX246" s="30"/>
      <c r="BY246" s="25"/>
      <c r="CA246" s="1" t="str">
        <f t="shared" ca="1" si="111"/>
        <v>delete from sscd_mast where sscd_idcd = 'sale_path_dvcd_KOR_common'  and site_idcd = 'common';</v>
      </c>
      <c r="CB246" s="5" t="str">
        <f ca="1">IF(E246&lt;&gt;"",CREATE_QUERY($B$1,A$2:AA$2,A246:AA246),"")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('sale_path_dvcd_KOR_common', 'KOR', 'common', 'sale_path_dvcd', '판매경로구분코드', 'gb', '', '[["00","정상"],["90","적송품"],["이월"]]', '00:정상 90:적송품 이월', '', '00=정상|90=적송품 이월', '', '0', '0', '0', '0', 'sale_path_dvcd 판매경로구분코드 [["00","정상"],["90","적송품"],["이월"]]', ' ', '', '', '', '', '', '', '', '', '');</v>
      </c>
    </row>
    <row r="247" spans="1:80" ht="17">
      <c r="A247" s="3" t="str">
        <f t="shared" ca="1" si="116"/>
        <v>expt_dmst_dvcd_KOR_common</v>
      </c>
      <c r="B247" s="2" t="str">
        <f t="shared" ca="1" si="117"/>
        <v>KOR</v>
      </c>
      <c r="C247" s="25" t="str">
        <f t="shared" si="100"/>
        <v>common</v>
      </c>
      <c r="D247" s="25" t="s">
        <v>3089</v>
      </c>
      <c r="E247" s="25" t="s">
        <v>3090</v>
      </c>
      <c r="F247" s="25" t="str">
        <f t="shared" ca="1" si="118"/>
        <v>gb</v>
      </c>
      <c r="G247" s="25"/>
      <c r="H247" s="2" t="str">
        <f t="shared" si="119"/>
        <v>[["D","내수"],["E","수출"]]</v>
      </c>
      <c r="I247" s="2" t="str">
        <f t="shared" si="110"/>
        <v>D:내수 E:수출</v>
      </c>
      <c r="J247" s="2"/>
      <c r="K247" s="2" t="str">
        <f t="shared" si="125"/>
        <v>D=내수|E=수출</v>
      </c>
      <c r="L247" s="2"/>
      <c r="M247" s="36" t="str">
        <f t="shared" ca="1" si="120"/>
        <v>0</v>
      </c>
      <c r="N247" s="36" t="str">
        <f t="shared" ca="1" si="121"/>
        <v>0</v>
      </c>
      <c r="O247" s="36" t="str">
        <f t="shared" si="122"/>
        <v>0</v>
      </c>
      <c r="P247" s="36" t="str">
        <f t="shared" si="123"/>
        <v>0</v>
      </c>
      <c r="Q247" s="35" t="str">
        <f t="shared" si="124"/>
        <v>expt_dmst_dvcd 수출내수구분코드 [["D","내수"],["E","수출"]]</v>
      </c>
      <c r="R247" s="2" t="s">
        <v>921</v>
      </c>
      <c r="S247" s="2"/>
      <c r="T247" s="2"/>
      <c r="U247" s="2"/>
      <c r="V247" s="2"/>
      <c r="W247" s="2"/>
      <c r="X247" s="2"/>
      <c r="Y247" s="2"/>
      <c r="Z247" s="2"/>
      <c r="AA247" s="2"/>
      <c r="AB247" s="31" t="s">
        <v>3093</v>
      </c>
      <c r="AC247" s="25" t="s">
        <v>3091</v>
      </c>
      <c r="AD247" s="31" t="s">
        <v>3094</v>
      </c>
      <c r="AE247" s="25" t="s">
        <v>3092</v>
      </c>
      <c r="AF247" s="30"/>
      <c r="AG247" s="25"/>
      <c r="AH247" s="30"/>
      <c r="AI247" s="25"/>
      <c r="AJ247" s="30"/>
      <c r="AK247" s="25"/>
      <c r="AL247" s="30"/>
      <c r="AM247" s="25"/>
      <c r="AN247" s="30"/>
      <c r="AO247" s="25"/>
      <c r="AP247" s="30"/>
      <c r="AQ247" s="25"/>
      <c r="AR247" s="30"/>
      <c r="AS247" s="25"/>
      <c r="AT247" s="30"/>
      <c r="AU247" s="25"/>
      <c r="AV247" s="30"/>
      <c r="AW247" s="25"/>
      <c r="AX247" s="30"/>
      <c r="AY247" s="25"/>
      <c r="AZ247" s="30"/>
      <c r="BA247" s="25"/>
      <c r="BB247" s="30"/>
      <c r="BC247" s="25"/>
      <c r="BD247" s="30"/>
      <c r="BE247" s="25"/>
      <c r="BF247" s="30"/>
      <c r="BG247" s="25"/>
      <c r="BH247" s="30"/>
      <c r="BI247" s="25"/>
      <c r="BJ247" s="30"/>
      <c r="BK247" s="25"/>
      <c r="BL247" s="30"/>
      <c r="BM247" s="25"/>
      <c r="BN247" s="30"/>
      <c r="BO247" s="25"/>
      <c r="BP247" s="30"/>
      <c r="BQ247" s="25"/>
      <c r="BR247" s="30"/>
      <c r="BS247" s="25"/>
      <c r="BT247" s="30"/>
      <c r="BU247" s="25"/>
      <c r="BV247" s="30"/>
      <c r="BW247" s="25"/>
      <c r="BX247" s="30"/>
      <c r="BY247" s="25"/>
      <c r="CA247" s="1" t="str">
        <f t="shared" ca="1" si="111"/>
        <v>delete from sscd_mast where sscd_idcd = 'expt_dmst_dvcd_KOR_common'  and site_idcd = 'common';</v>
      </c>
      <c r="CB247" s="5" t="str">
        <f ca="1">IF(E247&lt;&gt;"",CREATE_QUERY($B$1,A$2:AA$2,A247:AA247),"")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('expt_dmst_dvcd_KOR_common', 'KOR', 'common', 'expt_dmst_dvcd', '수출내수구분코드', 'gb', '', '[["D","내수"],["E","수출"]]', 'D:내수 E:수출', '', 'D=내수|E=수출', '', '0', '0', '0', '0', 'expt_dmst_dvcd 수출내수구분코드 [["D","내수"],["E","수출"]]', ' ', '', '', '', '', '', '', '', '', '');</v>
      </c>
    </row>
    <row r="248" spans="1:80" ht="17">
      <c r="A248" s="3" t="str">
        <f ca="1">IF(D248="","",D248&amp;"_"&amp;B248&amp;"_"&amp;C248)</f>
        <v>prod_item_dvcd_KOR_common</v>
      </c>
      <c r="B248" s="2" t="str">
        <f ca="1">IF(E248="","",OFFSET(B248,-1,0))</f>
        <v>KOR</v>
      </c>
      <c r="C248" s="25" t="str">
        <f t="shared" si="100"/>
        <v>common</v>
      </c>
      <c r="D248" s="25" t="s">
        <v>2803</v>
      </c>
      <c r="E248" s="25" t="s">
        <v>2804</v>
      </c>
      <c r="F248" s="25" t="str">
        <f ca="1">IF(A248="","","gb")</f>
        <v>gb</v>
      </c>
      <c r="G248" s="25"/>
      <c r="H248" s="2" t="str">
        <f>"[["""&amp;
SUBSTITUTE(SUBSTITUTE(I248,":",""",""")," ","""],[""")
&amp;"""]]"</f>
        <v>[["1","C/T"],["Box"],["2","Shop"],["Bag"],["3","Col"],["Box"],["4","Sheet"]]</v>
      </c>
      <c r="I248" s="2" t="str">
        <f t="shared" ref="I248:I252" si="126">IF(AB248="","",AB248&amp;":"&amp;AC248)&amp;
IF(AD248="",""," "&amp;AD248&amp;":"&amp;AE248)&amp;
IF(AF248="",""," "&amp;AF248&amp;":"&amp;AG248)&amp;
IF(AH248="",""," "&amp;AH248&amp;":"&amp;AI248)&amp;
IF(AJ248="",""," "&amp;AJ248&amp;":"&amp;AK248)&amp;
IF(AL248="",""," "&amp;AL248&amp;":"&amp;AM248)&amp;
IF(AN248="",""," "&amp;AN248&amp;":"&amp;AO248)&amp;
IF(AP248="",""," "&amp;AP248&amp;":"&amp;AQ248)&amp;
IF(AR248="",""," "&amp;AR248&amp;":"&amp;AS248)&amp;
IF(AT248="",""," "&amp;AT248&amp;":"&amp;AU248)&amp;
IF(AV248="",""," "&amp;AV248&amp;":"&amp;AW248)&amp;
IF(AX248="",""," "&amp;AX248&amp;":"&amp;AY248)&amp;
IF(AZ248="",""," "&amp;AZ248&amp;":"&amp;BA248)&amp;
IF(BB248="",""," "&amp;BB248&amp;":"&amp;BC248)&amp;
IF(BD248="",""," "&amp;BD248&amp;":"&amp;BE248)&amp;
IF(BF248="",""," "&amp;BF248&amp;":"&amp;BG248)&amp;
IF(BH248="",""," "&amp;BH248&amp;":"&amp;BI248)&amp;
IF(BJ248="",""," "&amp;BJ248&amp;":"&amp;BK248)&amp;
IF(BL248="",""," "&amp;BL248&amp;":"&amp;BM248)&amp;
IF(BN248="",""," "&amp;BN248&amp;":"&amp;BO248)&amp;
IF(BP248="",""," "&amp;BP248&amp;":"&amp;BS248)&amp;
IF(BZ248="",""," "&amp;BZ248&amp;":"&amp;CA248)</f>
        <v>1:C/T Box 2:Shop Bag 3:Col Box 4:Sheet</v>
      </c>
      <c r="J248" s="2"/>
      <c r="K248" s="35" t="str">
        <f t="shared" ref="K248:K252" si="127">IF(AB248="","",AB248&amp;"="&amp;AC248)&amp;
IF(AD248="","","|"&amp;AD248&amp;"="&amp;AE248)&amp;
IF(AF248="","","|"&amp;AF248&amp;"="&amp;AG248)&amp;
IF(AH248="","","|"&amp;AH248&amp;"="&amp;AI248)&amp;
IF(AJ248="","","|"&amp;AJ248&amp;"="&amp;AK248)&amp;
IF(AL248="","","|"&amp;AL248&amp;"="&amp;AM248)&amp;
IF(AN248="","","|"&amp;AN248&amp;"="&amp;AO248)&amp;
IF(AP248="","","|"&amp;AP248&amp;"="&amp;AQ248)&amp;
IF(AR248="","","|"&amp;AR248&amp;"="&amp;AS248)&amp;
IF(AT248="","","|"&amp;AT248&amp;"="&amp;AU248)&amp;
IF(AV248="","","|"&amp;AV248&amp;"="&amp;AW248)&amp;
IF(AX248="","","|"&amp;AX248&amp;"="&amp;AY248)&amp;
IF(AZ248="","","|"&amp;AZ248&amp;"="&amp;BA248)&amp;
IF(BB248="","","|"&amp;BB248&amp;"="&amp;BC248)&amp;
IF(BD248="","","|"&amp;BD248&amp;"="&amp;BE248)&amp;
IF(BF248="","","|"&amp;BF248&amp;"="&amp;BG248)&amp;
IF(BH248="","","|"&amp;BH248&amp;"="&amp;BI248)&amp;
IF(BJ248="","","|"&amp;BJ248&amp;"="&amp;BK248)&amp;
IF(BL248="","","|"&amp;BL248&amp;"="&amp;BM248)&amp;
IF(BN248="","","|"&amp;BN248&amp;"="&amp;BO248)&amp;
IF(BP248="","","|"&amp;BP248&amp;"="&amp;BQ248)&amp;
IF(BR248="","","|"&amp;BR248&amp;"="&amp;BS248)&amp;
IF(BT248="","","|"&amp;BT248&amp;"="&amp;BU248)&amp;
IF(BV248="","","|"&amp;BV248&amp;"="&amp;BW248)&amp;
IF(BX248="","","|"&amp;BX248&amp;"="&amp;BY248)</f>
        <v>1=C/T Box|2=Shop Bag|3=Col Box|4=Sheet</v>
      </c>
      <c r="L248" s="2"/>
      <c r="M248" s="36" t="str">
        <f t="shared" ref="M248:P249" ca="1" si="128">IF(A248="","","0")</f>
        <v>0</v>
      </c>
      <c r="N248" s="36" t="str">
        <f t="shared" ca="1" si="128"/>
        <v>0</v>
      </c>
      <c r="O248" s="36" t="str">
        <f t="shared" si="128"/>
        <v>0</v>
      </c>
      <c r="P248" s="36" t="str">
        <f t="shared" si="128"/>
        <v>0</v>
      </c>
      <c r="Q248" s="35" t="str">
        <f>IF(D248="","",D248&amp;" "&amp;E248&amp;" "&amp;H248)</f>
        <v>prod_item_dvcd 생산품목구분코드 [["1","C/T"],["Box"],["2","Shop"],["Bag"],["3","Col"],["Box"],["4","Sheet"]]</v>
      </c>
      <c r="R248" s="2" t="s">
        <v>921</v>
      </c>
      <c r="S248" s="2"/>
      <c r="T248" s="2"/>
      <c r="U248" s="2"/>
      <c r="V248" s="2"/>
      <c r="W248" s="2"/>
      <c r="X248" s="2"/>
      <c r="Y248" s="2"/>
      <c r="Z248" s="2"/>
      <c r="AA248" s="2"/>
      <c r="AB248" s="31" t="s">
        <v>684</v>
      </c>
      <c r="AC248" s="25" t="s">
        <v>2805</v>
      </c>
      <c r="AD248" s="31" t="s">
        <v>685</v>
      </c>
      <c r="AE248" s="25" t="s">
        <v>2806</v>
      </c>
      <c r="AF248" s="31" t="s">
        <v>687</v>
      </c>
      <c r="AG248" s="25" t="s">
        <v>2807</v>
      </c>
      <c r="AH248" s="31" t="s">
        <v>688</v>
      </c>
      <c r="AI248" s="25" t="s">
        <v>2808</v>
      </c>
      <c r="AJ248" s="30"/>
      <c r="AK248" s="25"/>
      <c r="AL248" s="30"/>
      <c r="AM248" s="25"/>
      <c r="AN248" s="30"/>
      <c r="AO248" s="25"/>
      <c r="AP248" s="30"/>
      <c r="AQ248" s="25"/>
      <c r="AR248" s="30"/>
      <c r="AS248" s="25"/>
      <c r="AT248" s="30"/>
      <c r="AU248" s="25"/>
      <c r="AV248" s="30"/>
      <c r="AW248" s="25"/>
      <c r="AX248" s="30"/>
      <c r="AY248" s="25"/>
      <c r="AZ248" s="30"/>
      <c r="BA248" s="25"/>
      <c r="BB248" s="30"/>
      <c r="BC248" s="25"/>
      <c r="BD248" s="30"/>
      <c r="BE248" s="25"/>
      <c r="BF248" s="30"/>
      <c r="BG248" s="25"/>
      <c r="BH248" s="30"/>
      <c r="BI248" s="25"/>
      <c r="BJ248" s="30"/>
      <c r="BK248" s="25"/>
      <c r="BL248" s="30"/>
      <c r="BM248" s="25"/>
      <c r="BN248" s="30"/>
      <c r="BO248" s="25"/>
      <c r="BP248" s="30"/>
      <c r="BQ248" s="25"/>
      <c r="BR248" s="30"/>
      <c r="BS248" s="25"/>
      <c r="BT248" s="30"/>
      <c r="BU248" s="25"/>
      <c r="BV248" s="30"/>
      <c r="BW248" s="25"/>
      <c r="BX248" s="30"/>
      <c r="BY248" s="25"/>
      <c r="CA248" s="1" t="str">
        <f t="shared" ref="CA248:CA252" ca="1" si="129">IF(A248="","","delete from sscd_mast where sscd_idcd = '"&amp;A248&amp;"'  and site_idcd = '"&amp;C248&amp;"';")</f>
        <v>delete from sscd_mast where sscd_idcd = 'prod_item_dvcd_KOR_common'  and site_idcd = 'common';</v>
      </c>
      <c r="CB248" s="5" t="str">
        <f ca="1">IF(E248&lt;&gt;"",CREATE_QUERY($B$1,A$2:AA$2,A248:AA248),"")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('prod_item_dvcd_KOR_common', 'KOR', 'common', 'prod_item_dvcd', '생산품목구분코드', 'gb', '', '[["1","C/T"],["Box"],["2","Shop"],["Bag"],["3","Col"],["Box"],["4","Sheet"]]', '1:C/T Box 2:Shop Bag 3:Col Box 4:Sheet', '', '1=C/T Box|2=Shop Bag|3=Col Box|4=Sheet', '', '0', '0', '0', '0', 'prod_item_dvcd 생산품목구분코드 [["1","C/T"],["Box"],["2","Shop"],["Bag"],["3","Col"],["Box"],["4","Sheet"]]', ' ', '', '', '', '', '', '', '', '', '');</v>
      </c>
    </row>
    <row r="249" spans="1:80" ht="17">
      <c r="A249" s="3" t="str">
        <f ca="1">IF(D249="","",D249&amp;"_"&amp;B249&amp;"_"&amp;C249)</f>
        <v>wkct_dvcd_KOR_common</v>
      </c>
      <c r="B249" s="2" t="str">
        <f ca="1">IF(E249="","",OFFSET(B249,-1,0))</f>
        <v>KOR</v>
      </c>
      <c r="C249" s="25" t="str">
        <f t="shared" si="100"/>
        <v>common</v>
      </c>
      <c r="D249" s="25" t="s">
        <v>2790</v>
      </c>
      <c r="E249" s="25" t="s">
        <v>2791</v>
      </c>
      <c r="F249" s="25" t="str">
        <f ca="1">IF(A249="","","gb")</f>
        <v>gb</v>
      </c>
      <c r="G249" s="25"/>
      <c r="H249" s="2" t="str">
        <f>"[["""&amp;
SUBSTITUTE(SUBSTITUTE(I249,":",""",""")," ","""],[""")
&amp;"""]]"</f>
        <v>[["01","P/G"],["02","NC"],["03","절곡"],["04","압입"],["05","용접"],["06","도금"],["07","도장"],["08","인쇄"],["09","납품"]]</v>
      </c>
      <c r="I249" s="2" t="str">
        <f t="shared" si="126"/>
        <v>01:P/G 02:NC 03:절곡 04:압입 05:용접 06:도금 07:도장 08:인쇄 09:납품</v>
      </c>
      <c r="J249" s="2"/>
      <c r="K249" s="35" t="str">
        <f t="shared" si="127"/>
        <v>01=P/G|02=NC|03=절곡|04=압입|05=용접|06=도금|07=도장|08=인쇄|09=납품</v>
      </c>
      <c r="L249" s="2"/>
      <c r="M249" s="36" t="str">
        <f t="shared" ca="1" si="128"/>
        <v>0</v>
      </c>
      <c r="N249" s="36" t="str">
        <f t="shared" ca="1" si="128"/>
        <v>0</v>
      </c>
      <c r="O249" s="36" t="str">
        <f t="shared" si="128"/>
        <v>0</v>
      </c>
      <c r="P249" s="36" t="str">
        <f t="shared" si="128"/>
        <v>0</v>
      </c>
      <c r="Q249" s="35" t="str">
        <f>IF(D249="","",D249&amp;" "&amp;E249&amp;" "&amp;H249)</f>
        <v>wkct_dvcd 공정구분코드 [["01","P/G"],["02","NC"],["03","절곡"],["04","압입"],["05","용접"],["06","도금"],["07","도장"],["08","인쇄"],["09","납품"]]</v>
      </c>
      <c r="R249" s="2" t="s">
        <v>921</v>
      </c>
      <c r="S249" s="2"/>
      <c r="T249" s="2"/>
      <c r="U249" s="2"/>
      <c r="V249" s="2"/>
      <c r="W249" s="2"/>
      <c r="X249" s="2"/>
      <c r="Y249" s="2"/>
      <c r="Z249" s="2"/>
      <c r="AA249" s="2"/>
      <c r="AB249" s="31" t="s">
        <v>2608</v>
      </c>
      <c r="AC249" s="25" t="s">
        <v>2792</v>
      </c>
      <c r="AD249" s="31" t="s">
        <v>2609</v>
      </c>
      <c r="AE249" s="25" t="s">
        <v>2793</v>
      </c>
      <c r="AF249" s="31" t="s">
        <v>2611</v>
      </c>
      <c r="AG249" s="25" t="s">
        <v>2794</v>
      </c>
      <c r="AH249" s="31" t="s">
        <v>2612</v>
      </c>
      <c r="AI249" s="25" t="s">
        <v>2795</v>
      </c>
      <c r="AJ249" s="31" t="s">
        <v>2613</v>
      </c>
      <c r="AK249" s="25" t="s">
        <v>2796</v>
      </c>
      <c r="AL249" s="31" t="s">
        <v>2614</v>
      </c>
      <c r="AM249" s="25" t="s">
        <v>2443</v>
      </c>
      <c r="AN249" s="31" t="s">
        <v>2615</v>
      </c>
      <c r="AO249" s="25" t="s">
        <v>2797</v>
      </c>
      <c r="AP249" s="31" t="s">
        <v>2616</v>
      </c>
      <c r="AQ249" s="25" t="s">
        <v>2441</v>
      </c>
      <c r="AR249" s="31" t="s">
        <v>2617</v>
      </c>
      <c r="AS249" s="25" t="s">
        <v>2798</v>
      </c>
      <c r="AT249" s="30"/>
      <c r="AU249" s="25"/>
      <c r="AV249" s="30"/>
      <c r="AW249" s="25"/>
      <c r="AX249" s="30"/>
      <c r="AY249" s="25"/>
      <c r="AZ249" s="30"/>
      <c r="BA249" s="25"/>
      <c r="BB249" s="30"/>
      <c r="BC249" s="25"/>
      <c r="BD249" s="30"/>
      <c r="BE249" s="25"/>
      <c r="BF249" s="30"/>
      <c r="BG249" s="25"/>
      <c r="BH249" s="30"/>
      <c r="BI249" s="25"/>
      <c r="BJ249" s="30"/>
      <c r="BK249" s="25"/>
      <c r="BL249" s="30"/>
      <c r="BM249" s="25"/>
      <c r="BN249" s="30"/>
      <c r="BO249" s="25"/>
      <c r="BP249" s="30"/>
      <c r="BQ249" s="25"/>
      <c r="BR249" s="30"/>
      <c r="BS249" s="25"/>
      <c r="BT249" s="30"/>
      <c r="BU249" s="25"/>
      <c r="BV249" s="30"/>
      <c r="BW249" s="25"/>
      <c r="BX249" s="30"/>
      <c r="BY249" s="25"/>
      <c r="CA249" s="1" t="str">
        <f t="shared" ca="1" si="129"/>
        <v>delete from sscd_mast where sscd_idcd = 'wkct_dvcd_KOR_common'  and site_idcd = 'common';</v>
      </c>
      <c r="CB249" s="5" t="str">
        <f ca="1">IF(E249&lt;&gt;"",CREATE_QUERY($B$1,A$2:AA$2,A249:AA249),"")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('wkct_dvcd_KOR_common', 'KOR', 'common', 'wkct_dvcd', '공정구분코드', 'gb', '', '[["01","P/G"],["02","NC"],["03","절곡"],["04","압입"],["05","용접"],["06","도금"],["07","도장"],["08","인쇄"],["09","납품"]]', '01:P/G 02:NC 03:절곡 04:압입 05:용접 06:도금 07:도장 08:인쇄 09:납품', '', '01=P/G|02=NC|03=절곡|04=압입|05=용접|06=도금|07=도장|08=인쇄|09=납품', '', '0', '0', '0', '0', 'wkct_dvcd 공정구분코드 [["01","P/G"],["02","NC"],["03","절곡"],["04","압입"],["05","용접"],["06","도금"],["07","도장"],["08","인쇄"],["09","납품"]]', ' ', '', '', '', '', '', '', '', '', '');</v>
      </c>
    </row>
    <row r="250" spans="1:80" ht="17">
      <c r="A250" s="3" t="str">
        <f t="shared" ref="A250" ca="1" si="130">IF(D250="","",D250&amp;"_"&amp;B250&amp;"_"&amp;C250)</f>
        <v>cond_dvcd_KOR_common</v>
      </c>
      <c r="B250" s="2" t="str">
        <f t="shared" ref="B250" ca="1" si="131">IF(E250="","",OFFSET(B250,-1,0))</f>
        <v>KOR</v>
      </c>
      <c r="C250" s="25" t="str">
        <f t="shared" si="100"/>
        <v>common</v>
      </c>
      <c r="D250" s="25" t="s">
        <v>2715</v>
      </c>
      <c r="E250" s="25" t="s">
        <v>2649</v>
      </c>
      <c r="F250" s="25" t="str">
        <f t="shared" ref="F250" ca="1" si="132">IF(A250="","","gb")</f>
        <v>gb</v>
      </c>
      <c r="G250" s="25"/>
      <c r="H250" s="2" t="str">
        <f t="shared" ref="H250" si="133">"[["""&amp;
SUBSTITUTE(SUBSTITUTE(I250,":",""",""")," ","""],[""")
&amp;"""]]"</f>
        <v>[["1001","작업조건"],["work"],["conditions"],["1002","작업시간"],["work"],["time"],["1003","정지시간"],["down"],["time"],["1005","양품수"],["good"],["product"],["count"],["1006","초/중/종"],["검사"],["initia/mid/final"],["inspection"],["1007","불량유형"],["poor"]]</v>
      </c>
      <c r="I250" s="2" t="str">
        <f t="shared" si="126"/>
        <v>1001:작업조건 work conditions 1002:작업시간 work time 1003:정지시간 down time 1005:양품수 good product count 1006:초/중/종 검사 initia/mid/final inspection 1007:불량유형 poor</v>
      </c>
      <c r="J250" s="2"/>
      <c r="K250" s="35" t="str">
        <f t="shared" si="127"/>
        <v>1001=작업조건 work conditions|1002=작업시간 work time|1003=정지시간 down time|1005=양품수 good product count|1006=초/중/종 검사 initia/mid/final inspection|1007=불량유형 poor</v>
      </c>
      <c r="L250" s="2"/>
      <c r="M250" s="36" t="str">
        <f t="shared" ref="M250" ca="1" si="134">IF(A250="","","0")</f>
        <v>0</v>
      </c>
      <c r="N250" s="36" t="str">
        <f t="shared" ref="N250" ca="1" si="135">IF(B250="","","0")</f>
        <v>0</v>
      </c>
      <c r="O250" s="36" t="str">
        <f t="shared" ref="O250" si="136">IF(C250="","","0")</f>
        <v>0</v>
      </c>
      <c r="P250" s="36" t="str">
        <f t="shared" ref="P250" si="137">IF(D250="","","0")</f>
        <v>0</v>
      </c>
      <c r="Q250" s="35" t="str">
        <f t="shared" ref="Q250" si="138">IF(D250="","",D250&amp;" "&amp;E250&amp;" "&amp;H250)</f>
        <v>cond_dvcd 원가소구분코드 [["1001","작업조건"],["work"],["conditions"],["1002","작업시간"],["work"],["time"],["1003","정지시간"],["down"],["time"],["1005","양품수"],["good"],["product"],["count"],["1006","초/중/종"],["검사"],["initia/mid/final"],["inspection"],["1007","불량유형"],["poor"]]</v>
      </c>
      <c r="R250" s="2" t="s">
        <v>921</v>
      </c>
      <c r="S250" s="2"/>
      <c r="T250" s="2"/>
      <c r="U250" s="2"/>
      <c r="V250" s="2"/>
      <c r="W250" s="2"/>
      <c r="X250" s="2"/>
      <c r="Y250" s="2"/>
      <c r="Z250" s="2"/>
      <c r="AA250" s="2"/>
      <c r="AB250" s="31" t="s">
        <v>654</v>
      </c>
      <c r="AC250" s="25" t="s">
        <v>2716</v>
      </c>
      <c r="AD250" s="31" t="s">
        <v>655</v>
      </c>
      <c r="AE250" s="25" t="s">
        <v>2717</v>
      </c>
      <c r="AF250" s="31" t="s">
        <v>656</v>
      </c>
      <c r="AG250" s="25" t="s">
        <v>2718</v>
      </c>
      <c r="AH250" s="31" t="s">
        <v>658</v>
      </c>
      <c r="AI250" s="25" t="s">
        <v>2719</v>
      </c>
      <c r="AJ250" s="31" t="s">
        <v>2497</v>
      </c>
      <c r="AK250" s="25" t="s">
        <v>2720</v>
      </c>
      <c r="AL250" s="31" t="s">
        <v>2498</v>
      </c>
      <c r="AM250" s="25" t="s">
        <v>2721</v>
      </c>
      <c r="AN250" s="31"/>
      <c r="AO250" s="25"/>
      <c r="AP250" s="31"/>
      <c r="AQ250" s="25"/>
      <c r="AR250" s="31"/>
      <c r="AS250" s="25"/>
      <c r="AT250" s="30"/>
      <c r="AU250" s="25"/>
      <c r="AV250" s="30"/>
      <c r="AW250" s="25"/>
      <c r="AX250" s="30"/>
      <c r="AY250" s="25"/>
      <c r="AZ250" s="30"/>
      <c r="BA250" s="25"/>
      <c r="BB250" s="30"/>
      <c r="BC250" s="25"/>
      <c r="BD250" s="30"/>
      <c r="BE250" s="25"/>
      <c r="BF250" s="30"/>
      <c r="BG250" s="25"/>
      <c r="BH250" s="30"/>
      <c r="BI250" s="25"/>
      <c r="BJ250" s="30"/>
      <c r="BK250" s="25"/>
      <c r="BL250" s="30"/>
      <c r="BM250" s="25"/>
      <c r="BN250" s="30"/>
      <c r="BO250" s="25"/>
      <c r="BP250" s="30"/>
      <c r="BQ250" s="25"/>
      <c r="BR250" s="30"/>
      <c r="BS250" s="25"/>
      <c r="BT250" s="30"/>
      <c r="BU250" s="25"/>
      <c r="BV250" s="30"/>
      <c r="BW250" s="25"/>
      <c r="BX250" s="30"/>
      <c r="BY250" s="25"/>
      <c r="CA250" s="1" t="str">
        <f t="shared" ca="1" si="129"/>
        <v>delete from sscd_mast where sscd_idcd = 'cond_dvcd_KOR_common'  and site_idcd = 'common';</v>
      </c>
      <c r="CB250" s="5" t="str">
        <f ca="1">IF(E250&lt;&gt;"",CREATE_QUERY($B$1,A$2:AA$2,A250:AA250),"")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('cond_dvcd_KOR_common', 'KOR', 'common', 'cond_dvcd', '원가소구분코드', 'gb', '', '[["1001","작업조건"],["work"],["conditions"],["1002","작업시간"],["work"],["time"],["1003","정지시간"],["down"],["time"],["1005","양품수"],["good"],["product"],["count"],["1006","초/중/종"],["검사"],["initia/mid/final"],["inspection"],["1007","불량유형"],["poor"]]', '1001:작업조건 work conditions 1002:작업시간 work time 1003:정지시간 down time 1005:양품수 good product count 1006:초/중/종 검사 initia/mid/final inspection 1007:불량유형 poor', '', '1001=작업조건 work conditions|1002=작업시간 work time|1003=정지시간 down time|1005=양품수 good product count|1006=초/중/종 검사 initia/mid/final inspection|1007=불량유형 poor', '', '0', '0', '0', '0', 'cond_dvcd 원가소구분코드 [["1001","작업조건"],["work"],["conditions"],["1002","작업시간"],["work"],["time"],["1003","정지시간"],["down"],["time"],["1005","양품수"],["good"],["product"],["count"],["1006","초/중/종"],["검사"],["initia/mid/final"],["inspection"],["1007","불량유형"],["poor"]]', ' ', '', '', '', '', '', '', '', '', '');</v>
      </c>
    </row>
    <row r="251" spans="1:80" ht="17">
      <c r="A251" s="3" t="str">
        <f ca="1">IF(D251="","",D251&amp;"_"&amp;B251&amp;"_"&amp;C251)</f>
        <v>dytm_chck_dvcd_KOR_common</v>
      </c>
      <c r="B251" s="2" t="str">
        <f ca="1">IF(E251="","",OFFSET(B251,-1,0))</f>
        <v>KOR</v>
      </c>
      <c r="C251" s="25" t="str">
        <f t="shared" si="100"/>
        <v>common</v>
      </c>
      <c r="D251" s="25" t="s">
        <v>2746</v>
      </c>
      <c r="E251" s="25" t="s">
        <v>2744</v>
      </c>
      <c r="F251" s="25" t="str">
        <f ca="1">IF(A251="","","gb")</f>
        <v>gb</v>
      </c>
      <c r="G251" s="25"/>
      <c r="H251" s="2" t="str">
        <f>"[["""&amp;
SUBSTITUTE(SUBSTITUTE(I251,":",""",""")," ","""],[""")
&amp;"""]]"</f>
        <v>[["0830","08","30"],["0930","09","30"],["1030","10","30"],["1130","11","30"],["1230","12","30"],["1330","13","30"],["1430","14","30"],["1530","15","30"],["1630","16","30"],["1730","17","30"],["1830","18","30"]]</v>
      </c>
      <c r="I251" s="2" t="str">
        <f t="shared" si="126"/>
        <v>0830:08:30 0930:09:30 1030:10:30 1130:11:30 1230:12:30 1330:13:30 1430:14:30 1530:15:30 1630:16:30 1730:17:30 1830:18:30</v>
      </c>
      <c r="J251" s="2"/>
      <c r="K251" s="35" t="str">
        <f t="shared" si="127"/>
        <v>0830=08:30|0930=09:30|1030=10:30|1130=11:30|1230=12:30|1330=13:30|1430=14:30|1530=15:30|1630=16:30|1730=17:30|1830=18:30</v>
      </c>
      <c r="L251" s="2"/>
      <c r="M251" s="36" t="str">
        <f t="shared" ref="M251:P252" ca="1" si="139">IF(A251="","","0")</f>
        <v>0</v>
      </c>
      <c r="N251" s="36" t="str">
        <f t="shared" ca="1" si="139"/>
        <v>0</v>
      </c>
      <c r="O251" s="36" t="str">
        <f t="shared" si="139"/>
        <v>0</v>
      </c>
      <c r="P251" s="36" t="str">
        <f t="shared" si="139"/>
        <v>0</v>
      </c>
      <c r="Q251" s="35" t="str">
        <f>IF(D251="","",D251&amp;" "&amp;E251&amp;" "&amp;H251)</f>
        <v>dytm_chck_dvcd 주간점검주기 [["0830","08","30"],["0930","09","30"],["1030","10","30"],["1130","11","30"],["1230","12","30"],["1330","13","30"],["1430","14","30"],["1530","15","30"],["1630","16","30"],["1730","17","30"],["1830","18","30"]]</v>
      </c>
      <c r="R251" s="2" t="s">
        <v>921</v>
      </c>
      <c r="S251" s="2"/>
      <c r="T251" s="2"/>
      <c r="U251" s="2"/>
      <c r="V251" s="2"/>
      <c r="W251" s="2"/>
      <c r="X251" s="2"/>
      <c r="Y251" s="2"/>
      <c r="Z251" s="2"/>
      <c r="AA251" s="2"/>
      <c r="AB251" s="31" t="s">
        <v>2748</v>
      </c>
      <c r="AC251" s="26" t="s">
        <v>2722</v>
      </c>
      <c r="AD251" s="31" t="s">
        <v>2749</v>
      </c>
      <c r="AE251" s="26" t="s">
        <v>2723</v>
      </c>
      <c r="AF251" s="31" t="s">
        <v>2750</v>
      </c>
      <c r="AG251" s="26" t="s">
        <v>2724</v>
      </c>
      <c r="AH251" s="31" t="s">
        <v>2751</v>
      </c>
      <c r="AI251" s="26" t="s">
        <v>2725</v>
      </c>
      <c r="AJ251" s="31" t="s">
        <v>2752</v>
      </c>
      <c r="AK251" s="26" t="s">
        <v>2726</v>
      </c>
      <c r="AL251" s="31" t="s">
        <v>2753</v>
      </c>
      <c r="AM251" s="26" t="s">
        <v>2727</v>
      </c>
      <c r="AN251" s="31" t="s">
        <v>2754</v>
      </c>
      <c r="AO251" s="26" t="s">
        <v>2728</v>
      </c>
      <c r="AP251" s="31" t="s">
        <v>2755</v>
      </c>
      <c r="AQ251" s="26" t="s">
        <v>2729</v>
      </c>
      <c r="AR251" s="31" t="s">
        <v>2756</v>
      </c>
      <c r="AS251" s="26" t="s">
        <v>2730</v>
      </c>
      <c r="AT251" s="31" t="s">
        <v>2757</v>
      </c>
      <c r="AU251" s="26" t="s">
        <v>2731</v>
      </c>
      <c r="AV251" s="31" t="s">
        <v>2758</v>
      </c>
      <c r="AW251" s="26" t="s">
        <v>2732</v>
      </c>
      <c r="AX251" s="30"/>
      <c r="AY251" s="25"/>
      <c r="AZ251" s="30"/>
      <c r="BA251" s="25"/>
      <c r="BB251" s="30"/>
      <c r="BC251" s="25"/>
      <c r="BD251" s="30"/>
      <c r="BE251" s="25"/>
      <c r="BF251" s="30"/>
      <c r="BG251" s="25"/>
      <c r="BH251" s="30"/>
      <c r="BI251" s="25"/>
      <c r="BJ251" s="30"/>
      <c r="BK251" s="25"/>
      <c r="BL251" s="30"/>
      <c r="BM251" s="25"/>
      <c r="BN251" s="30"/>
      <c r="BO251" s="25"/>
      <c r="BP251" s="30"/>
      <c r="BQ251" s="25"/>
      <c r="BR251" s="30"/>
      <c r="BS251" s="25"/>
      <c r="BT251" s="30"/>
      <c r="BU251" s="25"/>
      <c r="BV251" s="30"/>
      <c r="BW251" s="25"/>
      <c r="BX251" s="30"/>
      <c r="BY251" s="25"/>
      <c r="CA251" s="1" t="str">
        <f t="shared" ca="1" si="129"/>
        <v>delete from sscd_mast where sscd_idcd = 'dytm_chck_dvcd_KOR_common'  and site_idcd = 'common';</v>
      </c>
      <c r="CB251" s="5" t="str">
        <f ca="1">IF(E251&lt;&gt;"",CREATE_QUERY($B$1,A$2:AA$2,A251:AA251),"")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('dytm_chck_dvcd_KOR_common', 'KOR', 'common', 'dytm_chck_dvcd', '주간점검주기', 'gb', '', '[["0830","08","30"],["0930","09","30"],["1030","10","30"],["1130","11","30"],["1230","12","30"],["1330","13","30"],["1430","14","30"],["1530","15","30"],["1630","16","30"],["1730","17","30"],["1830","18","30"]]', '0830:08:30 0930:09:30 1030:10:30 1130:11:30 1230:12:30 1330:13:30 1430:14:30 1530:15:30 1630:16:30 1730:17:30 1830:18:30', '', '0830=08:30|0930=09:30|1030=10:30|1130=11:30|1230=12:30|1330=13:30|1430=14:30|1530=15:30|1630=16:30|1730=17:30|1830=18:30', '', '0', '0', '0', '0', 'dytm_chck_dvcd 주간점검주기 [["0830","08","30"],["0930","09","30"],["1030","10","30"],["1130","11","30"],["1230","12","30"],["1330","13","30"],["1430","14","30"],["1530","15","30"],["1630","16","30"],["1730","17","30"],["1830","18","30"]]', ' ', '', '', '', '', '', '', '', '', '');</v>
      </c>
    </row>
    <row r="252" spans="1:80" ht="17">
      <c r="A252" s="3" t="str">
        <f ca="1">IF(D252="","",D252&amp;"_"&amp;B252&amp;"_"&amp;C252)</f>
        <v>nttm_chck_dvcd_KOR_common</v>
      </c>
      <c r="B252" s="2" t="str">
        <f ca="1">IF(E252="","",OFFSET(B252,-1,0))</f>
        <v>KOR</v>
      </c>
      <c r="C252" s="25" t="str">
        <f t="shared" si="100"/>
        <v>common</v>
      </c>
      <c r="D252" s="25" t="s">
        <v>2747</v>
      </c>
      <c r="E252" s="25" t="s">
        <v>2745</v>
      </c>
      <c r="F252" s="25" t="str">
        <f ca="1">IF(A252="","","gb")</f>
        <v>gb</v>
      </c>
      <c r="G252" s="25"/>
      <c r="H252" s="2" t="str">
        <f>"[["""&amp;
SUBSTITUTE(SUBSTITUTE(I252,":",""",""")," ","""],[""")
&amp;"""]]"</f>
        <v>[["1930","19","30"],["2030","20","30"],["2130","21","30"],["2230","22","30"],["2330","23","30"],["0030","00","30"],["0130","01","30"],["0230","02","30"],["0330","03","30"],["0430","04","30"],["0530","05","30"]]</v>
      </c>
      <c r="I252" s="2" t="str">
        <f t="shared" si="126"/>
        <v>1930:19:30 2030:20:30 2130:21:30 2230:22:30 2330:23:30 0030:00:30 0130:01:30 0230:02:30 0330:03:30 0430:04:30 0530:05:30</v>
      </c>
      <c r="J252" s="2"/>
      <c r="K252" s="35" t="str">
        <f t="shared" si="127"/>
        <v>1930=19:30|2030=20:30|2130=21:30|2230=22:30|2330=23:30|0030=00:30|0130=01:30|0230=02:30|0330=03:30|0430=04:30|0530=05:30</v>
      </c>
      <c r="L252" s="2"/>
      <c r="M252" s="36" t="str">
        <f t="shared" ca="1" si="139"/>
        <v>0</v>
      </c>
      <c r="N252" s="36" t="str">
        <f t="shared" ca="1" si="139"/>
        <v>0</v>
      </c>
      <c r="O252" s="36" t="str">
        <f t="shared" si="139"/>
        <v>0</v>
      </c>
      <c r="P252" s="36" t="str">
        <f t="shared" si="139"/>
        <v>0</v>
      </c>
      <c r="Q252" s="35" t="str">
        <f>IF(D252="","",D252&amp;" "&amp;E252&amp;" "&amp;H252)</f>
        <v>nttm_chck_dvcd 야간점검주기 [["1930","19","30"],["2030","20","30"],["2130","21","30"],["2230","22","30"],["2330","23","30"],["0030","00","30"],["0130","01","30"],["0230","02","30"],["0330","03","30"],["0430","04","30"],["0530","05","30"]]</v>
      </c>
      <c r="R252" s="2" t="s">
        <v>921</v>
      </c>
      <c r="S252" s="2"/>
      <c r="T252" s="2"/>
      <c r="U252" s="2"/>
      <c r="V252" s="2"/>
      <c r="W252" s="2"/>
      <c r="X252" s="2"/>
      <c r="Y252" s="2"/>
      <c r="Z252" s="2"/>
      <c r="AA252" s="2"/>
      <c r="AB252" s="31" t="s">
        <v>2759</v>
      </c>
      <c r="AC252" s="45" t="s">
        <v>2733</v>
      </c>
      <c r="AD252" s="31" t="s">
        <v>2760</v>
      </c>
      <c r="AE252" s="26" t="s">
        <v>2734</v>
      </c>
      <c r="AF252" s="31" t="s">
        <v>2761</v>
      </c>
      <c r="AG252" s="26" t="s">
        <v>2735</v>
      </c>
      <c r="AH252" s="31" t="s">
        <v>2762</v>
      </c>
      <c r="AI252" s="26" t="s">
        <v>2736</v>
      </c>
      <c r="AJ252" s="31" t="s">
        <v>2763</v>
      </c>
      <c r="AK252" s="26" t="s">
        <v>2737</v>
      </c>
      <c r="AL252" s="31" t="s">
        <v>2764</v>
      </c>
      <c r="AM252" s="26" t="s">
        <v>2738</v>
      </c>
      <c r="AN252" s="31" t="s">
        <v>2765</v>
      </c>
      <c r="AO252" s="26" t="s">
        <v>2739</v>
      </c>
      <c r="AP252" s="31" t="s">
        <v>2766</v>
      </c>
      <c r="AQ252" s="26" t="s">
        <v>2740</v>
      </c>
      <c r="AR252" s="31" t="s">
        <v>2767</v>
      </c>
      <c r="AS252" s="26" t="s">
        <v>2741</v>
      </c>
      <c r="AT252" s="31" t="s">
        <v>2768</v>
      </c>
      <c r="AU252" s="26" t="s">
        <v>2742</v>
      </c>
      <c r="AV252" s="31" t="s">
        <v>2769</v>
      </c>
      <c r="AW252" s="26" t="s">
        <v>2743</v>
      </c>
      <c r="AX252" s="30"/>
      <c r="AY252" s="25"/>
      <c r="AZ252" s="30"/>
      <c r="BA252" s="25"/>
      <c r="BB252" s="30"/>
      <c r="BC252" s="25"/>
      <c r="BD252" s="30"/>
      <c r="BE252" s="25"/>
      <c r="BF252" s="30"/>
      <c r="BG252" s="25"/>
      <c r="BH252" s="30"/>
      <c r="BI252" s="25"/>
      <c r="BJ252" s="30"/>
      <c r="BK252" s="25"/>
      <c r="BL252" s="30"/>
      <c r="BM252" s="25"/>
      <c r="BN252" s="30"/>
      <c r="BO252" s="25"/>
      <c r="BP252" s="30"/>
      <c r="BQ252" s="25"/>
      <c r="BR252" s="30"/>
      <c r="BS252" s="25"/>
      <c r="BT252" s="30"/>
      <c r="BU252" s="25"/>
      <c r="BV252" s="30"/>
      <c r="BW252" s="25"/>
      <c r="BX252" s="30"/>
      <c r="BY252" s="25"/>
      <c r="CA252" s="1" t="str">
        <f t="shared" ca="1" si="129"/>
        <v>delete from sscd_mast where sscd_idcd = 'nttm_chck_dvcd_KOR_common'  and site_idcd = 'common';</v>
      </c>
      <c r="CB252" s="5" t="str">
        <f ca="1">IF(E252&lt;&gt;"",CREATE_QUERY($B$1,A$2:AA$2,A252:AA252),"")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('nttm_chck_dvcd_KOR_common', 'KOR', 'common', 'nttm_chck_dvcd', '야간점검주기', 'gb', '', '[["1930","19","30"],["2030","20","30"],["2130","21","30"],["2230","22","30"],["2330","23","30"],["0030","00","30"],["0130","01","30"],["0230","02","30"],["0330","03","30"],["0430","04","30"],["0530","05","30"]]', '1930:19:30 2030:20:30 2130:21:30 2230:22:30 2330:23:30 0030:00:30 0130:01:30 0230:02:30 0330:03:30 0430:04:30 0530:05:30', '', '1930=19:30|2030=20:30|2130=21:30|2230=22:30|2330=23:30|0030=00:30|0130=01:30|0230=02:30|0330=03:30|0430=04:30|0530=05:30', '', '0', '0', '0', '0', 'nttm_chck_dvcd 야간점검주기 [["1930","19","30"],["2030","20","30"],["2130","21","30"],["2230","22","30"],["2330","23","30"],["0030","00","30"],["0130","01","30"],["0230","02","30"],["0330","03","30"],["0430","04","30"],["0530","05","30"]]', ' ', '', '', '', '', '', '', '', '', '');</v>
      </c>
    </row>
    <row r="253" spans="1:80" ht="17">
      <c r="A253" s="3" t="str">
        <f t="shared" ref="A253:A255" ca="1" si="140">IF(D253="","",D253&amp;"_"&amp;B253&amp;"_"&amp;C253)</f>
        <v>file_dvcd_1fst_KOR_common</v>
      </c>
      <c r="B253" s="2" t="str">
        <f t="shared" ref="B253:B255" ca="1" si="141">IF(E253="","",OFFSET(B253,-1,0))</f>
        <v>KOR</v>
      </c>
      <c r="C253" s="25" t="str">
        <f t="shared" si="100"/>
        <v>common</v>
      </c>
      <c r="D253" s="25" t="s">
        <v>2770</v>
      </c>
      <c r="E253" s="25" t="s">
        <v>2773</v>
      </c>
      <c r="F253" s="25" t="str">
        <f t="shared" ref="F253:F255" ca="1" si="142">IF(A253="","","gb")</f>
        <v>gb</v>
      </c>
      <c r="G253" s="25"/>
      <c r="H253" s="2" t="str">
        <f t="shared" ref="H253:H255" si="143">"[["""&amp;
SUBSTITUTE(SUBSTITUTE(I253,":",""",""")," ","""],[""")
&amp;"""]]"</f>
        <v>[["1000","사업자등록증"],["2100","견적서"],["2200","주문서"],["2300","계약서"],["3100","도면자료"],["4000","회사소개자료"],["5000","검사성적서"],["양식"],["6000","인쇄사양"]]</v>
      </c>
      <c r="I253" s="2" t="str">
        <f t="shared" ref="I253:I255" si="144">IF(AB253="","",AB253&amp;":"&amp;AC253)&amp;
IF(AD253="",""," "&amp;AD253&amp;":"&amp;AE253)&amp;
IF(AF253="",""," "&amp;AF253&amp;":"&amp;AG253)&amp;
IF(AH253="",""," "&amp;AH253&amp;":"&amp;AI253)&amp;
IF(AJ253="",""," "&amp;AJ253&amp;":"&amp;AK253)&amp;
IF(AL253="",""," "&amp;AL253&amp;":"&amp;AM253)&amp;
IF(AN253="",""," "&amp;AN253&amp;":"&amp;AO253)&amp;
IF(AP253="",""," "&amp;AP253&amp;":"&amp;AQ253)&amp;
IF(AR253="",""," "&amp;AR253&amp;":"&amp;AS253)&amp;
IF(AT253="",""," "&amp;AT253&amp;":"&amp;AU253)&amp;
IF(AV253="",""," "&amp;AV253&amp;":"&amp;AW253)&amp;
IF(AX253="",""," "&amp;AX253&amp;":"&amp;AY253)&amp;
IF(AZ253="",""," "&amp;AZ253&amp;":"&amp;BA253)&amp;
IF(BB253="",""," "&amp;BB253&amp;":"&amp;BC253)&amp;
IF(BD253="",""," "&amp;BD253&amp;":"&amp;BE253)&amp;
IF(BF253="",""," "&amp;BF253&amp;":"&amp;BG253)&amp;
IF(BH253="",""," "&amp;BH253&amp;":"&amp;BI253)&amp;
IF(BJ253="",""," "&amp;BJ253&amp;":"&amp;BK253)&amp;
IF(BL253="",""," "&amp;BL253&amp;":"&amp;BM253)&amp;
IF(BN253="",""," "&amp;BN253&amp;":"&amp;BO253)&amp;
IF(BP253="",""," "&amp;BP253&amp;":"&amp;BS253)&amp;
IF(BZ253="",""," "&amp;BZ253&amp;":"&amp;CA253)</f>
        <v>1000:사업자등록증 2100:견적서 2200:주문서 2300:계약서 3100:도면자료 4000:회사소개자료 5000:검사성적서 양식 6000:인쇄사양</v>
      </c>
      <c r="J253" s="2"/>
      <c r="K253" s="35" t="str">
        <f t="shared" ref="K253:K255" si="145">IF(AB253="","",AB253&amp;"="&amp;AC253)&amp;
IF(AD253="","","|"&amp;AD253&amp;"="&amp;AE253)&amp;
IF(AF253="","","|"&amp;AF253&amp;"="&amp;AG253)&amp;
IF(AH253="","","|"&amp;AH253&amp;"="&amp;AI253)&amp;
IF(AJ253="","","|"&amp;AJ253&amp;"="&amp;AK253)&amp;
IF(AL253="","","|"&amp;AL253&amp;"="&amp;AM253)&amp;
IF(AN253="","","|"&amp;AN253&amp;"="&amp;AO253)&amp;
IF(AP253="","","|"&amp;AP253&amp;"="&amp;AQ253)&amp;
IF(AR253="","","|"&amp;AR253&amp;"="&amp;AS253)&amp;
IF(AT253="","","|"&amp;AT253&amp;"="&amp;AU253)&amp;
IF(AV253="","","|"&amp;AV253&amp;"="&amp;AW253)&amp;
IF(AX253="","","|"&amp;AX253&amp;"="&amp;AY253)&amp;
IF(AZ253="","","|"&amp;AZ253&amp;"="&amp;BA253)&amp;
IF(BB253="","","|"&amp;BB253&amp;"="&amp;BC253)&amp;
IF(BD253="","","|"&amp;BD253&amp;"="&amp;BE253)&amp;
IF(BF253="","","|"&amp;BF253&amp;"="&amp;BG253)&amp;
IF(BH253="","","|"&amp;BH253&amp;"="&amp;BI253)&amp;
IF(BJ253="","","|"&amp;BJ253&amp;"="&amp;BK253)&amp;
IF(BL253="","","|"&amp;BL253&amp;"="&amp;BM253)&amp;
IF(BN253="","","|"&amp;BN253&amp;"="&amp;BO253)&amp;
IF(BP253="","","|"&amp;BP253&amp;"="&amp;BQ253)&amp;
IF(BR253="","","|"&amp;BR253&amp;"="&amp;BS253)&amp;
IF(BT253="","","|"&amp;BT253&amp;"="&amp;BU253)&amp;
IF(BV253="","","|"&amp;BV253&amp;"="&amp;BW253)&amp;
IF(BX253="","","|"&amp;BX253&amp;"="&amp;BY253)</f>
        <v>1000=사업자등록증|2100=견적서|2200=주문서|2300=계약서|3100=도면자료|4000=회사소개자료|5000=검사성적서 양식|6000=인쇄사양</v>
      </c>
      <c r="L253" s="2"/>
      <c r="M253" s="36" t="str">
        <f t="shared" ref="M253:M255" ca="1" si="146">IF(A253="","","0")</f>
        <v>0</v>
      </c>
      <c r="N253" s="36" t="str">
        <f t="shared" ref="N253:N255" ca="1" si="147">IF(B253="","","0")</f>
        <v>0</v>
      </c>
      <c r="O253" s="36" t="str">
        <f t="shared" ref="O253:O255" si="148">IF(C253="","","0")</f>
        <v>0</v>
      </c>
      <c r="P253" s="36" t="str">
        <f t="shared" ref="P253:P255" si="149">IF(D253="","","0")</f>
        <v>0</v>
      </c>
      <c r="Q253" s="35" t="str">
        <f t="shared" ref="Q253:Q255" si="150">IF(D253="","",D253&amp;" "&amp;E253&amp;" "&amp;H253)</f>
        <v>file_dvcd_1fst file구분코드 1 [["1000","사업자등록증"],["2100","견적서"],["2200","주문서"],["2300","계약서"],["3100","도면자료"],["4000","회사소개자료"],["5000","검사성적서"],["양식"],["6000","인쇄사양"]]</v>
      </c>
      <c r="R253" s="2" t="s">
        <v>921</v>
      </c>
      <c r="S253" s="2"/>
      <c r="T253" s="2"/>
      <c r="U253" s="2"/>
      <c r="V253" s="2"/>
      <c r="W253" s="2"/>
      <c r="X253" s="2"/>
      <c r="Y253" s="2"/>
      <c r="Z253" s="2"/>
      <c r="AA253" s="2"/>
      <c r="AB253" s="31" t="s">
        <v>591</v>
      </c>
      <c r="AC253" s="25" t="s">
        <v>2776</v>
      </c>
      <c r="AD253" s="31" t="s">
        <v>678</v>
      </c>
      <c r="AE253" s="25" t="s">
        <v>2777</v>
      </c>
      <c r="AF253" s="31" t="s">
        <v>679</v>
      </c>
      <c r="AG253" s="25" t="s">
        <v>2778</v>
      </c>
      <c r="AH253" s="31" t="s">
        <v>2514</v>
      </c>
      <c r="AI253" s="25" t="s">
        <v>2779</v>
      </c>
      <c r="AJ253" s="31" t="s">
        <v>2781</v>
      </c>
      <c r="AK253" s="25" t="s">
        <v>2782</v>
      </c>
      <c r="AL253" s="31" t="s">
        <v>601</v>
      </c>
      <c r="AM253" s="25" t="s">
        <v>2780</v>
      </c>
      <c r="AN253" s="31" t="s">
        <v>626</v>
      </c>
      <c r="AO253" s="25" t="s">
        <v>2880</v>
      </c>
      <c r="AP253" s="31" t="s">
        <v>628</v>
      </c>
      <c r="AQ253" s="25" t="s">
        <v>2893</v>
      </c>
      <c r="AR253" s="31"/>
      <c r="AS253" s="25"/>
      <c r="AT253" s="30"/>
      <c r="AU253" s="25"/>
      <c r="AV253" s="30"/>
      <c r="AW253" s="25"/>
      <c r="AX253" s="30"/>
      <c r="AY253" s="25"/>
      <c r="AZ253" s="30"/>
      <c r="BA253" s="25"/>
      <c r="BB253" s="30"/>
      <c r="BC253" s="25"/>
      <c r="BD253" s="30"/>
      <c r="BE253" s="25"/>
      <c r="BF253" s="30"/>
      <c r="BG253" s="25"/>
      <c r="BH253" s="30"/>
      <c r="BI253" s="25"/>
      <c r="BJ253" s="30"/>
      <c r="BK253" s="25"/>
      <c r="BL253" s="30"/>
      <c r="BM253" s="25"/>
      <c r="BN253" s="30"/>
      <c r="BO253" s="25"/>
      <c r="BP253" s="30"/>
      <c r="BQ253" s="25"/>
      <c r="BR253" s="30"/>
      <c r="BS253" s="25"/>
      <c r="BT253" s="30"/>
      <c r="BU253" s="25"/>
      <c r="BV253" s="30"/>
      <c r="BW253" s="25"/>
      <c r="BX253" s="30"/>
      <c r="BY253" s="25"/>
      <c r="CA253" s="1" t="str">
        <f t="shared" ref="CA253:CA255" ca="1" si="151">IF(A253="","","delete from sscd_mast where sscd_idcd = '"&amp;A253&amp;"'  and site_idcd = '"&amp;C253&amp;"';")</f>
        <v>delete from sscd_mast where sscd_idcd = 'file_dvcd_1fst_KOR_common'  and site_idcd = 'common';</v>
      </c>
      <c r="CB253" s="5" t="str">
        <f ca="1">IF(E253&lt;&gt;"",CREATE_QUERY($B$1,A$2:AA$2,A253:AA253),"")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('file_dvcd_1fst_KOR_common', 'KOR', 'common', 'file_dvcd_1fst', 'file구분코드 1', 'gb', '', '[["1000","사업자등록증"],["2100","견적서"],["2200","주문서"],["2300","계약서"],["3100","도면자료"],["4000","회사소개자료"],["5000","검사성적서"],["양식"],["6000","인쇄사양"]]', '1000:사업자등록증 2100:견적서 2200:주문서 2300:계약서 3100:도면자료 4000:회사소개자료 5000:검사성적서 양식 6000:인쇄사양', '', '1000=사업자등록증|2100=견적서|2200=주문서|2300=계약서|3100=도면자료|4000=회사소개자료|5000=검사성적서 양식|6000=인쇄사양', '', '0', '0', '0', '0', 'file_dvcd_1fst file구분코드 1 [["1000","사업자등록증"],["2100","견적서"],["2200","주문서"],["2300","계약서"],["3100","도면자료"],["4000","회사소개자료"],["5000","검사성적서"],["양식"],["6000","인쇄사양"]]', ' ', '', '', '', '', '', '', '', '', '');</v>
      </c>
    </row>
    <row r="254" spans="1:80" ht="17">
      <c r="A254" s="3" t="str">
        <f t="shared" ca="1" si="140"/>
        <v>file_dvcd_2snd_KOR_common</v>
      </c>
      <c r="B254" s="2" t="str">
        <f t="shared" ca="1" si="141"/>
        <v>KOR</v>
      </c>
      <c r="C254" s="25" t="str">
        <f t="shared" si="100"/>
        <v>common</v>
      </c>
      <c r="D254" s="25" t="s">
        <v>2771</v>
      </c>
      <c r="E254" s="25" t="s">
        <v>2774</v>
      </c>
      <c r="F254" s="25" t="str">
        <f t="shared" ca="1" si="142"/>
        <v>gb</v>
      </c>
      <c r="G254" s="25"/>
      <c r="H254" s="2" t="str">
        <f t="shared" si="143"/>
        <v>[["1100","좌측1"],["1200","좌측2"],["2100","우측1"],["2200","우측2"],["3100","전면1"],["3200","전면2"],["4100","후면1"],["4200","후면2"],["5100","비고1"],["5200","비고2"]]</v>
      </c>
      <c r="I254" s="2" t="str">
        <f t="shared" si="144"/>
        <v>1100:좌측1 1200:좌측2 2100:우측1 2200:우측2 3100:전면1 3200:전면2 4100:후면1 4200:후면2 5100:비고1 5200:비고2</v>
      </c>
      <c r="J254" s="2"/>
      <c r="K254" s="35" t="str">
        <f t="shared" si="145"/>
        <v>1100=좌측1|1200=좌측2|2100=우측1|2200=우측2|3100=전면1|3200=전면2|4100=후면1|4200=후면2|5100=비고1|5200=비고2</v>
      </c>
      <c r="L254" s="2"/>
      <c r="M254" s="36" t="str">
        <f t="shared" ca="1" si="146"/>
        <v>0</v>
      </c>
      <c r="N254" s="36" t="str">
        <f t="shared" ca="1" si="147"/>
        <v>0</v>
      </c>
      <c r="O254" s="36" t="str">
        <f t="shared" si="148"/>
        <v>0</v>
      </c>
      <c r="P254" s="36" t="str">
        <f t="shared" si="149"/>
        <v>0</v>
      </c>
      <c r="Q254" s="35" t="str">
        <f t="shared" si="150"/>
        <v>file_dvcd_2snd file구분코드 2 [["1100","좌측1"],["1200","좌측2"],["2100","우측1"],["2200","우측2"],["3100","전면1"],["3200","전면2"],["4100","후면1"],["4200","후면2"],["5100","비고1"],["5200","비고2"]]</v>
      </c>
      <c r="R254" s="2" t="s">
        <v>921</v>
      </c>
      <c r="S254" s="2"/>
      <c r="T254" s="2"/>
      <c r="U254" s="2"/>
      <c r="V254" s="2"/>
      <c r="W254" s="2"/>
      <c r="X254" s="2"/>
      <c r="Y254" s="2"/>
      <c r="Z254" s="2"/>
      <c r="AA254" s="2"/>
      <c r="AB254" s="31" t="s">
        <v>671</v>
      </c>
      <c r="AC254" s="25" t="s">
        <v>2894</v>
      </c>
      <c r="AD254" s="31" t="s">
        <v>672</v>
      </c>
      <c r="AE254" s="25" t="s">
        <v>2895</v>
      </c>
      <c r="AF254" s="31" t="s">
        <v>678</v>
      </c>
      <c r="AG254" s="25" t="s">
        <v>2896</v>
      </c>
      <c r="AH254" s="31" t="s">
        <v>679</v>
      </c>
      <c r="AI254" s="25" t="s">
        <v>2897</v>
      </c>
      <c r="AJ254" s="31" t="s">
        <v>2781</v>
      </c>
      <c r="AK254" s="25" t="s">
        <v>2898</v>
      </c>
      <c r="AL254" s="31" t="s">
        <v>2899</v>
      </c>
      <c r="AM254" s="25" t="s">
        <v>2900</v>
      </c>
      <c r="AN254" s="31" t="s">
        <v>2686</v>
      </c>
      <c r="AO254" s="25" t="s">
        <v>2901</v>
      </c>
      <c r="AP254" s="31" t="s">
        <v>2688</v>
      </c>
      <c r="AQ254" s="25" t="s">
        <v>2902</v>
      </c>
      <c r="AR254" s="30">
        <v>5100</v>
      </c>
      <c r="AS254" s="25" t="s">
        <v>2903</v>
      </c>
      <c r="AT254" s="31" t="s">
        <v>2904</v>
      </c>
      <c r="AU254" s="25" t="s">
        <v>2905</v>
      </c>
      <c r="AV254" s="30"/>
      <c r="AW254" s="25"/>
      <c r="AX254" s="30"/>
      <c r="AY254" s="25"/>
      <c r="AZ254" s="30"/>
      <c r="BA254" s="25"/>
      <c r="BB254" s="30"/>
      <c r="BC254" s="25"/>
      <c r="BD254" s="30"/>
      <c r="BE254" s="25"/>
      <c r="BF254" s="30"/>
      <c r="BG254" s="25"/>
      <c r="BH254" s="30"/>
      <c r="BI254" s="25"/>
      <c r="BJ254" s="30"/>
      <c r="BK254" s="25"/>
      <c r="BL254" s="30"/>
      <c r="BM254" s="25"/>
      <c r="BN254" s="30"/>
      <c r="BO254" s="25"/>
      <c r="BP254" s="30"/>
      <c r="BQ254" s="25"/>
      <c r="BR254" s="30"/>
      <c r="BS254" s="25"/>
      <c r="BT254" s="30"/>
      <c r="BU254" s="25"/>
      <c r="BV254" s="30"/>
      <c r="BW254" s="25"/>
      <c r="BX254" s="30"/>
      <c r="BY254" s="25"/>
      <c r="CA254" s="1" t="str">
        <f t="shared" ca="1" si="151"/>
        <v>delete from sscd_mast where sscd_idcd = 'file_dvcd_2snd_KOR_common'  and site_idcd = 'common';</v>
      </c>
      <c r="CB254" s="5" t="str">
        <f ca="1">IF(E254&lt;&gt;"",CREATE_QUERY($B$1,A$2:AA$2,A254:AA254),"")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('file_dvcd_2snd_KOR_common', 'KOR', 'common', 'file_dvcd_2snd', 'file구분코드 2', 'gb', '', '[["1100","좌측1"],["1200","좌측2"],["2100","우측1"],["2200","우측2"],["3100","전면1"],["3200","전면2"],["4100","후면1"],["4200","후면2"],["5100","비고1"],["5200","비고2"]]', '1100:좌측1 1200:좌측2 2100:우측1 2200:우측2 3100:전면1 3200:전면2 4100:후면1 4200:후면2 5100:비고1 5200:비고2', '', '1100=좌측1|1200=좌측2|2100=우측1|2200=우측2|3100=전면1|3200=전면2|4100=후면1|4200=후면2|5100=비고1|5200=비고2', '', '0', '0', '0', '0', 'file_dvcd_2snd file구분코드 2 [["1100","좌측1"],["1200","좌측2"],["2100","우측1"],["2200","우측2"],["3100","전면1"],["3200","전면2"],["4100","후면1"],["4200","후면2"],["5100","비고1"],["5200","비고2"]]', ' ', '', '', '', '', '', '', '', '', '');</v>
      </c>
    </row>
    <row r="255" spans="1:80" ht="17">
      <c r="A255" s="3" t="str">
        <f t="shared" ca="1" si="140"/>
        <v>file_dvcd_3trd_KOR_common</v>
      </c>
      <c r="B255" s="2" t="str">
        <f t="shared" ca="1" si="141"/>
        <v>KOR</v>
      </c>
      <c r="C255" s="25" t="str">
        <f t="shared" si="100"/>
        <v>common</v>
      </c>
      <c r="D255" s="25" t="s">
        <v>2772</v>
      </c>
      <c r="E255" s="25" t="s">
        <v>2775</v>
      </c>
      <c r="F255" s="25" t="str">
        <f t="shared" ca="1" si="142"/>
        <v>gb</v>
      </c>
      <c r="G255" s="25"/>
      <c r="H255" s="2" t="str">
        <f t="shared" si="143"/>
        <v>[[""]]</v>
      </c>
      <c r="I255" s="2" t="str">
        <f t="shared" si="144"/>
        <v/>
      </c>
      <c r="J255" s="2"/>
      <c r="K255" s="35" t="str">
        <f t="shared" si="145"/>
        <v/>
      </c>
      <c r="L255" s="2"/>
      <c r="M255" s="36" t="str">
        <f t="shared" ca="1" si="146"/>
        <v>0</v>
      </c>
      <c r="N255" s="36" t="str">
        <f t="shared" ca="1" si="147"/>
        <v>0</v>
      </c>
      <c r="O255" s="36" t="str">
        <f t="shared" si="148"/>
        <v>0</v>
      </c>
      <c r="P255" s="36" t="str">
        <f t="shared" si="149"/>
        <v>0</v>
      </c>
      <c r="Q255" s="35" t="str">
        <f t="shared" si="150"/>
        <v>file_dvcd_3trd file구분코드 3 [[""]]</v>
      </c>
      <c r="R255" s="2" t="s">
        <v>921</v>
      </c>
      <c r="S255" s="2"/>
      <c r="T255" s="2"/>
      <c r="U255" s="2"/>
      <c r="V255" s="2"/>
      <c r="W255" s="2"/>
      <c r="X255" s="2"/>
      <c r="Y255" s="2"/>
      <c r="Z255" s="2"/>
      <c r="AA255" s="2"/>
      <c r="AB255" s="30"/>
      <c r="AC255" s="25"/>
      <c r="AD255" s="30"/>
      <c r="AE255" s="25"/>
      <c r="AF255" s="30"/>
      <c r="AG255" s="25"/>
      <c r="AH255" s="30"/>
      <c r="AI255" s="25"/>
      <c r="AJ255" s="30"/>
      <c r="AK255" s="25"/>
      <c r="AL255" s="30"/>
      <c r="AM255" s="25"/>
      <c r="AN255" s="30"/>
      <c r="AO255" s="25"/>
      <c r="AP255" s="30"/>
      <c r="AQ255" s="25"/>
      <c r="AR255" s="30"/>
      <c r="AS255" s="25"/>
      <c r="AT255" s="30"/>
      <c r="AU255" s="25"/>
      <c r="AV255" s="30"/>
      <c r="AW255" s="25"/>
      <c r="AX255" s="30"/>
      <c r="AY255" s="25"/>
      <c r="AZ255" s="30"/>
      <c r="BA255" s="25"/>
      <c r="BB255" s="30"/>
      <c r="BC255" s="25"/>
      <c r="BD255" s="30"/>
      <c r="BE255" s="25"/>
      <c r="BF255" s="30"/>
      <c r="BG255" s="25"/>
      <c r="BH255" s="30"/>
      <c r="BI255" s="25"/>
      <c r="BJ255" s="30"/>
      <c r="BK255" s="25"/>
      <c r="BL255" s="30"/>
      <c r="BM255" s="25"/>
      <c r="BN255" s="30"/>
      <c r="BO255" s="25"/>
      <c r="BP255" s="30"/>
      <c r="BQ255" s="25"/>
      <c r="BR255" s="30"/>
      <c r="BS255" s="25"/>
      <c r="BT255" s="30"/>
      <c r="BU255" s="25"/>
      <c r="BV255" s="30"/>
      <c r="BW255" s="25"/>
      <c r="BX255" s="30"/>
      <c r="BY255" s="25"/>
      <c r="CA255" s="1" t="str">
        <f t="shared" ca="1" si="151"/>
        <v>delete from sscd_mast where sscd_idcd = 'file_dvcd_3trd_KOR_common'  and site_idcd = 'common';</v>
      </c>
      <c r="CB255" s="5" t="str">
        <f ca="1">IF(E255&lt;&gt;"",CREATE_QUERY($B$1,A$2:AA$2,A255:AA255),"")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('file_dvcd_3trd_KOR_common', 'KOR', 'common', 'file_dvcd_3trd', 'file구분코드 3', 'gb', '', '[[""]]', '', '', '', '', '0', '0', '0', '0', 'file_dvcd_3trd file구분코드 3 [[""]]', ' ', '', '', '', '', '', '', '', '', '');</v>
      </c>
    </row>
    <row r="256" spans="1:80" ht="17">
      <c r="A256" s="3" t="str">
        <f ca="1">IF(D256="","",D256&amp;"_"&amp;B256&amp;"_"&amp;C256)</f>
        <v>item_dvcd_KOR_common</v>
      </c>
      <c r="B256" s="2" t="str">
        <f ca="1">IF(E256="","",OFFSET(B256,-1,0))</f>
        <v>KOR</v>
      </c>
      <c r="C256" s="25" t="str">
        <f t="shared" si="100"/>
        <v>common</v>
      </c>
      <c r="D256" s="25" t="s">
        <v>2697</v>
      </c>
      <c r="E256" s="25" t="s">
        <v>2698</v>
      </c>
      <c r="F256" s="25" t="str">
        <f ca="1">IF(A256="","","gb")</f>
        <v>gb</v>
      </c>
      <c r="G256" s="25"/>
      <c r="H256" s="2" t="str">
        <f>"[["""&amp;
SUBSTITUTE(SUBSTITUTE(I256,":",""",""")," ","""],[""")
&amp;"""]]"</f>
        <v>[["1000","컨테이너"],["2000","화장실"]]</v>
      </c>
      <c r="I256" s="2" t="str">
        <f t="shared" ref="I256:I258" si="152">IF(AB256="","",AB256&amp;":"&amp;AC256)&amp;
IF(AD256="",""," "&amp;AD256&amp;":"&amp;AE256)&amp;
IF(AF256="",""," "&amp;AF256&amp;":"&amp;AG256)&amp;
IF(AH256="",""," "&amp;AH256&amp;":"&amp;AI256)&amp;
IF(AJ256="",""," "&amp;AJ256&amp;":"&amp;AK256)&amp;
IF(AL256="",""," "&amp;AL256&amp;":"&amp;AM256)&amp;
IF(AN256="",""," "&amp;AN256&amp;":"&amp;AO256)&amp;
IF(AP256="",""," "&amp;AP256&amp;":"&amp;AQ256)&amp;
IF(AR256="",""," "&amp;AR256&amp;":"&amp;AS256)&amp;
IF(AT256="",""," "&amp;AT256&amp;":"&amp;AU256)&amp;
IF(AV256="",""," "&amp;AV256&amp;":"&amp;AW256)&amp;
IF(AX256="",""," "&amp;AX256&amp;":"&amp;AY256)&amp;
IF(AZ256="",""," "&amp;AZ256&amp;":"&amp;BA256)&amp;
IF(BB256="",""," "&amp;BB256&amp;":"&amp;BC256)&amp;
IF(BD256="",""," "&amp;BD256&amp;":"&amp;BE256)&amp;
IF(BF256="",""," "&amp;BF256&amp;":"&amp;BG256)&amp;
IF(BH256="",""," "&amp;BH256&amp;":"&amp;BI256)&amp;
IF(BJ256="",""," "&amp;BJ256&amp;":"&amp;BK256)&amp;
IF(BL256="",""," "&amp;BL256&amp;":"&amp;BM256)&amp;
IF(BN256="",""," "&amp;BN256&amp;":"&amp;BO256)&amp;
IF(BP256="",""," "&amp;BP256&amp;":"&amp;BS256)&amp;
IF(BZ256="",""," "&amp;BZ256&amp;":"&amp;CA256)</f>
        <v>1000:컨테이너 2000:화장실</v>
      </c>
      <c r="J256" s="2"/>
      <c r="K256" s="35" t="str">
        <f t="shared" ref="K256:K258" si="153">IF(AB256="","",AB256&amp;"="&amp;AC256)&amp;
IF(AD256="","","|"&amp;AD256&amp;"="&amp;AE256)&amp;
IF(AF256="","","|"&amp;AF256&amp;"="&amp;AG256)&amp;
IF(AH256="","","|"&amp;AH256&amp;"="&amp;AI256)&amp;
IF(AJ256="","","|"&amp;AJ256&amp;"="&amp;AK256)&amp;
IF(AL256="","","|"&amp;AL256&amp;"="&amp;AM256)&amp;
IF(AN256="","","|"&amp;AN256&amp;"="&amp;AO256)&amp;
IF(AP256="","","|"&amp;AP256&amp;"="&amp;AQ256)&amp;
IF(AR256="","","|"&amp;AR256&amp;"="&amp;AS256)&amp;
IF(AT256="","","|"&amp;AT256&amp;"="&amp;AU256)&amp;
IF(AV256="","","|"&amp;AV256&amp;"="&amp;AW256)&amp;
IF(AX256="","","|"&amp;AX256&amp;"="&amp;AY256)&amp;
IF(AZ256="","","|"&amp;AZ256&amp;"="&amp;BA256)&amp;
IF(BB256="","","|"&amp;BB256&amp;"="&amp;BC256)&amp;
IF(BD256="","","|"&amp;BD256&amp;"="&amp;BE256)&amp;
IF(BF256="","","|"&amp;BF256&amp;"="&amp;BG256)&amp;
IF(BH256="","","|"&amp;BH256&amp;"="&amp;BI256)&amp;
IF(BJ256="","","|"&amp;BJ256&amp;"="&amp;BK256)&amp;
IF(BL256="","","|"&amp;BL256&amp;"="&amp;BM256)&amp;
IF(BN256="","","|"&amp;BN256&amp;"="&amp;BO256)&amp;
IF(BP256="","","|"&amp;BP256&amp;"="&amp;BQ256)&amp;
IF(BR256="","","|"&amp;BR256&amp;"="&amp;BS256)&amp;
IF(BT256="","","|"&amp;BT256&amp;"="&amp;BU256)&amp;
IF(BV256="","","|"&amp;BV256&amp;"="&amp;BW256)&amp;
IF(BX256="","","|"&amp;BX256&amp;"="&amp;BY256)</f>
        <v>1000=컨테이너|2000=화장실</v>
      </c>
      <c r="L256" s="2"/>
      <c r="M256" s="36" t="str">
        <f ca="1">IF(A256="","","0")</f>
        <v>0</v>
      </c>
      <c r="N256" s="36" t="str">
        <f ca="1">IF(B256="","","0")</f>
        <v>0</v>
      </c>
      <c r="O256" s="36" t="str">
        <f>IF(C256="","","0")</f>
        <v>0</v>
      </c>
      <c r="P256" s="36" t="str">
        <f>IF(D256="","","0")</f>
        <v>0</v>
      </c>
      <c r="Q256" s="35" t="str">
        <f>IF(D256="","",D256&amp;" "&amp;E256&amp;" "&amp;H256)</f>
        <v>item_dvcd 품목구분코드 [["1000","컨테이너"],["2000","화장실"]]</v>
      </c>
      <c r="R256" s="2" t="s">
        <v>921</v>
      </c>
      <c r="S256" s="2"/>
      <c r="T256" s="2"/>
      <c r="U256" s="2"/>
      <c r="V256" s="2"/>
      <c r="W256" s="2"/>
      <c r="X256" s="2"/>
      <c r="Y256" s="2"/>
      <c r="Z256" s="2"/>
      <c r="AA256" s="2"/>
      <c r="AB256" s="31" t="s">
        <v>2699</v>
      </c>
      <c r="AC256" s="25" t="s">
        <v>2928</v>
      </c>
      <c r="AD256" s="31" t="s">
        <v>2700</v>
      </c>
      <c r="AE256" s="25" t="s">
        <v>3149</v>
      </c>
      <c r="AF256" s="30"/>
      <c r="AG256" s="25"/>
      <c r="AH256" s="30"/>
      <c r="AI256" s="25"/>
      <c r="AJ256" s="30"/>
      <c r="AK256" s="25"/>
      <c r="AL256" s="30"/>
      <c r="AM256" s="25"/>
      <c r="AN256" s="30"/>
      <c r="AO256" s="25"/>
      <c r="AP256" s="30"/>
      <c r="AQ256" s="25"/>
      <c r="AR256" s="30"/>
      <c r="AS256" s="25"/>
      <c r="AT256" s="30"/>
      <c r="AU256" s="25"/>
      <c r="AV256" s="30"/>
      <c r="AW256" s="25"/>
      <c r="AX256" s="30"/>
      <c r="AY256" s="25"/>
      <c r="AZ256" s="30"/>
      <c r="BA256" s="25"/>
      <c r="BB256" s="30"/>
      <c r="BC256" s="25"/>
      <c r="BD256" s="30"/>
      <c r="BE256" s="25"/>
      <c r="BF256" s="30"/>
      <c r="BG256" s="25"/>
      <c r="BH256" s="30"/>
      <c r="BI256" s="25"/>
      <c r="BJ256" s="30"/>
      <c r="BK256" s="25"/>
      <c r="BL256" s="30"/>
      <c r="BM256" s="25"/>
      <c r="BN256" s="30"/>
      <c r="BO256" s="25"/>
      <c r="BP256" s="30"/>
      <c r="BQ256" s="25"/>
      <c r="BR256" s="30"/>
      <c r="BS256" s="25"/>
      <c r="BT256" s="30"/>
      <c r="BU256" s="25"/>
      <c r="BV256" s="30"/>
      <c r="BW256" s="25"/>
      <c r="BX256" s="30"/>
      <c r="BY256" s="25"/>
      <c r="CA256" s="1" t="str">
        <f t="shared" ref="CA256:CA258" ca="1" si="154">IF(A256="","","delete from sscd_mast where sscd_idcd = '"&amp;A256&amp;"'  and site_idcd = '"&amp;C256&amp;"';")</f>
        <v>delete from sscd_mast where sscd_idcd = 'item_dvcd_KOR_common'  and site_idcd = 'common';</v>
      </c>
      <c r="CB256" s="5" t="str">
        <f ca="1">IF(E256&lt;&gt;"",CREATE_QUERY($B$1,A$2:AA$2,A256:AA256),"")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('item_dvcd_KOR_common', 'KOR', 'common', 'item_dvcd', '품목구분코드', 'gb', '', '[["1000","컨테이너"],["2000","화장실"]]', '1000:컨테이너 2000:화장실', '', '1000=컨테이너|2000=화장실', '', '0', '0', '0', '0', 'item_dvcd 품목구분코드 [["1000","컨테이너"],["2000","화장실"]]', ' ', '', '', '', '', '', '', '', '', '');</v>
      </c>
    </row>
    <row r="257" spans="1:80" ht="17">
      <c r="A257" s="3" t="str">
        <f t="shared" ref="A257" ca="1" si="155">IF(D257="","",D257&amp;"_"&amp;B257&amp;"_"&amp;C257)</f>
        <v>item_dvcd_KOR_common</v>
      </c>
      <c r="B257" s="2" t="str">
        <f t="shared" ref="B257" ca="1" si="156">IF(E257="","",OFFSET(B257,-1,0))</f>
        <v>KOR</v>
      </c>
      <c r="C257" s="25" t="str">
        <f t="shared" si="100"/>
        <v>common</v>
      </c>
      <c r="D257" s="25" t="s">
        <v>2697</v>
      </c>
      <c r="E257" s="25" t="s">
        <v>2698</v>
      </c>
      <c r="F257" s="25" t="str">
        <f t="shared" ref="F257" ca="1" si="157">IF(A257="","","gb")</f>
        <v>gb</v>
      </c>
      <c r="G257" s="25"/>
      <c r="H257" s="2" t="str">
        <f t="shared" ref="H257" si="158">"[["""&amp;
SUBSTITUTE(SUBSTITUTE(I257,":",""",""")," ","""],[""")
&amp;"""]]"</f>
        <v>[["1000","원자재"],["2000","부속자재"]]</v>
      </c>
      <c r="I257" s="2" t="str">
        <f t="shared" si="152"/>
        <v>1000:원자재 2000:부속자재</v>
      </c>
      <c r="J257" s="2"/>
      <c r="K257" s="35" t="str">
        <f t="shared" si="153"/>
        <v>1000=원자재|2000=부속자재</v>
      </c>
      <c r="L257" s="2"/>
      <c r="M257" s="36" t="str">
        <f t="shared" ref="M257" ca="1" si="159">IF(A257="","","0")</f>
        <v>0</v>
      </c>
      <c r="N257" s="36" t="str">
        <f t="shared" ref="N257" ca="1" si="160">IF(B257="","","0")</f>
        <v>0</v>
      </c>
      <c r="O257" s="36" t="str">
        <f t="shared" ref="O257" si="161">IF(C257="","","0")</f>
        <v>0</v>
      </c>
      <c r="P257" s="36" t="str">
        <f t="shared" ref="P257" si="162">IF(D257="","","0")</f>
        <v>0</v>
      </c>
      <c r="Q257" s="35" t="str">
        <f t="shared" ref="Q257" si="163">IF(D257="","",D257&amp;" "&amp;E257&amp;" "&amp;H257)</f>
        <v>item_dvcd 품목구분코드 [["1000","원자재"],["2000","부속자재"]]</v>
      </c>
      <c r="R257" s="2" t="s">
        <v>921</v>
      </c>
      <c r="S257" s="2"/>
      <c r="T257" s="2"/>
      <c r="U257" s="2"/>
      <c r="V257" s="2"/>
      <c r="W257" s="2"/>
      <c r="X257" s="2"/>
      <c r="Y257" s="2"/>
      <c r="Z257" s="2"/>
      <c r="AA257" s="2"/>
      <c r="AB257" s="31" t="s">
        <v>591</v>
      </c>
      <c r="AC257" s="25" t="s">
        <v>2858</v>
      </c>
      <c r="AD257" s="31" t="s">
        <v>592</v>
      </c>
      <c r="AE257" s="25" t="s">
        <v>2859</v>
      </c>
      <c r="AF257" s="30"/>
      <c r="AG257" s="25"/>
      <c r="AH257" s="30"/>
      <c r="AI257" s="25"/>
      <c r="AJ257" s="30"/>
      <c r="AK257" s="25"/>
      <c r="AL257" s="30"/>
      <c r="AM257" s="25"/>
      <c r="AN257" s="30"/>
      <c r="AO257" s="25"/>
      <c r="AP257" s="30"/>
      <c r="AQ257" s="25"/>
      <c r="AR257" s="30"/>
      <c r="AS257" s="25"/>
      <c r="AT257" s="30"/>
      <c r="AU257" s="25"/>
      <c r="AV257" s="30"/>
      <c r="AW257" s="25"/>
      <c r="AX257" s="30"/>
      <c r="AY257" s="25"/>
      <c r="AZ257" s="30"/>
      <c r="BA257" s="25"/>
      <c r="BB257" s="30"/>
      <c r="BC257" s="25"/>
      <c r="BD257" s="30"/>
      <c r="BE257" s="25"/>
      <c r="BF257" s="30"/>
      <c r="BG257" s="25"/>
      <c r="BH257" s="30"/>
      <c r="BI257" s="25"/>
      <c r="BJ257" s="30"/>
      <c r="BK257" s="25"/>
      <c r="BL257" s="30"/>
      <c r="BM257" s="25"/>
      <c r="BN257" s="30"/>
      <c r="BO257" s="25"/>
      <c r="BP257" s="30"/>
      <c r="BQ257" s="25"/>
      <c r="BR257" s="30"/>
      <c r="BS257" s="25"/>
      <c r="BT257" s="30"/>
      <c r="BU257" s="25"/>
      <c r="BV257" s="30"/>
      <c r="BW257" s="25"/>
      <c r="BX257" s="30"/>
      <c r="BY257" s="25"/>
      <c r="CA257" s="1" t="str">
        <f t="shared" ca="1" si="154"/>
        <v>delete from sscd_mast where sscd_idcd = 'item_dvcd_KOR_common'  and site_idcd = 'common';</v>
      </c>
      <c r="CB257" s="5" t="str">
        <f ca="1">IF(E257&lt;&gt;"",CREATE_QUERY($B$1,A$2:AA$2,A257:AA257),"")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('item_dvcd_KOR_common', 'KOR', 'common', 'item_dvcd', '품목구분코드', 'gb', '', '[["1000","원자재"],["2000","부속자재"]]', '1000:원자재 2000:부속자재', '', '1000=원자재|2000=부속자재', '', '0', '0', '0', '0', 'item_dvcd 품목구분코드 [["1000","원자재"],["2000","부속자재"]]', ' ', '', '', '', '', '', '', '', '', '');</v>
      </c>
    </row>
    <row r="258" spans="1:80" ht="17">
      <c r="A258" s="3" t="str">
        <f t="shared" ref="A258" ca="1" si="164">IF(D258="","",D258&amp;"_"&amp;B258&amp;"_"&amp;C258)</f>
        <v>cost_larg_dvcd_KOR_common</v>
      </c>
      <c r="B258" s="2" t="str">
        <f t="shared" ref="B258" ca="1" si="165">IF(E258="","",OFFSET(B258,-1,0))</f>
        <v>KOR</v>
      </c>
      <c r="C258" s="25" t="str">
        <f t="shared" si="100"/>
        <v>common</v>
      </c>
      <c r="D258" s="25" t="s">
        <v>2648</v>
      </c>
      <c r="E258" s="25" t="s">
        <v>2650</v>
      </c>
      <c r="F258" s="25" t="str">
        <f t="shared" ref="F258" ca="1" si="166">IF(A258="","","gb")</f>
        <v>gb</v>
      </c>
      <c r="G258" s="25"/>
      <c r="H258" s="2" t="str">
        <f t="shared" ref="H258" si="167">"[["""&amp;
SUBSTITUTE(SUBSTITUTE(I258,":",""",""")," ","""],[""")
&amp;"""]]"</f>
        <v>[["1","컨테이너제작"],["2","컨테이너수리"],["3","기타"]]</v>
      </c>
      <c r="I258" s="2" t="str">
        <f t="shared" si="152"/>
        <v>1:컨테이너제작 2:컨테이너수리 3:기타</v>
      </c>
      <c r="J258" s="2"/>
      <c r="K258" s="35" t="str">
        <f t="shared" si="153"/>
        <v>1=컨테이너제작|2=컨테이너수리|3=기타</v>
      </c>
      <c r="L258" s="2"/>
      <c r="M258" s="36" t="str">
        <f t="shared" ref="M258:P258" ca="1" si="168">IF(A258="","","0")</f>
        <v>0</v>
      </c>
      <c r="N258" s="36" t="str">
        <f t="shared" ca="1" si="168"/>
        <v>0</v>
      </c>
      <c r="O258" s="36" t="str">
        <f t="shared" si="168"/>
        <v>0</v>
      </c>
      <c r="P258" s="36" t="str">
        <f t="shared" si="168"/>
        <v>0</v>
      </c>
      <c r="Q258" s="35" t="str">
        <f t="shared" ref="Q258" si="169">IF(D258="","",D258&amp;" "&amp;E258&amp;" "&amp;H258)</f>
        <v>cost_larg_dvcd 원가대구분코드 [["1","컨테이너제작"],["2","컨테이너수리"],["3","기타"]]</v>
      </c>
      <c r="R258" s="2" t="s">
        <v>921</v>
      </c>
      <c r="S258" s="2"/>
      <c r="T258" s="2"/>
      <c r="U258" s="2"/>
      <c r="V258" s="2"/>
      <c r="W258" s="2"/>
      <c r="X258" s="2"/>
      <c r="Y258" s="2"/>
      <c r="Z258" s="2"/>
      <c r="AA258" s="2"/>
      <c r="AB258" s="31" t="s">
        <v>2651</v>
      </c>
      <c r="AC258" s="25" t="s">
        <v>3180</v>
      </c>
      <c r="AD258" s="31" t="s">
        <v>2652</v>
      </c>
      <c r="AE258" s="25" t="s">
        <v>3181</v>
      </c>
      <c r="AF258" s="31" t="s">
        <v>2653</v>
      </c>
      <c r="AG258" s="25" t="s">
        <v>612</v>
      </c>
      <c r="AH258" s="30"/>
      <c r="AI258" s="25"/>
      <c r="AJ258" s="30"/>
      <c r="AK258" s="25"/>
      <c r="AL258" s="30"/>
      <c r="AM258" s="25"/>
      <c r="AN258" s="30"/>
      <c r="AO258" s="25"/>
      <c r="AP258" s="30"/>
      <c r="AQ258" s="25"/>
      <c r="AR258" s="30"/>
      <c r="AS258" s="25"/>
      <c r="AT258" s="30"/>
      <c r="AU258" s="25"/>
      <c r="AV258" s="30"/>
      <c r="AW258" s="25"/>
      <c r="AX258" s="30"/>
      <c r="AY258" s="25"/>
      <c r="AZ258" s="30"/>
      <c r="BA258" s="25"/>
      <c r="BB258" s="30"/>
      <c r="BC258" s="25"/>
      <c r="BD258" s="30"/>
      <c r="BE258" s="25"/>
      <c r="BF258" s="30"/>
      <c r="BG258" s="25"/>
      <c r="BH258" s="30"/>
      <c r="BI258" s="25"/>
      <c r="BJ258" s="30"/>
      <c r="BK258" s="25"/>
      <c r="BL258" s="30"/>
      <c r="BM258" s="25"/>
      <c r="BN258" s="30"/>
      <c r="BO258" s="25"/>
      <c r="BP258" s="30"/>
      <c r="BQ258" s="25"/>
      <c r="BR258" s="30"/>
      <c r="BS258" s="25"/>
      <c r="BT258" s="30"/>
      <c r="BU258" s="25"/>
      <c r="BV258" s="30"/>
      <c r="BW258" s="25"/>
      <c r="BX258" s="30"/>
      <c r="BY258" s="25"/>
      <c r="CA258" s="1" t="str">
        <f t="shared" ca="1" si="154"/>
        <v>delete from sscd_mast where sscd_idcd = 'cost_larg_dvcd_KOR_common'  and site_idcd = 'common';</v>
      </c>
      <c r="CB258" s="5" t="str">
        <f ca="1">IF(E258&lt;&gt;"",CREATE_QUERY($B$1,A$2:AA$2,A258:AA258),"")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('cost_larg_dvcd_KOR_common', 'KOR', 'common', 'cost_larg_dvcd', '원가대구분코드', 'gb', '', '[["1","컨테이너제작"],["2","컨테이너수리"],["3","기타"]]', '1:컨테이너제작 2:컨테이너수리 3:기타', '', '1=컨테이너제작|2=컨테이너수리|3=기타', '', '0', '0', '0', '0', 'cost_larg_dvcd 원가대구분코드 [["1","컨테이너제작"],["2","컨테이너수리"],["3","기타"]]', ' ', '', '', '', '', '', '', '', '', '');</v>
      </c>
    </row>
    <row r="259" spans="1:80" ht="17">
      <c r="A259" s="3" t="str">
        <f t="shared" si="116"/>
        <v>trde_exps_dvcd_KOR_common</v>
      </c>
      <c r="B259" s="2" t="s">
        <v>3095</v>
      </c>
      <c r="C259" s="25" t="str">
        <f t="shared" si="100"/>
        <v>common</v>
      </c>
      <c r="D259" s="25" t="s">
        <v>3096</v>
      </c>
      <c r="E259" s="25" t="s">
        <v>3097</v>
      </c>
      <c r="F259" s="25" t="str">
        <f t="shared" si="118"/>
        <v>gb</v>
      </c>
      <c r="G259" s="25"/>
      <c r="H259" s="2" t="str">
        <f t="shared" si="119"/>
        <v>[["0100","Shipping"],["cost"],["(운송료)"],["0200","THC"],["(터미널핸들링비)"],["0300","CFS"],["(창고이용료)"],["0400","WHARFAGE"],["(부두사용료)"],["0500","DOC"],["(서류발급비)"],["0600","INSURANCE"],["(적하보험료)"],["0700","CUSTOM"],["(통관수수료)"],["0800","TRUCKING"],["(국내운송료)"],["0900","HANDLING"],["CHARGE"],["(화물취급"],["수수료)"],["1000","Peak"],["Season"],["Charge"],["(성수기"],["추가요금)"],["1100","Drayge"],["Charge"],["(운반비)"],["1200","Fuel"],["Surcharge"],["(유류할증료)"],["1300","CGC"],["Surcharge"],["(항만혼잡할증료)"],["1400","Port"],["Facility"],["Charge"],["(항만시설이용료)"],["1500","AMS"],["Charge"],["(적하신고"],["전송비용)"],["1600","AFR"],["Charge"],["(적하신고"],["전송비용)"],["1700","Airport"],["Charge"],["(공항이용료)"],["1800","Seal"],["Charge"],["(컨테이너"],["씰"],["추가비)"],["1900","Shoring"],["Fee"],["(컨테이너"],["자물쇠"],["추가비)"]]</v>
      </c>
      <c r="I259" s="2" t="str">
        <f t="shared" si="110"/>
        <v>0100:Shipping cost (운송료) 0200:THC (터미널핸들링비) 0300:CFS (창고이용료) 0400:WHARFAGE (부두사용료) 0500:DOC (서류발급비) 0600:INSURANCE (적하보험료) 0700:CUSTOM (통관수수료) 0800:TRUCKING (국내운송료) 0900:HANDLING CHARGE (화물취급 수수료) 1000:Peak Season Charge (성수기 추가요금) 1100:Drayge Charge (운반비) 1200:Fuel Surcharge (유류할증료) 1300:CGC Surcharge (항만혼잡할증료) 1400:Port Facility Charge (항만시설이용료) 1500:AMS Charge (적하신고 전송비용) 1600:AFR Charge (적하신고 전송비용) 1700:Airport Charge (공항이용료) 1800:Seal Charge (컨테이너 씰 추가비) 1900:Shoring Fee (컨테이너 자물쇠 추가비)</v>
      </c>
      <c r="J259" s="2"/>
      <c r="K259" s="2" t="str">
        <f t="shared" si="125"/>
        <v>0100=Shipping cost (운송료)|0200=THC (터미널핸들링비)|0300=CFS (창고이용료)|0400=WHARFAGE (부두사용료)|0500=DOC (서류발급비)|0600=INSURANCE (적하보험료)|0700=CUSTOM (통관수수료)|0800=TRUCKING (국내운송료)|0900=HANDLING CHARGE (화물취급 수수료)|1000=Peak Season Charge (성수기 추가요금)|1100=Drayge Charge (운반비)|1200=Fuel Surcharge (유류할증료)|1300=CGC Surcharge (항만혼잡할증료)|1400=Port Facility Charge (항만시설이용료)|1500=AMS Charge (적하신고 전송비용)|1600=AFR Charge (적하신고 전송비용)|1700=Airport Charge (공항이용료)|1800=Seal Charge (컨테이너 씰 추가비)|1900=Shoring Fee (컨테이너 자물쇠 추가비)</v>
      </c>
      <c r="L259" s="2"/>
      <c r="M259" s="36" t="str">
        <f t="shared" si="120"/>
        <v>0</v>
      </c>
      <c r="N259" s="36" t="str">
        <f t="shared" si="121"/>
        <v>0</v>
      </c>
      <c r="O259" s="36" t="str">
        <f t="shared" si="122"/>
        <v>0</v>
      </c>
      <c r="P259" s="36" t="str">
        <f t="shared" si="123"/>
        <v>0</v>
      </c>
      <c r="Q259" s="35" t="str">
        <f t="shared" si="124"/>
        <v>trde_exps_dvcd 무역비용구분코드 [["0100","Shipping"],["cost"],["(운송료)"],["0200","THC"],["(터미널핸들링비)"],["0300","CFS"],["(창고이용료)"],["0400","WHARFAGE"],["(부두사용료)"],["0500","DOC"],["(서류발급비)"],["0600","INSURANCE"],["(적하보험료)"],["0700","CUSTOM"],["(통관수수료)"],["0800","TRUCKING"],["(국내운송료)"],["0900","HANDLING"],["CHARGE"],["(화물취급"],["수수료)"],["1000","Peak"],["Season"],["Charge"],["(성수기"],["추가요금)"],["1100","Drayge"],["Charge"],["(운반비)"],["1200","Fuel"],["Surcharge"],["(유류할증료)"],["1300","CGC"],["Surcharge"],["(항만혼잡할증료)"],["1400","Port"],["Facility"],["Charge"],["(항만시설이용료)"],["1500","AMS"],["Charge"],["(적하신고"],["전송비용)"],["1600","AFR"],["Charge"],["(적하신고"],["전송비용)"],["1700","Airport"],["Charge"],["(공항이용료)"],["1800","Seal"],["Charge"],["(컨테이너"],["씰"],["추가비)"],["1900","Shoring"],["Fee"],["(컨테이너"],["자물쇠"],["추가비)"]]</v>
      </c>
      <c r="R259" s="2" t="s">
        <v>921</v>
      </c>
      <c r="S259" s="2"/>
      <c r="T259" s="2"/>
      <c r="U259" s="2"/>
      <c r="V259" s="2"/>
      <c r="W259" s="2"/>
      <c r="X259" s="2"/>
      <c r="Y259" s="2"/>
      <c r="Z259" s="2"/>
      <c r="AA259" s="2"/>
      <c r="AB259" s="28" t="s">
        <v>2456</v>
      </c>
      <c r="AC259" s="25" t="s">
        <v>3105</v>
      </c>
      <c r="AD259" s="31" t="s">
        <v>584</v>
      </c>
      <c r="AE259" s="25" t="s">
        <v>3106</v>
      </c>
      <c r="AF259" s="31" t="s">
        <v>585</v>
      </c>
      <c r="AG259" s="25" t="s">
        <v>3107</v>
      </c>
      <c r="AH259" s="31" t="s">
        <v>567</v>
      </c>
      <c r="AI259" s="25" t="s">
        <v>3108</v>
      </c>
      <c r="AJ259" s="31" t="s">
        <v>568</v>
      </c>
      <c r="AK259" s="25" t="s">
        <v>3109</v>
      </c>
      <c r="AL259" s="31" t="s">
        <v>611</v>
      </c>
      <c r="AM259" s="25" t="s">
        <v>3110</v>
      </c>
      <c r="AN259" s="31" t="s">
        <v>3098</v>
      </c>
      <c r="AO259" s="25" t="s">
        <v>3111</v>
      </c>
      <c r="AP259" s="31" t="s">
        <v>3099</v>
      </c>
      <c r="AQ259" s="25" t="s">
        <v>3112</v>
      </c>
      <c r="AR259" s="31" t="s">
        <v>3100</v>
      </c>
      <c r="AS259" s="25" t="s">
        <v>3113</v>
      </c>
      <c r="AT259" s="31" t="s">
        <v>591</v>
      </c>
      <c r="AU259" s="25" t="s">
        <v>3114</v>
      </c>
      <c r="AV259" s="31" t="s">
        <v>671</v>
      </c>
      <c r="AW259" s="25" t="s">
        <v>3118</v>
      </c>
      <c r="AX259" s="31" t="s">
        <v>672</v>
      </c>
      <c r="AY259" s="25" t="s">
        <v>3115</v>
      </c>
      <c r="AZ259" s="31" t="s">
        <v>675</v>
      </c>
      <c r="BA259" s="25" t="s">
        <v>3116</v>
      </c>
      <c r="BB259" s="31" t="s">
        <v>677</v>
      </c>
      <c r="BC259" s="25" t="s">
        <v>3117</v>
      </c>
      <c r="BD259" s="31" t="s">
        <v>2605</v>
      </c>
      <c r="BE259" s="25" t="s">
        <v>3119</v>
      </c>
      <c r="BF259" s="31" t="s">
        <v>3101</v>
      </c>
      <c r="BG259" s="25" t="s">
        <v>3120</v>
      </c>
      <c r="BH259" s="31" t="s">
        <v>3102</v>
      </c>
      <c r="BI259" s="25" t="s">
        <v>3121</v>
      </c>
      <c r="BJ259" s="31" t="s">
        <v>3103</v>
      </c>
      <c r="BK259" s="25" t="s">
        <v>3122</v>
      </c>
      <c r="BL259" s="31" t="s">
        <v>3104</v>
      </c>
      <c r="BM259" s="25" t="s">
        <v>3123</v>
      </c>
      <c r="BN259" s="30"/>
      <c r="BO259" s="25"/>
      <c r="BP259" s="30"/>
      <c r="BQ259" s="25"/>
      <c r="BR259" s="30"/>
      <c r="BS259" s="25"/>
      <c r="BT259" s="30"/>
      <c r="BU259" s="25"/>
      <c r="BV259" s="30"/>
      <c r="BW259" s="25"/>
      <c r="BX259" s="30"/>
      <c r="BY259" s="25"/>
      <c r="CA259" s="1" t="str">
        <f t="shared" si="111"/>
        <v>delete from sscd_mast where sscd_idcd = 'trde_exps_dvcd_KOR_common'  and site_idcd = 'common';</v>
      </c>
      <c r="CB259" s="5" t="str">
        <f>IF(E259&lt;&gt;"",CREATE_QUERY($B$1,A$2:AA$2,A259:AA259),"")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('trde_exps_dvcd_KOR_common', 'KOR', 'common', 'trde_exps_dvcd', '무역비용구분코드', 'gb', '', '[["0100","Shipping"],["cost"],["(운송료)"],["0200","THC"],["(터미널핸들링비)"],["0300","CFS"],["(창고이용료)"],["0400","WHARFAGE"],["(부두사용료)"],["0500","DOC"],["(서류발급비)"],["0600","INSURANCE"],["(적하보험료)"],["0700","CUSTOM"],["(통관수수료)"],["0800","TRUCKING"],["(국내운송료)"],["0900","HANDLING"],["CHARGE"],["(화물취급"],["수수료)"],["1000","Peak"],["Season"],["Charge"],["(성수기"],["추가요금)"],["1100","Drayge"],["Charge"],["(운반비)"],["1200","Fuel"],["Surcharge"],["(유류할증료)"],["1300","CGC"],["Surcharge"],["(항만혼잡할증료)"],["1400","Port"],["Facility"],["Charge"],["(항만시설이용료)"],["1500","AMS"],["Charge"],["(적하신고"],["전송비용)"],["1600","AFR"],["Charge"],["(적하신고"],["전송비용)"],["1700","Airport"],["Charge"],["(공항이용료)"],["1800","Seal"],["Charge"],["(컨테이너"],["씰"],["추가비)"],["1900","Shoring"],["Fee"],["(컨테이너"],["자물쇠"],["추가비)"]]', '0100:Shipping cost (운송료) 0200:THC (터미널핸들링비) 0300:CFS (창고이용료) 0400:WHARFAGE (부두사용료) 0500:DOC (서류발급비) 0600:INSURANCE (적하보험료) 0700:CUSTOM (통관수수료) 0800:TRUCKING (국내운송료) 0900:HANDLING CHARGE (화물취급 수수료) 1000:Peak Season Charge (성수기 추가요금) 1100:Drayge Charge (운반비) 1200:Fuel Surcharge (유류할증료) 1300:CGC Surcharge (항만혼잡할증료) 1400:Port Facility Charge (항만시설이용료) 1500:AMS Charge (적하신고 전송비용) 1600:AFR Charge (적하신고 전송비용) 1700:Airport Charge (공항이용료) 1800:Seal Charge (컨테이너 씰 추가비) 1900:Shoring Fee (컨테이너 자물쇠 추가비)', '', '0100=Shipping cost (운송료)|0200=THC (터미널핸들링비)|0300=CFS (창고이용료)|0400=WHARFAGE (부두사용료)|0500=DOC (서류발급비)|0600=INSURANCE (적하보험료)|0700=CUSTOM (통관수수료)|0800=TRUCKING (국내운송료)|0900=HANDLING CHARGE (화물취급 수수료)|1000=Peak Season Charge (성수기 추가요금)|1100=Drayge Charge (운반비)|1200=Fuel Surcharge (유류할증료)|1300=CGC Surcharge (항만혼잡할증료)|1400=Port Facility Charge (항만시설이용료)|1500=AMS Charge (적하신고 전송비용)|1600=AFR Charge (적하신고 전송비용)|1700=Airport Charge (공항이용료)|1800=Seal Charge (컨테이너 씰 추가비)|1900=Shoring Fee (컨테이너 자물쇠 추가비)', '', '0', '0', '0', '0', 'trde_exps_dvcd 무역비용구분코드 [["0100","Shipping"],["cost"],["(운송료)"],["0200","THC"],["(터미널핸들링비)"],["0300","CFS"],["(창고이용료)"],["0400","WHARFAGE"],["(부두사용료)"],["0500","DOC"],["(서류발급비)"],["0600","INSURANCE"],["(적하보험료)"],["0700","CUSTOM"],["(통관수수료)"],["0800","TRUCKING"],["(국내운송료)"],["0900","HANDLING"],["CHARGE"],["(화물취급"],["수수료)"],["1000","Peak"],["Season"],["Charge"],["(성수기"],["추가요금)"],["1100","Drayge"],["Charge"],["(운반비)"],["1200","Fuel"],["Surcharge"],["(유류할증료)"],["1300","CGC"],["Surcharge"],["(항만혼잡할증료)"],["1400","Port"],["Facility"],["Charge"],["(항만시설이용료)"],["1500","AMS"],["Charge"],["(적하신고"],["전송비용)"],["1600","AFR"],["Charge"],["(적하신고"],["전송비용)"],["1700","Airport"],["Charge"],["(공항이용료)"],["1800","Seal"],["Charge"],["(컨테이너"],["씰"],["추가비)"],["1900","Shoring"],["Fee"],["(컨테이너"],["자물쇠"],["추가비)"]]', ' ', '', '', '', '', '', '', '', '', '');</v>
      </c>
    </row>
    <row r="260" spans="1:80" ht="17">
      <c r="A260" s="3" t="str">
        <f t="shared" ca="1" si="116"/>
        <v>prnt_mthd_dvcd_KOR_common</v>
      </c>
      <c r="B260" s="2" t="str">
        <f t="shared" ca="1" si="117"/>
        <v>KOR</v>
      </c>
      <c r="C260" s="25" t="str">
        <f t="shared" si="100"/>
        <v>common</v>
      </c>
      <c r="D260" s="25" t="s">
        <v>3129</v>
      </c>
      <c r="E260" s="25" t="s">
        <v>3128</v>
      </c>
      <c r="F260" s="25" t="str">
        <f t="shared" ca="1" si="118"/>
        <v>gb</v>
      </c>
      <c r="G260" s="25"/>
      <c r="H260" s="2" t="str">
        <f t="shared" si="119"/>
        <v>[["1","단면"],["2","양면"]]</v>
      </c>
      <c r="I260" s="2" t="str">
        <f t="shared" si="110"/>
        <v>1:단면 2:양면</v>
      </c>
      <c r="J260" s="2"/>
      <c r="K260" s="2" t="str">
        <f t="shared" si="125"/>
        <v>1=단면|2=양면</v>
      </c>
      <c r="L260" s="2"/>
      <c r="M260" s="36" t="str">
        <f t="shared" ca="1" si="120"/>
        <v>0</v>
      </c>
      <c r="N260" s="36" t="str">
        <f t="shared" ca="1" si="121"/>
        <v>0</v>
      </c>
      <c r="O260" s="36" t="str">
        <f t="shared" si="122"/>
        <v>0</v>
      </c>
      <c r="P260" s="36" t="str">
        <f t="shared" si="123"/>
        <v>0</v>
      </c>
      <c r="Q260" s="35" t="str">
        <f t="shared" si="124"/>
        <v>prnt_mthd_dvcd 인쇄방식구분코드 [["1","단면"],["2","양면"]]</v>
      </c>
      <c r="R260" s="2" t="s">
        <v>921</v>
      </c>
      <c r="S260" s="2"/>
      <c r="T260" s="2"/>
      <c r="U260" s="2"/>
      <c r="V260" s="2"/>
      <c r="W260" s="2"/>
      <c r="X260" s="2"/>
      <c r="Y260" s="2"/>
      <c r="Z260" s="2"/>
      <c r="AA260" s="2"/>
      <c r="AB260" s="31" t="s">
        <v>684</v>
      </c>
      <c r="AC260" s="25" t="s">
        <v>3130</v>
      </c>
      <c r="AD260" s="31" t="s">
        <v>685</v>
      </c>
      <c r="AE260" s="25" t="s">
        <v>3131</v>
      </c>
      <c r="AF260" s="30"/>
      <c r="AG260" s="25"/>
      <c r="AH260" s="30"/>
      <c r="AI260" s="25"/>
      <c r="AJ260" s="30"/>
      <c r="AK260" s="25"/>
      <c r="AL260" s="30"/>
      <c r="AM260" s="25"/>
      <c r="AN260" s="30"/>
      <c r="AO260" s="25"/>
      <c r="AP260" s="30"/>
      <c r="AQ260" s="25"/>
      <c r="AR260" s="30"/>
      <c r="AS260" s="25"/>
      <c r="AT260" s="30"/>
      <c r="AU260" s="25"/>
      <c r="AV260" s="30"/>
      <c r="AW260" s="25"/>
      <c r="AX260" s="30"/>
      <c r="AY260" s="25"/>
      <c r="AZ260" s="30"/>
      <c r="BA260" s="25"/>
      <c r="BB260" s="30"/>
      <c r="BC260" s="25"/>
      <c r="BD260" s="30"/>
      <c r="BE260" s="25"/>
      <c r="BF260" s="30"/>
      <c r="BG260" s="25"/>
      <c r="BH260" s="30"/>
      <c r="BI260" s="25"/>
      <c r="BJ260" s="30"/>
      <c r="BK260" s="25"/>
      <c r="BL260" s="30"/>
      <c r="BM260" s="25"/>
      <c r="BN260" s="30"/>
      <c r="BO260" s="25"/>
      <c r="BP260" s="30"/>
      <c r="BQ260" s="25"/>
      <c r="BR260" s="30"/>
      <c r="BS260" s="25"/>
      <c r="BT260" s="30"/>
      <c r="BU260" s="25"/>
      <c r="BV260" s="30"/>
      <c r="BW260" s="25"/>
      <c r="BX260" s="30"/>
      <c r="BY260" s="25"/>
      <c r="CA260" s="1" t="str">
        <f t="shared" ca="1" si="111"/>
        <v>delete from sscd_mast where sscd_idcd = 'prnt_mthd_dvcd_KOR_common'  and site_idcd = 'common';</v>
      </c>
      <c r="CB260" s="5" t="str">
        <f ca="1">IF(E260&lt;&gt;"",CREATE_QUERY($B$1,A$2:AA$2,A260:AA260),"")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('prnt_mthd_dvcd_KOR_common', 'KOR', 'common', 'prnt_mthd_dvcd', '인쇄방식구분코드', 'gb', '', '[["1","단면"],["2","양면"]]', '1:단면 2:양면', '', '1=단면|2=양면', '', '0', '0', '0', '0', 'prnt_mthd_dvcd 인쇄방식구분코드 [["1","단면"],["2","양면"]]', ' ', '', '', '', '', '', '', '', '', '');</v>
      </c>
    </row>
    <row r="261" spans="1:80" ht="17">
      <c r="A261" s="3" t="str">
        <f t="shared" ca="1" si="116"/>
        <v>trde_exgp_dvcd_KOR_common</v>
      </c>
      <c r="B261" s="2" t="str">
        <f t="shared" ca="1" si="117"/>
        <v>KOR</v>
      </c>
      <c r="C261" s="25" t="str">
        <f t="shared" ref="C261" si="170">IF(E261="","","common")</f>
        <v>common</v>
      </c>
      <c r="D261" s="25" t="s">
        <v>3134</v>
      </c>
      <c r="E261" s="25" t="s">
        <v>3135</v>
      </c>
      <c r="F261" s="25" t="str">
        <f t="shared" ca="1" si="118"/>
        <v>gb</v>
      </c>
      <c r="G261" s="25"/>
      <c r="H261" s="2" t="str">
        <f t="shared" si="119"/>
        <v>[["1000","수출국내내륙운송"],["2000","수출국내통관"],["3000","수출선적"],["4000","수출해외통관"],["5000","수출해외내륙운송"]]</v>
      </c>
      <c r="I261" s="2" t="str">
        <f t="shared" si="110"/>
        <v>1000:수출국내내륙운송 2000:수출국내통관 3000:수출선적 4000:수출해외통관 5000:수출해외내륙운송</v>
      </c>
      <c r="J261" s="2"/>
      <c r="K261" s="2" t="str">
        <f t="shared" si="125"/>
        <v>1000=수출국내내륙운송|2000=수출국내통관|3000=수출선적|4000=수출해외통관|5000=수출해외내륙운송</v>
      </c>
      <c r="L261" s="2"/>
      <c r="M261" s="36" t="str">
        <f t="shared" ca="1" si="120"/>
        <v>0</v>
      </c>
      <c r="N261" s="36" t="str">
        <f t="shared" ca="1" si="121"/>
        <v>0</v>
      </c>
      <c r="O261" s="36" t="str">
        <f t="shared" si="122"/>
        <v>0</v>
      </c>
      <c r="P261" s="36" t="str">
        <f t="shared" si="123"/>
        <v>0</v>
      </c>
      <c r="Q261" s="35" t="str">
        <f t="shared" si="124"/>
        <v>trde_exgp_dvcd 무역비용구그룹구분코드 [["1000","수출국내내륙운송"],["2000","수출국내통관"],["3000","수출선적"],["4000","수출해외통관"],["5000","수출해외내륙운송"]]</v>
      </c>
      <c r="R261" s="2" t="s">
        <v>921</v>
      </c>
      <c r="S261" s="2"/>
      <c r="T261" s="2"/>
      <c r="U261" s="2"/>
      <c r="V261" s="2"/>
      <c r="W261" s="2"/>
      <c r="X261" s="2"/>
      <c r="Y261" s="2"/>
      <c r="Z261" s="2"/>
      <c r="AA261" s="2"/>
      <c r="AB261" s="31" t="s">
        <v>591</v>
      </c>
      <c r="AC261" s="25" t="s">
        <v>3136</v>
      </c>
      <c r="AD261" s="31" t="s">
        <v>3141</v>
      </c>
      <c r="AE261" s="25" t="s">
        <v>3137</v>
      </c>
      <c r="AF261" s="31" t="s">
        <v>3142</v>
      </c>
      <c r="AG261" s="25" t="s">
        <v>3138</v>
      </c>
      <c r="AH261" s="31" t="s">
        <v>3143</v>
      </c>
      <c r="AI261" s="25" t="s">
        <v>3139</v>
      </c>
      <c r="AJ261" s="31" t="s">
        <v>3144</v>
      </c>
      <c r="AK261" s="25" t="s">
        <v>3140</v>
      </c>
      <c r="AL261" s="30"/>
      <c r="AM261" s="25"/>
      <c r="AN261" s="30"/>
      <c r="AO261" s="25"/>
      <c r="AP261" s="30"/>
      <c r="AQ261" s="25"/>
      <c r="AR261" s="30"/>
      <c r="AS261" s="25"/>
      <c r="AT261" s="30"/>
      <c r="AU261" s="25"/>
      <c r="AV261" s="30"/>
      <c r="AW261" s="25"/>
      <c r="AX261" s="30"/>
      <c r="AY261" s="25"/>
      <c r="AZ261" s="30"/>
      <c r="BA261" s="25"/>
      <c r="BB261" s="30"/>
      <c r="BC261" s="25"/>
      <c r="BD261" s="30"/>
      <c r="BE261" s="25"/>
      <c r="BF261" s="30"/>
      <c r="BG261" s="25"/>
      <c r="BH261" s="30"/>
      <c r="BI261" s="25"/>
      <c r="BJ261" s="30"/>
      <c r="BK261" s="25"/>
      <c r="BL261" s="30"/>
      <c r="BM261" s="25"/>
      <c r="BN261" s="30"/>
      <c r="BO261" s="25"/>
      <c r="BP261" s="30"/>
      <c r="BQ261" s="25"/>
      <c r="BR261" s="30"/>
      <c r="BS261" s="25"/>
      <c r="BT261" s="30"/>
      <c r="BU261" s="25"/>
      <c r="BV261" s="30"/>
      <c r="BW261" s="25"/>
      <c r="BX261" s="30"/>
      <c r="BY261" s="25"/>
      <c r="CA261" s="1" t="str">
        <f t="shared" ca="1" si="111"/>
        <v>delete from sscd_mast where sscd_idcd = 'trde_exgp_dvcd_KOR_common'  and site_idcd = 'common';</v>
      </c>
      <c r="CB261" s="5" t="str">
        <f ca="1">IF(E261&lt;&gt;"",CREATE_QUERY($B$1,A$2:AA$2,A261:AA261),"")</f>
        <v>INSERT INTO sscd_mast(sscd_idcd, lang_dvcd, site_idcd, sscd_code, sscd_name, sscd_dvcd, dflt_valu, lkup_valu, sbsc_valu, user_memo, sysm_memo, prnt_idcd, line_levl, line_ordr, line_stat, line_clos, find_name, updt_user_name, updt_ipad, updt_dttm, updt_idcd, updt_urif, crte_user_name, crte_ipad, crte_dttm, crte_idcd, crte_urif) VALUES ('trde_exgp_dvcd_KOR_common', 'KOR', 'common', 'trde_exgp_dvcd', '무역비용구그룹구분코드', 'gb', '', '[["1000","수출국내내륙운송"],["2000","수출국내통관"],["3000","수출선적"],["4000","수출해외통관"],["5000","수출해외내륙운송"]]', '1000:수출국내내륙운송 2000:수출국내통관 3000:수출선적 4000:수출해외통관 5000:수출해외내륙운송', '', '1000=수출국내내륙운송|2000=수출국내통관|3000=수출선적|4000=수출해외통관|5000=수출해외내륙운송', '', '0', '0', '0', '0', 'trde_exgp_dvcd 무역비용구그룹구분코드 [["1000","수출국내내륙운송"],["2000","수출국내통관"],["3000","수출선적"],["4000","수출해외통관"],["5000","수출해외내륙운송"]]', ' ', '', '', '', '', '', '', '', '', '');</v>
      </c>
    </row>
    <row r="262" spans="1:80" ht="17">
      <c r="A262" s="3" t="str">
        <f t="shared" si="116"/>
        <v/>
      </c>
      <c r="B262" s="2" t="str">
        <f t="shared" ca="1" si="117"/>
        <v/>
      </c>
      <c r="C262" s="25" t="str">
        <f t="shared" ref="C262:C325" si="171">IF(E262="","","common")</f>
        <v/>
      </c>
      <c r="D262" s="25"/>
      <c r="E262" s="25"/>
      <c r="F262" s="25" t="str">
        <f t="shared" si="118"/>
        <v/>
      </c>
      <c r="G262" s="25"/>
      <c r="H262" s="2" t="str">
        <f t="shared" si="119"/>
        <v>[[""]]</v>
      </c>
      <c r="I262" s="2" t="str">
        <f t="shared" si="110"/>
        <v/>
      </c>
      <c r="J262" s="2"/>
      <c r="K262" s="2" t="str">
        <f t="shared" si="125"/>
        <v/>
      </c>
      <c r="L262" s="2"/>
      <c r="M262" s="36" t="str">
        <f t="shared" si="120"/>
        <v/>
      </c>
      <c r="N262" s="36" t="str">
        <f t="shared" ca="1" si="121"/>
        <v/>
      </c>
      <c r="O262" s="36" t="str">
        <f t="shared" si="122"/>
        <v/>
      </c>
      <c r="P262" s="36" t="str">
        <f t="shared" si="123"/>
        <v/>
      </c>
      <c r="Q262" s="35" t="str">
        <f t="shared" si="124"/>
        <v/>
      </c>
      <c r="R262" s="2" t="s">
        <v>921</v>
      </c>
      <c r="S262" s="2"/>
      <c r="T262" s="2"/>
      <c r="U262" s="2"/>
      <c r="V262" s="2"/>
      <c r="W262" s="2"/>
      <c r="X262" s="2"/>
      <c r="Y262" s="2"/>
      <c r="Z262" s="2"/>
      <c r="AA262" s="2"/>
      <c r="AB262" s="30"/>
      <c r="AC262" s="25"/>
      <c r="AD262" s="30"/>
      <c r="AE262" s="25"/>
      <c r="AF262" s="30"/>
      <c r="AG262" s="25"/>
      <c r="AH262" s="30"/>
      <c r="AI262" s="25"/>
      <c r="AJ262" s="30"/>
      <c r="AK262" s="25"/>
      <c r="AL262" s="30"/>
      <c r="AM262" s="25"/>
      <c r="AN262" s="30"/>
      <c r="AO262" s="25"/>
      <c r="AP262" s="30"/>
      <c r="AQ262" s="25"/>
      <c r="AR262" s="30"/>
      <c r="AS262" s="25"/>
      <c r="AT262" s="30"/>
      <c r="AU262" s="25"/>
      <c r="AV262" s="30"/>
      <c r="AW262" s="25"/>
      <c r="AX262" s="30"/>
      <c r="AY262" s="25"/>
      <c r="AZ262" s="30"/>
      <c r="BA262" s="25"/>
      <c r="BB262" s="30"/>
      <c r="BC262" s="25"/>
      <c r="BD262" s="30"/>
      <c r="BE262" s="25"/>
      <c r="BF262" s="30"/>
      <c r="BG262" s="25"/>
      <c r="BH262" s="30"/>
      <c r="BI262" s="25"/>
      <c r="BJ262" s="30"/>
      <c r="BK262" s="25"/>
      <c r="BL262" s="30"/>
      <c r="BM262" s="25"/>
      <c r="BN262" s="30"/>
      <c r="BO262" s="25"/>
      <c r="BP262" s="30"/>
      <c r="BQ262" s="25"/>
      <c r="BR262" s="30"/>
      <c r="BS262" s="25"/>
      <c r="BT262" s="30"/>
      <c r="BU262" s="25"/>
      <c r="BV262" s="30"/>
      <c r="BW262" s="25"/>
      <c r="BX262" s="30"/>
      <c r="BY262" s="25"/>
      <c r="CA262" s="1" t="str">
        <f t="shared" si="111"/>
        <v/>
      </c>
      <c r="CB262" s="5" t="str">
        <f>IF(E262&lt;&gt;"",CREATE_QUERY($B$1,A$2:AA$2,A262:AA262),"")</f>
        <v/>
      </c>
    </row>
    <row r="263" spans="1:80" ht="17">
      <c r="A263" s="3" t="str">
        <f t="shared" si="116"/>
        <v/>
      </c>
      <c r="B263" s="2" t="str">
        <f t="shared" ca="1" si="117"/>
        <v/>
      </c>
      <c r="C263" s="25" t="str">
        <f t="shared" si="171"/>
        <v/>
      </c>
      <c r="D263" s="25"/>
      <c r="E263" s="25"/>
      <c r="F263" s="25" t="str">
        <f t="shared" si="118"/>
        <v/>
      </c>
      <c r="G263" s="25"/>
      <c r="H263" s="2" t="str">
        <f t="shared" si="119"/>
        <v>[[""]]</v>
      </c>
      <c r="I263" s="2" t="str">
        <f t="shared" si="110"/>
        <v/>
      </c>
      <c r="J263" s="2"/>
      <c r="K263" s="2" t="str">
        <f t="shared" si="125"/>
        <v/>
      </c>
      <c r="L263" s="2"/>
      <c r="M263" s="36" t="str">
        <f t="shared" si="120"/>
        <v/>
      </c>
      <c r="N263" s="36" t="str">
        <f t="shared" ca="1" si="121"/>
        <v/>
      </c>
      <c r="O263" s="36" t="str">
        <f t="shared" si="122"/>
        <v/>
      </c>
      <c r="P263" s="36" t="str">
        <f t="shared" si="123"/>
        <v/>
      </c>
      <c r="Q263" s="35" t="str">
        <f t="shared" si="124"/>
        <v/>
      </c>
      <c r="R263" s="2" t="s">
        <v>921</v>
      </c>
      <c r="S263" s="2"/>
      <c r="T263" s="2"/>
      <c r="U263" s="2"/>
      <c r="V263" s="2"/>
      <c r="W263" s="2"/>
      <c r="X263" s="2"/>
      <c r="Y263" s="2"/>
      <c r="Z263" s="2"/>
      <c r="AA263" s="2"/>
      <c r="AB263" s="30"/>
      <c r="AC263" s="25"/>
      <c r="AD263" s="30"/>
      <c r="AE263" s="25"/>
      <c r="AF263" s="30"/>
      <c r="AG263" s="25"/>
      <c r="AH263" s="30"/>
      <c r="AI263" s="25"/>
      <c r="AJ263" s="30"/>
      <c r="AK263" s="25"/>
      <c r="AL263" s="30"/>
      <c r="AM263" s="25"/>
      <c r="AN263" s="30"/>
      <c r="AO263" s="25"/>
      <c r="AP263" s="30"/>
      <c r="AQ263" s="25"/>
      <c r="AR263" s="30"/>
      <c r="AS263" s="25"/>
      <c r="AT263" s="30"/>
      <c r="AU263" s="25"/>
      <c r="AV263" s="30"/>
      <c r="AW263" s="25"/>
      <c r="AX263" s="30"/>
      <c r="AY263" s="25"/>
      <c r="AZ263" s="30"/>
      <c r="BA263" s="25"/>
      <c r="BB263" s="30"/>
      <c r="BC263" s="25"/>
      <c r="BD263" s="30"/>
      <c r="BE263" s="25"/>
      <c r="BF263" s="30"/>
      <c r="BG263" s="25"/>
      <c r="BH263" s="30"/>
      <c r="BI263" s="25"/>
      <c r="BJ263" s="30"/>
      <c r="BK263" s="25"/>
      <c r="BL263" s="30"/>
      <c r="BM263" s="25"/>
      <c r="BN263" s="30"/>
      <c r="BO263" s="25"/>
      <c r="BP263" s="30"/>
      <c r="BQ263" s="25"/>
      <c r="BR263" s="30"/>
      <c r="BS263" s="25"/>
      <c r="BT263" s="30"/>
      <c r="BU263" s="25"/>
      <c r="BV263" s="30"/>
      <c r="BW263" s="25"/>
      <c r="BX263" s="30"/>
      <c r="BY263" s="25"/>
      <c r="CA263" s="1" t="str">
        <f t="shared" si="111"/>
        <v/>
      </c>
      <c r="CB263" s="5" t="str">
        <f>IF(E263&lt;&gt;"",CREATE_QUERY($B$1,A$2:AA$2,A263:AA263),"")</f>
        <v/>
      </c>
    </row>
    <row r="264" spans="1:80" ht="17">
      <c r="A264" s="3" t="str">
        <f t="shared" si="116"/>
        <v/>
      </c>
      <c r="B264" s="2" t="str">
        <f t="shared" ca="1" si="117"/>
        <v/>
      </c>
      <c r="C264" s="25" t="str">
        <f t="shared" si="171"/>
        <v/>
      </c>
      <c r="D264" s="25"/>
      <c r="E264" s="25"/>
      <c r="F264" s="25" t="str">
        <f t="shared" si="118"/>
        <v/>
      </c>
      <c r="G264" s="25"/>
      <c r="H264" s="2" t="str">
        <f t="shared" si="119"/>
        <v>[[""]]</v>
      </c>
      <c r="I264" s="2" t="str">
        <f t="shared" si="110"/>
        <v/>
      </c>
      <c r="J264" s="2"/>
      <c r="K264" s="2" t="str">
        <f t="shared" si="125"/>
        <v/>
      </c>
      <c r="L264" s="2"/>
      <c r="M264" s="36" t="str">
        <f t="shared" si="120"/>
        <v/>
      </c>
      <c r="N264" s="36" t="str">
        <f t="shared" ca="1" si="121"/>
        <v/>
      </c>
      <c r="O264" s="36" t="str">
        <f t="shared" si="122"/>
        <v/>
      </c>
      <c r="P264" s="36" t="str">
        <f t="shared" si="123"/>
        <v/>
      </c>
      <c r="Q264" s="35" t="str">
        <f t="shared" si="124"/>
        <v/>
      </c>
      <c r="R264" s="2" t="s">
        <v>921</v>
      </c>
      <c r="S264" s="2"/>
      <c r="T264" s="2"/>
      <c r="U264" s="2"/>
      <c r="V264" s="2"/>
      <c r="W264" s="2"/>
      <c r="X264" s="2"/>
      <c r="Y264" s="2"/>
      <c r="Z264" s="2"/>
      <c r="AA264" s="2"/>
      <c r="AB264" s="30"/>
      <c r="AC264" s="25"/>
      <c r="AD264" s="30"/>
      <c r="AE264" s="25"/>
      <c r="AF264" s="30"/>
      <c r="AG264" s="25"/>
      <c r="AH264" s="30"/>
      <c r="AI264" s="25"/>
      <c r="AJ264" s="30"/>
      <c r="AK264" s="25"/>
      <c r="AL264" s="30"/>
      <c r="AM264" s="25"/>
      <c r="AN264" s="30"/>
      <c r="AO264" s="25"/>
      <c r="AP264" s="30"/>
      <c r="AQ264" s="25"/>
      <c r="AR264" s="30"/>
      <c r="AS264" s="25"/>
      <c r="AT264" s="30"/>
      <c r="AU264" s="25"/>
      <c r="AV264" s="30"/>
      <c r="AW264" s="25"/>
      <c r="AX264" s="30"/>
      <c r="AY264" s="25"/>
      <c r="AZ264" s="30"/>
      <c r="BA264" s="25"/>
      <c r="BB264" s="30"/>
      <c r="BC264" s="25"/>
      <c r="BD264" s="30"/>
      <c r="BE264" s="25"/>
      <c r="BF264" s="30"/>
      <c r="BG264" s="25"/>
      <c r="BH264" s="30"/>
      <c r="BI264" s="25"/>
      <c r="BJ264" s="30"/>
      <c r="BK264" s="25"/>
      <c r="BL264" s="30"/>
      <c r="BM264" s="25"/>
      <c r="BN264" s="30"/>
      <c r="BO264" s="25"/>
      <c r="BP264" s="30"/>
      <c r="BQ264" s="25"/>
      <c r="BR264" s="30"/>
      <c r="BS264" s="25"/>
      <c r="BT264" s="30"/>
      <c r="BU264" s="25"/>
      <c r="BV264" s="30"/>
      <c r="BW264" s="25"/>
      <c r="BX264" s="30"/>
      <c r="BY264" s="25"/>
      <c r="CA264" s="1" t="str">
        <f t="shared" si="111"/>
        <v/>
      </c>
      <c r="CB264" s="5" t="str">
        <f>IF(E264&lt;&gt;"",CREATE_QUERY($B$1,A$2:AA$2,A264:AA264),"")</f>
        <v/>
      </c>
    </row>
    <row r="265" spans="1:80" ht="17">
      <c r="A265" s="3" t="str">
        <f t="shared" si="116"/>
        <v/>
      </c>
      <c r="B265" s="2" t="str">
        <f t="shared" ca="1" si="117"/>
        <v/>
      </c>
      <c r="C265" s="25" t="str">
        <f t="shared" si="171"/>
        <v/>
      </c>
      <c r="D265" s="25"/>
      <c r="E265" s="25"/>
      <c r="F265" s="25" t="str">
        <f t="shared" si="118"/>
        <v/>
      </c>
      <c r="G265" s="25"/>
      <c r="H265" s="2" t="str">
        <f t="shared" si="119"/>
        <v>[[""]]</v>
      </c>
      <c r="I265" s="2" t="str">
        <f t="shared" si="110"/>
        <v/>
      </c>
      <c r="J265" s="2"/>
      <c r="K265" s="2" t="str">
        <f t="shared" si="125"/>
        <v/>
      </c>
      <c r="L265" s="2"/>
      <c r="M265" s="36" t="str">
        <f t="shared" si="120"/>
        <v/>
      </c>
      <c r="N265" s="36" t="str">
        <f t="shared" ca="1" si="121"/>
        <v/>
      </c>
      <c r="O265" s="36" t="str">
        <f t="shared" si="122"/>
        <v/>
      </c>
      <c r="P265" s="36" t="str">
        <f t="shared" si="123"/>
        <v/>
      </c>
      <c r="Q265" s="35" t="str">
        <f t="shared" si="124"/>
        <v/>
      </c>
      <c r="R265" s="2" t="s">
        <v>921</v>
      </c>
      <c r="S265" s="2"/>
      <c r="T265" s="2"/>
      <c r="U265" s="2"/>
      <c r="V265" s="2"/>
      <c r="W265" s="2"/>
      <c r="X265" s="2"/>
      <c r="Y265" s="2"/>
      <c r="Z265" s="2"/>
      <c r="AA265" s="2"/>
      <c r="AB265" s="30"/>
      <c r="AC265" s="25"/>
      <c r="AD265" s="30"/>
      <c r="AE265" s="25"/>
      <c r="AF265" s="30"/>
      <c r="AG265" s="25"/>
      <c r="AH265" s="30"/>
      <c r="AI265" s="25"/>
      <c r="AJ265" s="30"/>
      <c r="AK265" s="25"/>
      <c r="AL265" s="30"/>
      <c r="AM265" s="25"/>
      <c r="AN265" s="30"/>
      <c r="AO265" s="25"/>
      <c r="AP265" s="30"/>
      <c r="AQ265" s="25"/>
      <c r="AR265" s="30"/>
      <c r="AS265" s="25"/>
      <c r="AT265" s="30"/>
      <c r="AU265" s="25"/>
      <c r="AV265" s="30"/>
      <c r="AW265" s="25"/>
      <c r="AX265" s="30"/>
      <c r="AY265" s="25"/>
      <c r="AZ265" s="30"/>
      <c r="BA265" s="25"/>
      <c r="BB265" s="30"/>
      <c r="BC265" s="25"/>
      <c r="BD265" s="30"/>
      <c r="BE265" s="25"/>
      <c r="BF265" s="30"/>
      <c r="BG265" s="25"/>
      <c r="BH265" s="30"/>
      <c r="BI265" s="25"/>
      <c r="BJ265" s="30"/>
      <c r="BK265" s="25"/>
      <c r="BL265" s="30"/>
      <c r="BM265" s="25"/>
      <c r="BN265" s="30"/>
      <c r="BO265" s="25"/>
      <c r="BP265" s="30"/>
      <c r="BQ265" s="25"/>
      <c r="BR265" s="30"/>
      <c r="BS265" s="25"/>
      <c r="BT265" s="30"/>
      <c r="BU265" s="25"/>
      <c r="BV265" s="30"/>
      <c r="BW265" s="25"/>
      <c r="BX265" s="30"/>
      <c r="BY265" s="25"/>
      <c r="CA265" s="1" t="str">
        <f t="shared" si="111"/>
        <v/>
      </c>
      <c r="CB265" s="5" t="str">
        <f>IF(E265&lt;&gt;"",CREATE_QUERY($B$1,A$2:AA$2,A265:AA265),"")</f>
        <v/>
      </c>
    </row>
    <row r="266" spans="1:80" ht="17">
      <c r="A266" s="3" t="str">
        <f t="shared" si="116"/>
        <v/>
      </c>
      <c r="B266" s="2" t="str">
        <f t="shared" ca="1" si="117"/>
        <v/>
      </c>
      <c r="C266" s="25" t="str">
        <f t="shared" si="171"/>
        <v/>
      </c>
      <c r="D266" s="25"/>
      <c r="E266" s="25"/>
      <c r="F266" s="25" t="str">
        <f t="shared" si="118"/>
        <v/>
      </c>
      <c r="G266" s="25"/>
      <c r="H266" s="2" t="str">
        <f t="shared" si="119"/>
        <v>[[""]]</v>
      </c>
      <c r="I266" s="2" t="str">
        <f t="shared" ref="I266:I329" si="172">IF(AB266="","",AB266&amp;":"&amp;AC266)&amp;
IF(AD266="",""," "&amp;AD266&amp;":"&amp;AE266)&amp;
IF(AF266="",""," "&amp;AF266&amp;":"&amp;AG266)&amp;
IF(AH266="",""," "&amp;AH266&amp;":"&amp;AI266)&amp;
IF(AJ266="",""," "&amp;AJ266&amp;":"&amp;AK266)&amp;
IF(AL266="",""," "&amp;AL266&amp;":"&amp;AM266)&amp;
IF(AN266="",""," "&amp;AN266&amp;":"&amp;AO266)&amp;
IF(AP266="",""," "&amp;AP266&amp;":"&amp;AQ266)&amp;
IF(AR266="",""," "&amp;AR266&amp;":"&amp;AS266)&amp;
IF(AT266="",""," "&amp;AT266&amp;":"&amp;AU266)&amp;
IF(AV266="",""," "&amp;AV266&amp;":"&amp;AW266)&amp;
IF(AX266="",""," "&amp;AX266&amp;":"&amp;AY266)&amp;
IF(AZ266="",""," "&amp;AZ266&amp;":"&amp;BA266)&amp;
IF(BB266="",""," "&amp;BB266&amp;":"&amp;BC266)&amp;
IF(BD266="",""," "&amp;BD266&amp;":"&amp;BE266)&amp;
IF(BF266="",""," "&amp;BF266&amp;":"&amp;BG266)&amp;
IF(BH266="",""," "&amp;BH266&amp;":"&amp;BI266)&amp;
IF(BJ266="",""," "&amp;BJ266&amp;":"&amp;BK266)&amp;
IF(BL266="",""," "&amp;BL266&amp;":"&amp;BM266)&amp;
IF(BN266="",""," "&amp;BN266&amp;":"&amp;BO266)&amp;
IF(BP266="",""," "&amp;BP266&amp;":"&amp;BS266)&amp;
IF(BZ266="",""," "&amp;BZ266&amp;":"&amp;CA266)</f>
        <v/>
      </c>
      <c r="J266" s="2"/>
      <c r="K266" s="2" t="str">
        <f t="shared" si="125"/>
        <v/>
      </c>
      <c r="L266" s="2"/>
      <c r="M266" s="36" t="str">
        <f t="shared" si="120"/>
        <v/>
      </c>
      <c r="N266" s="36" t="str">
        <f t="shared" ca="1" si="121"/>
        <v/>
      </c>
      <c r="O266" s="36" t="str">
        <f t="shared" si="122"/>
        <v/>
      </c>
      <c r="P266" s="36" t="str">
        <f t="shared" si="123"/>
        <v/>
      </c>
      <c r="Q266" s="35" t="str">
        <f t="shared" si="124"/>
        <v/>
      </c>
      <c r="R266" s="2" t="s">
        <v>921</v>
      </c>
      <c r="S266" s="2"/>
      <c r="T266" s="2"/>
      <c r="U266" s="2"/>
      <c r="V266" s="2"/>
      <c r="W266" s="2"/>
      <c r="X266" s="2"/>
      <c r="Y266" s="2"/>
      <c r="Z266" s="2"/>
      <c r="AA266" s="2"/>
      <c r="AB266" s="30"/>
      <c r="AC266" s="25"/>
      <c r="AD266" s="30"/>
      <c r="AE266" s="25"/>
      <c r="AF266" s="30"/>
      <c r="AG266" s="25"/>
      <c r="AH266" s="30"/>
      <c r="AI266" s="25"/>
      <c r="AJ266" s="30"/>
      <c r="AK266" s="25"/>
      <c r="AL266" s="30"/>
      <c r="AM266" s="25"/>
      <c r="AN266" s="30"/>
      <c r="AO266" s="25"/>
      <c r="AP266" s="30"/>
      <c r="AQ266" s="25"/>
      <c r="AR266" s="30"/>
      <c r="AS266" s="25"/>
      <c r="AT266" s="30"/>
      <c r="AU266" s="25"/>
      <c r="AV266" s="30"/>
      <c r="AW266" s="25"/>
      <c r="AX266" s="30"/>
      <c r="AY266" s="25"/>
      <c r="AZ266" s="30"/>
      <c r="BA266" s="25"/>
      <c r="BB266" s="30"/>
      <c r="BC266" s="25"/>
      <c r="BD266" s="30"/>
      <c r="BE266" s="25"/>
      <c r="BF266" s="30"/>
      <c r="BG266" s="25"/>
      <c r="BH266" s="30"/>
      <c r="BI266" s="25"/>
      <c r="BJ266" s="30"/>
      <c r="BK266" s="25"/>
      <c r="BL266" s="30"/>
      <c r="BM266" s="25"/>
      <c r="BN266" s="30"/>
      <c r="BO266" s="25"/>
      <c r="BP266" s="30"/>
      <c r="BQ266" s="25"/>
      <c r="BR266" s="30"/>
      <c r="BS266" s="25"/>
      <c r="BT266" s="30"/>
      <c r="BU266" s="25"/>
      <c r="BV266" s="30"/>
      <c r="BW266" s="25"/>
      <c r="BX266" s="30"/>
      <c r="BY266" s="25"/>
      <c r="CA266" s="1" t="str">
        <f t="shared" ref="CA266:CA309" si="173">IF(A266="","","delete from sscd_mast where sscd_idcd = '"&amp;A266&amp;"'  and site_idcd = '"&amp;C266&amp;"';")</f>
        <v/>
      </c>
      <c r="CB266" s="5" t="str">
        <f>IF(E266&lt;&gt;"",CREATE_QUERY($B$1,A$2:AA$2,A266:AA266),"")</f>
        <v/>
      </c>
    </row>
    <row r="267" spans="1:80" ht="17">
      <c r="A267" s="3" t="str">
        <f t="shared" si="116"/>
        <v/>
      </c>
      <c r="B267" s="2" t="str">
        <f t="shared" ca="1" si="117"/>
        <v/>
      </c>
      <c r="C267" s="25" t="str">
        <f t="shared" si="171"/>
        <v/>
      </c>
      <c r="D267" s="25"/>
      <c r="E267" s="25"/>
      <c r="F267" s="25" t="str">
        <f t="shared" si="118"/>
        <v/>
      </c>
      <c r="G267" s="25"/>
      <c r="H267" s="2" t="str">
        <f t="shared" si="119"/>
        <v>[[""]]</v>
      </c>
      <c r="I267" s="2" t="str">
        <f t="shared" si="172"/>
        <v/>
      </c>
      <c r="J267" s="2"/>
      <c r="K267" s="2" t="str">
        <f t="shared" si="125"/>
        <v/>
      </c>
      <c r="L267" s="2"/>
      <c r="M267" s="36" t="str">
        <f t="shared" si="120"/>
        <v/>
      </c>
      <c r="N267" s="36" t="str">
        <f t="shared" ca="1" si="121"/>
        <v/>
      </c>
      <c r="O267" s="36" t="str">
        <f t="shared" si="122"/>
        <v/>
      </c>
      <c r="P267" s="36" t="str">
        <f t="shared" si="123"/>
        <v/>
      </c>
      <c r="Q267" s="35" t="str">
        <f t="shared" si="124"/>
        <v/>
      </c>
      <c r="R267" s="2" t="s">
        <v>921</v>
      </c>
      <c r="S267" s="2"/>
      <c r="T267" s="2"/>
      <c r="U267" s="2"/>
      <c r="V267" s="2"/>
      <c r="W267" s="2"/>
      <c r="X267" s="2"/>
      <c r="Y267" s="2"/>
      <c r="Z267" s="2"/>
      <c r="AA267" s="2"/>
      <c r="AB267" s="30"/>
      <c r="AC267" s="25"/>
      <c r="AD267" s="30"/>
      <c r="AE267" s="25"/>
      <c r="AF267" s="30"/>
      <c r="AG267" s="25"/>
      <c r="AH267" s="30"/>
      <c r="AI267" s="25"/>
      <c r="AJ267" s="30"/>
      <c r="AK267" s="25"/>
      <c r="AL267" s="30"/>
      <c r="AM267" s="25"/>
      <c r="AN267" s="30"/>
      <c r="AO267" s="25"/>
      <c r="AP267" s="30"/>
      <c r="AQ267" s="25"/>
      <c r="AR267" s="30"/>
      <c r="AS267" s="25"/>
      <c r="AT267" s="30"/>
      <c r="AU267" s="25"/>
      <c r="AV267" s="30"/>
      <c r="AW267" s="25"/>
      <c r="AX267" s="30"/>
      <c r="AY267" s="25"/>
      <c r="AZ267" s="30"/>
      <c r="BA267" s="25"/>
      <c r="BB267" s="30"/>
      <c r="BC267" s="25"/>
      <c r="BD267" s="30"/>
      <c r="BE267" s="25"/>
      <c r="BF267" s="30"/>
      <c r="BG267" s="25"/>
      <c r="BH267" s="30"/>
      <c r="BI267" s="25"/>
      <c r="BJ267" s="30"/>
      <c r="BK267" s="25"/>
      <c r="BL267" s="30"/>
      <c r="BM267" s="25"/>
      <c r="BN267" s="30"/>
      <c r="BO267" s="25"/>
      <c r="BP267" s="30"/>
      <c r="BQ267" s="25"/>
      <c r="BR267" s="30"/>
      <c r="BS267" s="25"/>
      <c r="BT267" s="30"/>
      <c r="BU267" s="25"/>
      <c r="BV267" s="30"/>
      <c r="BW267" s="25"/>
      <c r="BX267" s="30"/>
      <c r="BY267" s="25"/>
      <c r="CA267" s="1" t="str">
        <f t="shared" si="173"/>
        <v/>
      </c>
      <c r="CB267" s="5" t="str">
        <f>IF(E267&lt;&gt;"",CREATE_QUERY($B$1,A$2:AA$2,A267:AA267),"")</f>
        <v/>
      </c>
    </row>
    <row r="268" spans="1:80" ht="17">
      <c r="A268" s="3" t="str">
        <f t="shared" si="116"/>
        <v/>
      </c>
      <c r="B268" s="2" t="str">
        <f t="shared" ca="1" si="117"/>
        <v/>
      </c>
      <c r="C268" s="25" t="str">
        <f t="shared" si="171"/>
        <v/>
      </c>
      <c r="D268" s="25"/>
      <c r="E268" s="25"/>
      <c r="F268" s="25" t="str">
        <f t="shared" si="118"/>
        <v/>
      </c>
      <c r="G268" s="25"/>
      <c r="H268" s="2" t="str">
        <f t="shared" si="119"/>
        <v>[[""]]</v>
      </c>
      <c r="I268" s="2" t="str">
        <f t="shared" si="172"/>
        <v/>
      </c>
      <c r="J268" s="2"/>
      <c r="K268" s="2" t="str">
        <f t="shared" si="125"/>
        <v/>
      </c>
      <c r="L268" s="2"/>
      <c r="M268" s="36" t="str">
        <f t="shared" si="120"/>
        <v/>
      </c>
      <c r="N268" s="36" t="str">
        <f t="shared" ca="1" si="121"/>
        <v/>
      </c>
      <c r="O268" s="36" t="str">
        <f t="shared" si="122"/>
        <v/>
      </c>
      <c r="P268" s="36" t="str">
        <f t="shared" si="123"/>
        <v/>
      </c>
      <c r="Q268" s="35" t="str">
        <f t="shared" si="124"/>
        <v/>
      </c>
      <c r="R268" s="2" t="s">
        <v>921</v>
      </c>
      <c r="S268" s="2"/>
      <c r="T268" s="2"/>
      <c r="U268" s="2"/>
      <c r="V268" s="2"/>
      <c r="W268" s="2"/>
      <c r="X268" s="2"/>
      <c r="Y268" s="2"/>
      <c r="Z268" s="2"/>
      <c r="AA268" s="2"/>
      <c r="AB268" s="30"/>
      <c r="AC268" s="25"/>
      <c r="AD268" s="30"/>
      <c r="AE268" s="25"/>
      <c r="AF268" s="30"/>
      <c r="AG268" s="25"/>
      <c r="AH268" s="30"/>
      <c r="AI268" s="25"/>
      <c r="AJ268" s="30"/>
      <c r="AK268" s="25"/>
      <c r="AL268" s="30"/>
      <c r="AM268" s="25"/>
      <c r="AN268" s="30"/>
      <c r="AO268" s="25"/>
      <c r="AP268" s="30"/>
      <c r="AQ268" s="25"/>
      <c r="AR268" s="30"/>
      <c r="AS268" s="25"/>
      <c r="AT268" s="30"/>
      <c r="AU268" s="25"/>
      <c r="AV268" s="30"/>
      <c r="AW268" s="25"/>
      <c r="AX268" s="30"/>
      <c r="AY268" s="25"/>
      <c r="AZ268" s="30"/>
      <c r="BA268" s="25"/>
      <c r="BB268" s="30"/>
      <c r="BC268" s="25"/>
      <c r="BD268" s="30"/>
      <c r="BE268" s="25"/>
      <c r="BF268" s="30"/>
      <c r="BG268" s="25"/>
      <c r="BH268" s="30"/>
      <c r="BI268" s="25"/>
      <c r="BJ268" s="30"/>
      <c r="BK268" s="25"/>
      <c r="BL268" s="30"/>
      <c r="BM268" s="25"/>
      <c r="BN268" s="30"/>
      <c r="BO268" s="25"/>
      <c r="BP268" s="30"/>
      <c r="BQ268" s="25"/>
      <c r="BR268" s="30"/>
      <c r="BS268" s="25"/>
      <c r="BT268" s="30"/>
      <c r="BU268" s="25"/>
      <c r="BV268" s="30"/>
      <c r="BW268" s="25"/>
      <c r="BX268" s="30"/>
      <c r="BY268" s="25"/>
      <c r="CA268" s="1" t="str">
        <f t="shared" si="173"/>
        <v/>
      </c>
      <c r="CB268" s="5" t="str">
        <f>IF(E268&lt;&gt;"",CREATE_QUERY($B$1,A$2:AA$2,A268:AA268),"")</f>
        <v/>
      </c>
    </row>
    <row r="269" spans="1:80" ht="17">
      <c r="A269" s="3" t="str">
        <f t="shared" si="116"/>
        <v/>
      </c>
      <c r="B269" s="2" t="str">
        <f t="shared" ca="1" si="117"/>
        <v/>
      </c>
      <c r="C269" s="25" t="str">
        <f t="shared" si="171"/>
        <v/>
      </c>
      <c r="D269" s="25"/>
      <c r="E269" s="25"/>
      <c r="F269" s="25" t="str">
        <f t="shared" si="118"/>
        <v/>
      </c>
      <c r="G269" s="25"/>
      <c r="H269" s="2" t="str">
        <f t="shared" si="119"/>
        <v>[[""]]</v>
      </c>
      <c r="I269" s="2" t="str">
        <f t="shared" si="172"/>
        <v/>
      </c>
      <c r="J269" s="2"/>
      <c r="K269" s="2" t="str">
        <f t="shared" si="125"/>
        <v/>
      </c>
      <c r="L269" s="2"/>
      <c r="M269" s="36" t="str">
        <f t="shared" si="120"/>
        <v/>
      </c>
      <c r="N269" s="36" t="str">
        <f t="shared" ca="1" si="121"/>
        <v/>
      </c>
      <c r="O269" s="36" t="str">
        <f t="shared" si="122"/>
        <v/>
      </c>
      <c r="P269" s="36" t="str">
        <f t="shared" si="123"/>
        <v/>
      </c>
      <c r="Q269" s="35" t="str">
        <f t="shared" si="124"/>
        <v/>
      </c>
      <c r="R269" s="2" t="s">
        <v>921</v>
      </c>
      <c r="S269" s="2"/>
      <c r="T269" s="2"/>
      <c r="U269" s="2"/>
      <c r="V269" s="2"/>
      <c r="W269" s="2"/>
      <c r="X269" s="2"/>
      <c r="Y269" s="2"/>
      <c r="Z269" s="2"/>
      <c r="AA269" s="2"/>
      <c r="AB269" s="30"/>
      <c r="AC269" s="25"/>
      <c r="AD269" s="30"/>
      <c r="AE269" s="25"/>
      <c r="AF269" s="30"/>
      <c r="AG269" s="25"/>
      <c r="AH269" s="30"/>
      <c r="AI269" s="25"/>
      <c r="AJ269" s="30"/>
      <c r="AK269" s="25"/>
      <c r="AL269" s="30"/>
      <c r="AM269" s="25"/>
      <c r="AN269" s="30"/>
      <c r="AO269" s="25"/>
      <c r="AP269" s="30"/>
      <c r="AQ269" s="25"/>
      <c r="AR269" s="30"/>
      <c r="AS269" s="25"/>
      <c r="AT269" s="30"/>
      <c r="AU269" s="25"/>
      <c r="AV269" s="30"/>
      <c r="AW269" s="25"/>
      <c r="AX269" s="30"/>
      <c r="AY269" s="25"/>
      <c r="AZ269" s="30"/>
      <c r="BA269" s="25"/>
      <c r="BB269" s="30"/>
      <c r="BC269" s="25"/>
      <c r="BD269" s="30"/>
      <c r="BE269" s="25"/>
      <c r="BF269" s="30"/>
      <c r="BG269" s="25"/>
      <c r="BH269" s="30"/>
      <c r="BI269" s="25"/>
      <c r="BJ269" s="30"/>
      <c r="BK269" s="25"/>
      <c r="BL269" s="30"/>
      <c r="BM269" s="25"/>
      <c r="BN269" s="30"/>
      <c r="BO269" s="25"/>
      <c r="BP269" s="30"/>
      <c r="BQ269" s="25"/>
      <c r="BR269" s="30"/>
      <c r="BS269" s="25"/>
      <c r="BT269" s="30"/>
      <c r="BU269" s="25"/>
      <c r="BV269" s="30"/>
      <c r="BW269" s="25"/>
      <c r="BX269" s="30"/>
      <c r="BY269" s="25"/>
      <c r="CA269" s="1" t="str">
        <f t="shared" si="173"/>
        <v/>
      </c>
      <c r="CB269" s="5" t="str">
        <f>IF(E269&lt;&gt;"",CREATE_QUERY($B$1,A$2:AA$2,A269:AA269),"")</f>
        <v/>
      </c>
    </row>
    <row r="270" spans="1:80" ht="17">
      <c r="A270" s="3" t="str">
        <f t="shared" si="116"/>
        <v/>
      </c>
      <c r="B270" s="2" t="str">
        <f t="shared" ca="1" si="117"/>
        <v/>
      </c>
      <c r="C270" s="25" t="str">
        <f t="shared" si="171"/>
        <v/>
      </c>
      <c r="D270" s="25"/>
      <c r="E270" s="25"/>
      <c r="F270" s="25" t="str">
        <f t="shared" si="118"/>
        <v/>
      </c>
      <c r="G270" s="25"/>
      <c r="H270" s="2" t="str">
        <f t="shared" si="119"/>
        <v>[[""]]</v>
      </c>
      <c r="I270" s="2" t="str">
        <f t="shared" si="172"/>
        <v/>
      </c>
      <c r="J270" s="2"/>
      <c r="K270" s="2" t="str">
        <f t="shared" si="125"/>
        <v/>
      </c>
      <c r="L270" s="2"/>
      <c r="M270" s="36" t="str">
        <f t="shared" si="120"/>
        <v/>
      </c>
      <c r="N270" s="36" t="str">
        <f t="shared" ca="1" si="121"/>
        <v/>
      </c>
      <c r="O270" s="36" t="str">
        <f t="shared" si="122"/>
        <v/>
      </c>
      <c r="P270" s="36" t="str">
        <f t="shared" si="123"/>
        <v/>
      </c>
      <c r="Q270" s="35" t="str">
        <f t="shared" si="124"/>
        <v/>
      </c>
      <c r="R270" s="2" t="s">
        <v>921</v>
      </c>
      <c r="S270" s="2"/>
      <c r="T270" s="2"/>
      <c r="U270" s="2"/>
      <c r="V270" s="2"/>
      <c r="W270" s="2"/>
      <c r="X270" s="2"/>
      <c r="Y270" s="2"/>
      <c r="Z270" s="2"/>
      <c r="AA270" s="2"/>
      <c r="AB270" s="30"/>
      <c r="AC270" s="25"/>
      <c r="AD270" s="30"/>
      <c r="AE270" s="25"/>
      <c r="AF270" s="30"/>
      <c r="AG270" s="25"/>
      <c r="AH270" s="30"/>
      <c r="AI270" s="25"/>
      <c r="AJ270" s="30"/>
      <c r="AK270" s="25"/>
      <c r="AL270" s="30"/>
      <c r="AM270" s="25"/>
      <c r="AN270" s="30"/>
      <c r="AO270" s="25"/>
      <c r="AP270" s="30"/>
      <c r="AQ270" s="25"/>
      <c r="AR270" s="30"/>
      <c r="AS270" s="25"/>
      <c r="AT270" s="30"/>
      <c r="AU270" s="25"/>
      <c r="AV270" s="30"/>
      <c r="AW270" s="25"/>
      <c r="AX270" s="30"/>
      <c r="AY270" s="25"/>
      <c r="AZ270" s="30"/>
      <c r="BA270" s="25"/>
      <c r="BB270" s="30"/>
      <c r="BC270" s="25"/>
      <c r="BD270" s="30"/>
      <c r="BE270" s="25"/>
      <c r="BF270" s="30"/>
      <c r="BG270" s="25"/>
      <c r="BH270" s="30"/>
      <c r="BI270" s="25"/>
      <c r="BJ270" s="30"/>
      <c r="BK270" s="25"/>
      <c r="BL270" s="30"/>
      <c r="BM270" s="25"/>
      <c r="BN270" s="30"/>
      <c r="BO270" s="25"/>
      <c r="BP270" s="30"/>
      <c r="BQ270" s="25"/>
      <c r="BR270" s="30"/>
      <c r="BS270" s="25"/>
      <c r="BT270" s="30"/>
      <c r="BU270" s="25"/>
      <c r="BV270" s="30"/>
      <c r="BW270" s="25"/>
      <c r="BX270" s="30"/>
      <c r="BY270" s="25"/>
      <c r="CA270" s="1" t="str">
        <f t="shared" si="173"/>
        <v/>
      </c>
      <c r="CB270" s="5" t="str">
        <f>IF(E270&lt;&gt;"",CREATE_QUERY($B$1,A$2:AA$2,A270:AA270),"")</f>
        <v/>
      </c>
    </row>
    <row r="271" spans="1:80" ht="17">
      <c r="A271" s="3" t="str">
        <f t="shared" si="116"/>
        <v/>
      </c>
      <c r="B271" s="2" t="str">
        <f t="shared" ca="1" si="117"/>
        <v/>
      </c>
      <c r="C271" s="25" t="str">
        <f t="shared" si="171"/>
        <v/>
      </c>
      <c r="D271" s="25"/>
      <c r="E271" s="25"/>
      <c r="F271" s="25" t="str">
        <f t="shared" si="118"/>
        <v/>
      </c>
      <c r="G271" s="25"/>
      <c r="H271" s="2" t="str">
        <f t="shared" si="119"/>
        <v>[[""]]</v>
      </c>
      <c r="I271" s="2" t="str">
        <f t="shared" si="172"/>
        <v/>
      </c>
      <c r="J271" s="2"/>
      <c r="K271" s="2" t="str">
        <f t="shared" si="125"/>
        <v/>
      </c>
      <c r="L271" s="2"/>
      <c r="M271" s="36" t="str">
        <f t="shared" si="120"/>
        <v/>
      </c>
      <c r="N271" s="36" t="str">
        <f t="shared" ca="1" si="121"/>
        <v/>
      </c>
      <c r="O271" s="36" t="str">
        <f t="shared" si="122"/>
        <v/>
      </c>
      <c r="P271" s="36" t="str">
        <f t="shared" si="123"/>
        <v/>
      </c>
      <c r="Q271" s="35" t="str">
        <f t="shared" si="124"/>
        <v/>
      </c>
      <c r="R271" s="2" t="s">
        <v>921</v>
      </c>
      <c r="S271" s="2"/>
      <c r="T271" s="2"/>
      <c r="U271" s="2"/>
      <c r="V271" s="2"/>
      <c r="W271" s="2"/>
      <c r="X271" s="2"/>
      <c r="Y271" s="2"/>
      <c r="Z271" s="2"/>
      <c r="AA271" s="2"/>
      <c r="AB271" s="30"/>
      <c r="AC271" s="25"/>
      <c r="AD271" s="30"/>
      <c r="AE271" s="25"/>
      <c r="AF271" s="30"/>
      <c r="AG271" s="25"/>
      <c r="AH271" s="30"/>
      <c r="AI271" s="25"/>
      <c r="AJ271" s="30"/>
      <c r="AK271" s="25"/>
      <c r="AL271" s="30"/>
      <c r="AM271" s="25"/>
      <c r="AN271" s="30"/>
      <c r="AO271" s="25"/>
      <c r="AP271" s="30"/>
      <c r="AQ271" s="25"/>
      <c r="AR271" s="30"/>
      <c r="AS271" s="25"/>
      <c r="AT271" s="30"/>
      <c r="AU271" s="25"/>
      <c r="AV271" s="30"/>
      <c r="AW271" s="25"/>
      <c r="AX271" s="30"/>
      <c r="AY271" s="25"/>
      <c r="AZ271" s="30"/>
      <c r="BA271" s="25"/>
      <c r="BB271" s="30"/>
      <c r="BC271" s="25"/>
      <c r="BD271" s="30"/>
      <c r="BE271" s="25"/>
      <c r="BF271" s="30"/>
      <c r="BG271" s="25"/>
      <c r="BH271" s="30"/>
      <c r="BI271" s="25"/>
      <c r="BJ271" s="30"/>
      <c r="BK271" s="25"/>
      <c r="BL271" s="30"/>
      <c r="BM271" s="25"/>
      <c r="BN271" s="30"/>
      <c r="BO271" s="25"/>
      <c r="BP271" s="30"/>
      <c r="BQ271" s="25"/>
      <c r="BR271" s="30"/>
      <c r="BS271" s="25"/>
      <c r="BT271" s="30"/>
      <c r="BU271" s="25"/>
      <c r="BV271" s="30"/>
      <c r="BW271" s="25"/>
      <c r="BX271" s="30"/>
      <c r="BY271" s="25"/>
      <c r="CA271" s="1" t="str">
        <f t="shared" si="173"/>
        <v/>
      </c>
      <c r="CB271" s="5" t="str">
        <f>IF(E271&lt;&gt;"",CREATE_QUERY($B$1,A$2:AA$2,A271:AA271),"")</f>
        <v/>
      </c>
    </row>
    <row r="272" spans="1:80" ht="17">
      <c r="A272" s="3" t="str">
        <f t="shared" si="116"/>
        <v/>
      </c>
      <c r="B272" s="2" t="str">
        <f t="shared" ca="1" si="117"/>
        <v/>
      </c>
      <c r="C272" s="25" t="str">
        <f t="shared" si="171"/>
        <v/>
      </c>
      <c r="D272" s="25"/>
      <c r="E272" s="25"/>
      <c r="F272" s="25" t="str">
        <f t="shared" si="118"/>
        <v/>
      </c>
      <c r="G272" s="25"/>
      <c r="H272" s="2" t="str">
        <f t="shared" si="119"/>
        <v>[[""]]</v>
      </c>
      <c r="I272" s="2" t="str">
        <f t="shared" si="172"/>
        <v/>
      </c>
      <c r="J272" s="2"/>
      <c r="K272" s="2" t="str">
        <f t="shared" si="125"/>
        <v/>
      </c>
      <c r="L272" s="2"/>
      <c r="M272" s="36" t="str">
        <f t="shared" si="120"/>
        <v/>
      </c>
      <c r="N272" s="36" t="str">
        <f t="shared" ca="1" si="121"/>
        <v/>
      </c>
      <c r="O272" s="36" t="str">
        <f t="shared" si="122"/>
        <v/>
      </c>
      <c r="P272" s="36" t="str">
        <f t="shared" si="123"/>
        <v/>
      </c>
      <c r="Q272" s="35" t="str">
        <f t="shared" si="124"/>
        <v/>
      </c>
      <c r="R272" s="2" t="s">
        <v>921</v>
      </c>
      <c r="S272" s="2"/>
      <c r="T272" s="2"/>
      <c r="U272" s="2"/>
      <c r="V272" s="2"/>
      <c r="W272" s="2"/>
      <c r="X272" s="2"/>
      <c r="Y272" s="2"/>
      <c r="Z272" s="2"/>
      <c r="AA272" s="2"/>
      <c r="AB272" s="30"/>
      <c r="AC272" s="25"/>
      <c r="AD272" s="30"/>
      <c r="AE272" s="25"/>
      <c r="AF272" s="30"/>
      <c r="AG272" s="25"/>
      <c r="AH272" s="30"/>
      <c r="AI272" s="25"/>
      <c r="AJ272" s="30"/>
      <c r="AK272" s="25"/>
      <c r="AL272" s="30"/>
      <c r="AM272" s="25"/>
      <c r="AN272" s="30"/>
      <c r="AO272" s="25"/>
      <c r="AP272" s="30"/>
      <c r="AQ272" s="25"/>
      <c r="AR272" s="30"/>
      <c r="AS272" s="25"/>
      <c r="AT272" s="30"/>
      <c r="AU272" s="25"/>
      <c r="AV272" s="30"/>
      <c r="AW272" s="25"/>
      <c r="AX272" s="30"/>
      <c r="AY272" s="25"/>
      <c r="AZ272" s="30"/>
      <c r="BA272" s="25"/>
      <c r="BB272" s="30"/>
      <c r="BC272" s="25"/>
      <c r="BD272" s="30"/>
      <c r="BE272" s="25"/>
      <c r="BF272" s="30"/>
      <c r="BG272" s="25"/>
      <c r="BH272" s="30"/>
      <c r="BI272" s="25"/>
      <c r="BJ272" s="30"/>
      <c r="BK272" s="25"/>
      <c r="BL272" s="30"/>
      <c r="BM272" s="25"/>
      <c r="BN272" s="30"/>
      <c r="BO272" s="25"/>
      <c r="BP272" s="30"/>
      <c r="BQ272" s="25"/>
      <c r="BR272" s="30"/>
      <c r="BS272" s="25"/>
      <c r="BT272" s="30"/>
      <c r="BU272" s="25"/>
      <c r="BV272" s="30"/>
      <c r="BW272" s="25"/>
      <c r="BX272" s="30"/>
      <c r="BY272" s="25"/>
      <c r="CA272" s="1" t="str">
        <f t="shared" si="173"/>
        <v/>
      </c>
      <c r="CB272" s="5" t="str">
        <f>IF(E272&lt;&gt;"",CREATE_QUERY($B$1,A$2:AA$2,A272:AA272),"")</f>
        <v/>
      </c>
    </row>
    <row r="273" spans="1:80" ht="17">
      <c r="A273" s="2"/>
      <c r="B273" s="2"/>
      <c r="C273" s="25" t="str">
        <f t="shared" si="171"/>
        <v/>
      </c>
      <c r="D273" s="25"/>
      <c r="E273" s="25"/>
      <c r="F273" s="25" t="str">
        <f t="shared" si="118"/>
        <v/>
      </c>
      <c r="G273" s="25"/>
      <c r="H273" s="2" t="str">
        <f t="shared" si="119"/>
        <v>[[""]]</v>
      </c>
      <c r="I273" s="2" t="str">
        <f t="shared" si="172"/>
        <v/>
      </c>
      <c r="J273" s="2"/>
      <c r="K273" s="2" t="str">
        <f t="shared" si="125"/>
        <v/>
      </c>
      <c r="L273" s="2"/>
      <c r="M273" s="36" t="str">
        <f t="shared" si="120"/>
        <v/>
      </c>
      <c r="N273" s="36" t="str">
        <f t="shared" si="121"/>
        <v/>
      </c>
      <c r="O273" s="36" t="str">
        <f t="shared" si="122"/>
        <v/>
      </c>
      <c r="P273" s="36" t="str">
        <f t="shared" si="123"/>
        <v/>
      </c>
      <c r="Q273" s="35" t="str">
        <f t="shared" si="124"/>
        <v/>
      </c>
      <c r="R273" s="2" t="s">
        <v>921</v>
      </c>
      <c r="S273" s="2"/>
      <c r="T273" s="2"/>
      <c r="U273" s="2"/>
      <c r="V273" s="2"/>
      <c r="W273" s="2"/>
      <c r="X273" s="2"/>
      <c r="Y273" s="2"/>
      <c r="Z273" s="2"/>
      <c r="AA273" s="2"/>
      <c r="AB273" s="30"/>
      <c r="AC273" s="25"/>
      <c r="AD273" s="30"/>
      <c r="AE273" s="25"/>
      <c r="AF273" s="30"/>
      <c r="AG273" s="25"/>
      <c r="AH273" s="30"/>
      <c r="AI273" s="25"/>
      <c r="AJ273" s="30"/>
      <c r="AK273" s="25"/>
      <c r="AL273" s="30"/>
      <c r="AM273" s="25"/>
      <c r="AN273" s="30"/>
      <c r="AO273" s="25"/>
      <c r="AP273" s="30"/>
      <c r="AQ273" s="25"/>
      <c r="AR273" s="30"/>
      <c r="AS273" s="25"/>
      <c r="AT273" s="30"/>
      <c r="AU273" s="25"/>
      <c r="AV273" s="30"/>
      <c r="AW273" s="25"/>
      <c r="AX273" s="30"/>
      <c r="AY273" s="25"/>
      <c r="AZ273" s="30"/>
      <c r="BA273" s="25"/>
      <c r="BB273" s="30"/>
      <c r="BC273" s="25"/>
      <c r="BD273" s="30"/>
      <c r="BE273" s="25"/>
      <c r="BF273" s="30"/>
      <c r="BG273" s="25"/>
      <c r="BH273" s="30"/>
      <c r="BI273" s="25"/>
      <c r="BJ273" s="30"/>
      <c r="BK273" s="25"/>
      <c r="BL273" s="30"/>
      <c r="BM273" s="25"/>
      <c r="BN273" s="30"/>
      <c r="BO273" s="25"/>
      <c r="BP273" s="30"/>
      <c r="BQ273" s="25"/>
      <c r="BR273" s="30"/>
      <c r="BS273" s="25"/>
      <c r="BT273" s="30"/>
      <c r="BU273" s="25"/>
      <c r="BV273" s="30"/>
      <c r="BW273" s="25"/>
      <c r="BX273" s="30"/>
      <c r="BY273" s="25"/>
      <c r="CA273" s="1" t="str">
        <f t="shared" si="173"/>
        <v/>
      </c>
      <c r="CB273" s="5" t="str">
        <f>IF(E273&lt;&gt;"",CREATE_QUERY($B$1,A$2:AA$2,A273:AA273),"")</f>
        <v/>
      </c>
    </row>
    <row r="274" spans="1:80" ht="17">
      <c r="A274" s="2"/>
      <c r="B274" s="2"/>
      <c r="C274" s="25" t="str">
        <f t="shared" si="171"/>
        <v/>
      </c>
      <c r="D274" s="25"/>
      <c r="E274" s="25"/>
      <c r="F274" s="25" t="str">
        <f t="shared" si="118"/>
        <v/>
      </c>
      <c r="G274" s="25"/>
      <c r="H274" s="2" t="str">
        <f t="shared" si="119"/>
        <v>[[""]]</v>
      </c>
      <c r="I274" s="2" t="str">
        <f t="shared" si="172"/>
        <v/>
      </c>
      <c r="J274" s="2"/>
      <c r="K274" s="2" t="str">
        <f t="shared" si="125"/>
        <v/>
      </c>
      <c r="L274" s="2"/>
      <c r="M274" s="36" t="str">
        <f t="shared" si="120"/>
        <v/>
      </c>
      <c r="N274" s="36" t="str">
        <f t="shared" si="121"/>
        <v/>
      </c>
      <c r="O274" s="36" t="str">
        <f t="shared" si="122"/>
        <v/>
      </c>
      <c r="P274" s="36" t="str">
        <f t="shared" si="123"/>
        <v/>
      </c>
      <c r="Q274" s="35" t="str">
        <f t="shared" si="124"/>
        <v/>
      </c>
      <c r="R274" s="2" t="s">
        <v>921</v>
      </c>
      <c r="S274" s="2"/>
      <c r="T274" s="2"/>
      <c r="U274" s="2"/>
      <c r="V274" s="2"/>
      <c r="W274" s="2"/>
      <c r="X274" s="2"/>
      <c r="Y274" s="2"/>
      <c r="Z274" s="2"/>
      <c r="AA274" s="2"/>
      <c r="AB274" s="30"/>
      <c r="AC274" s="25"/>
      <c r="AD274" s="30"/>
      <c r="AE274" s="25"/>
      <c r="AF274" s="30"/>
      <c r="AG274" s="25"/>
      <c r="AH274" s="30"/>
      <c r="AI274" s="25"/>
      <c r="AJ274" s="30"/>
      <c r="AK274" s="25"/>
      <c r="AL274" s="30"/>
      <c r="AM274" s="25"/>
      <c r="AN274" s="30"/>
      <c r="AO274" s="25"/>
      <c r="AP274" s="30"/>
      <c r="AQ274" s="25"/>
      <c r="AR274" s="30"/>
      <c r="AS274" s="25"/>
      <c r="AT274" s="30"/>
      <c r="AU274" s="25"/>
      <c r="AV274" s="30"/>
      <c r="AW274" s="25"/>
      <c r="AX274" s="30"/>
      <c r="AY274" s="25"/>
      <c r="AZ274" s="30"/>
      <c r="BA274" s="25"/>
      <c r="BB274" s="30"/>
      <c r="BC274" s="25"/>
      <c r="BD274" s="30"/>
      <c r="BE274" s="25"/>
      <c r="BF274" s="30"/>
      <c r="BG274" s="25"/>
      <c r="BH274" s="30"/>
      <c r="BI274" s="25"/>
      <c r="BJ274" s="30"/>
      <c r="BK274" s="25"/>
      <c r="BL274" s="30"/>
      <c r="BM274" s="25"/>
      <c r="BN274" s="30"/>
      <c r="BO274" s="25"/>
      <c r="BP274" s="30"/>
      <c r="BQ274" s="25"/>
      <c r="BR274" s="30"/>
      <c r="BS274" s="25"/>
      <c r="BT274" s="30"/>
      <c r="BU274" s="25"/>
      <c r="BV274" s="30"/>
      <c r="BW274" s="25"/>
      <c r="BX274" s="30"/>
      <c r="BY274" s="25"/>
      <c r="CA274" s="1" t="str">
        <f t="shared" si="173"/>
        <v/>
      </c>
      <c r="CB274" s="5" t="str">
        <f>IF(E274&lt;&gt;"",CREATE_QUERY($B$1,A$2:AA$2,A274:AA274),"")</f>
        <v/>
      </c>
    </row>
    <row r="275" spans="1:80" ht="17">
      <c r="A275" s="2"/>
      <c r="B275" s="2"/>
      <c r="C275" s="25" t="str">
        <f t="shared" si="171"/>
        <v/>
      </c>
      <c r="D275" s="25"/>
      <c r="E275" s="25"/>
      <c r="F275" s="25" t="str">
        <f t="shared" si="118"/>
        <v/>
      </c>
      <c r="G275" s="25"/>
      <c r="H275" s="2" t="str">
        <f t="shared" si="119"/>
        <v>[[""]]</v>
      </c>
      <c r="I275" s="2" t="str">
        <f t="shared" si="172"/>
        <v/>
      </c>
      <c r="J275" s="2"/>
      <c r="K275" s="2" t="str">
        <f t="shared" si="125"/>
        <v/>
      </c>
      <c r="L275" s="2"/>
      <c r="M275" s="36" t="str">
        <f t="shared" si="120"/>
        <v/>
      </c>
      <c r="N275" s="36" t="str">
        <f t="shared" si="121"/>
        <v/>
      </c>
      <c r="O275" s="36" t="str">
        <f t="shared" si="122"/>
        <v/>
      </c>
      <c r="P275" s="36" t="str">
        <f t="shared" si="123"/>
        <v/>
      </c>
      <c r="Q275" s="35" t="str">
        <f t="shared" si="124"/>
        <v/>
      </c>
      <c r="R275" s="2" t="s">
        <v>921</v>
      </c>
      <c r="S275" s="2"/>
      <c r="T275" s="2"/>
      <c r="U275" s="2"/>
      <c r="V275" s="2"/>
      <c r="W275" s="2"/>
      <c r="X275" s="2"/>
      <c r="Y275" s="2"/>
      <c r="Z275" s="2"/>
      <c r="AA275" s="2"/>
      <c r="AB275" s="30"/>
      <c r="AC275" s="25"/>
      <c r="AD275" s="30"/>
      <c r="AE275" s="25"/>
      <c r="AF275" s="30"/>
      <c r="AG275" s="25"/>
      <c r="AH275" s="30"/>
      <c r="AI275" s="25"/>
      <c r="AJ275" s="30"/>
      <c r="AK275" s="25"/>
      <c r="AL275" s="30"/>
      <c r="AM275" s="25"/>
      <c r="AN275" s="30"/>
      <c r="AO275" s="25"/>
      <c r="AP275" s="30"/>
      <c r="AQ275" s="25"/>
      <c r="AR275" s="30"/>
      <c r="AS275" s="25"/>
      <c r="AT275" s="30"/>
      <c r="AU275" s="25"/>
      <c r="AV275" s="30"/>
      <c r="AW275" s="25"/>
      <c r="AX275" s="30"/>
      <c r="AY275" s="25"/>
      <c r="AZ275" s="30"/>
      <c r="BA275" s="25"/>
      <c r="BB275" s="30"/>
      <c r="BC275" s="25"/>
      <c r="BD275" s="30"/>
      <c r="BE275" s="25"/>
      <c r="BF275" s="30"/>
      <c r="BG275" s="25"/>
      <c r="BH275" s="30"/>
      <c r="BI275" s="25"/>
      <c r="BJ275" s="30"/>
      <c r="BK275" s="25"/>
      <c r="BL275" s="30"/>
      <c r="BM275" s="25"/>
      <c r="BN275" s="30"/>
      <c r="BO275" s="25"/>
      <c r="BP275" s="30"/>
      <c r="BQ275" s="25"/>
      <c r="BR275" s="30"/>
      <c r="BS275" s="25"/>
      <c r="BT275" s="30"/>
      <c r="BU275" s="25"/>
      <c r="BV275" s="30"/>
      <c r="BW275" s="25"/>
      <c r="BX275" s="30"/>
      <c r="BY275" s="25"/>
      <c r="CA275" s="1" t="str">
        <f t="shared" si="173"/>
        <v/>
      </c>
      <c r="CB275" s="5" t="str">
        <f>IF(E275&lt;&gt;"",CREATE_QUERY($B$1,A$2:AA$2,A275:AA275),"")</f>
        <v/>
      </c>
    </row>
    <row r="276" spans="1:80" ht="17">
      <c r="A276" s="2"/>
      <c r="B276" s="2"/>
      <c r="C276" s="25" t="str">
        <f t="shared" si="171"/>
        <v/>
      </c>
      <c r="D276" s="25"/>
      <c r="E276" s="25"/>
      <c r="F276" s="25" t="str">
        <f t="shared" si="118"/>
        <v/>
      </c>
      <c r="G276" s="25"/>
      <c r="H276" s="2" t="str">
        <f t="shared" si="119"/>
        <v>[[""]]</v>
      </c>
      <c r="I276" s="2" t="str">
        <f t="shared" si="172"/>
        <v/>
      </c>
      <c r="J276" s="2"/>
      <c r="K276" s="2" t="str">
        <f t="shared" si="125"/>
        <v/>
      </c>
      <c r="L276" s="2"/>
      <c r="M276" s="36" t="str">
        <f t="shared" si="120"/>
        <v/>
      </c>
      <c r="N276" s="36" t="str">
        <f t="shared" si="121"/>
        <v/>
      </c>
      <c r="O276" s="36" t="str">
        <f t="shared" si="122"/>
        <v/>
      </c>
      <c r="P276" s="36" t="str">
        <f t="shared" si="123"/>
        <v/>
      </c>
      <c r="Q276" s="35" t="str">
        <f t="shared" si="124"/>
        <v/>
      </c>
      <c r="R276" s="2" t="s">
        <v>921</v>
      </c>
      <c r="S276" s="2"/>
      <c r="T276" s="2"/>
      <c r="U276" s="2"/>
      <c r="V276" s="2"/>
      <c r="W276" s="2"/>
      <c r="X276" s="2"/>
      <c r="Y276" s="2"/>
      <c r="Z276" s="2"/>
      <c r="AA276" s="2"/>
      <c r="AB276" s="30"/>
      <c r="AC276" s="25"/>
      <c r="AD276" s="30"/>
      <c r="AE276" s="25"/>
      <c r="AF276" s="30"/>
      <c r="AG276" s="25"/>
      <c r="AH276" s="30"/>
      <c r="AI276" s="25"/>
      <c r="AJ276" s="30"/>
      <c r="AK276" s="25"/>
      <c r="AL276" s="30"/>
      <c r="AM276" s="25"/>
      <c r="AN276" s="30"/>
      <c r="AO276" s="25"/>
      <c r="AP276" s="30"/>
      <c r="AQ276" s="25"/>
      <c r="AR276" s="30"/>
      <c r="AS276" s="25"/>
      <c r="AT276" s="30"/>
      <c r="AU276" s="25"/>
      <c r="AV276" s="30"/>
      <c r="AW276" s="25"/>
      <c r="AX276" s="30"/>
      <c r="AY276" s="25"/>
      <c r="AZ276" s="30"/>
      <c r="BA276" s="25"/>
      <c r="BB276" s="30"/>
      <c r="BC276" s="25"/>
      <c r="BD276" s="30"/>
      <c r="BE276" s="25"/>
      <c r="BF276" s="30"/>
      <c r="BG276" s="25"/>
      <c r="BH276" s="30"/>
      <c r="BI276" s="25"/>
      <c r="BJ276" s="30"/>
      <c r="BK276" s="25"/>
      <c r="BL276" s="30"/>
      <c r="BM276" s="25"/>
      <c r="BN276" s="30"/>
      <c r="BO276" s="25"/>
      <c r="BP276" s="30"/>
      <c r="BQ276" s="25"/>
      <c r="BR276" s="30"/>
      <c r="BS276" s="25"/>
      <c r="BT276" s="30"/>
      <c r="BU276" s="25"/>
      <c r="BV276" s="30"/>
      <c r="BW276" s="25"/>
      <c r="BX276" s="30"/>
      <c r="BY276" s="25"/>
      <c r="CA276" s="1" t="str">
        <f t="shared" si="173"/>
        <v/>
      </c>
      <c r="CB276" s="5" t="str">
        <f>IF(E276&lt;&gt;"",CREATE_QUERY($B$1,A$2:AA$2,A276:AA276),"")</f>
        <v/>
      </c>
    </row>
    <row r="277" spans="1:80" ht="17">
      <c r="A277" s="2"/>
      <c r="B277" s="2"/>
      <c r="C277" s="25" t="str">
        <f t="shared" si="171"/>
        <v/>
      </c>
      <c r="D277" s="25"/>
      <c r="E277" s="25"/>
      <c r="F277" s="25" t="str">
        <f t="shared" si="118"/>
        <v/>
      </c>
      <c r="G277" s="25"/>
      <c r="H277" s="2" t="str">
        <f t="shared" si="119"/>
        <v>[[""]]</v>
      </c>
      <c r="I277" s="2" t="str">
        <f t="shared" si="172"/>
        <v/>
      </c>
      <c r="J277" s="2"/>
      <c r="K277" s="2" t="str">
        <f t="shared" si="125"/>
        <v/>
      </c>
      <c r="L277" s="2"/>
      <c r="M277" s="36" t="str">
        <f t="shared" si="120"/>
        <v/>
      </c>
      <c r="N277" s="36" t="str">
        <f t="shared" si="121"/>
        <v/>
      </c>
      <c r="O277" s="36" t="str">
        <f t="shared" si="122"/>
        <v/>
      </c>
      <c r="P277" s="36" t="str">
        <f t="shared" si="123"/>
        <v/>
      </c>
      <c r="Q277" s="35" t="str">
        <f t="shared" si="124"/>
        <v/>
      </c>
      <c r="R277" s="2" t="s">
        <v>921</v>
      </c>
      <c r="S277" s="2"/>
      <c r="T277" s="2"/>
      <c r="U277" s="2"/>
      <c r="V277" s="2"/>
      <c r="W277" s="2"/>
      <c r="X277" s="2"/>
      <c r="Y277" s="2"/>
      <c r="Z277" s="2"/>
      <c r="AA277" s="2"/>
      <c r="AB277" s="30"/>
      <c r="AC277" s="25"/>
      <c r="AD277" s="30"/>
      <c r="AE277" s="25"/>
      <c r="AF277" s="30"/>
      <c r="AG277" s="25"/>
      <c r="AH277" s="30"/>
      <c r="AI277" s="25"/>
      <c r="AJ277" s="30"/>
      <c r="AK277" s="25"/>
      <c r="AL277" s="30"/>
      <c r="AM277" s="25"/>
      <c r="AN277" s="30"/>
      <c r="AO277" s="25"/>
      <c r="AP277" s="30"/>
      <c r="AQ277" s="25"/>
      <c r="AR277" s="30"/>
      <c r="AS277" s="25"/>
      <c r="AT277" s="30"/>
      <c r="AU277" s="25"/>
      <c r="AV277" s="30"/>
      <c r="AW277" s="25"/>
      <c r="AX277" s="30"/>
      <c r="AY277" s="25"/>
      <c r="AZ277" s="30"/>
      <c r="BA277" s="25"/>
      <c r="BB277" s="30"/>
      <c r="BC277" s="25"/>
      <c r="BD277" s="30"/>
      <c r="BE277" s="25"/>
      <c r="BF277" s="30"/>
      <c r="BG277" s="25"/>
      <c r="BH277" s="30"/>
      <c r="BI277" s="25"/>
      <c r="BJ277" s="30"/>
      <c r="BK277" s="25"/>
      <c r="BL277" s="30"/>
      <c r="BM277" s="25"/>
      <c r="BN277" s="30"/>
      <c r="BO277" s="25"/>
      <c r="BP277" s="30"/>
      <c r="BQ277" s="25"/>
      <c r="BR277" s="30"/>
      <c r="BS277" s="25"/>
      <c r="BT277" s="30"/>
      <c r="BU277" s="25"/>
      <c r="BV277" s="30"/>
      <c r="BW277" s="25"/>
      <c r="BX277" s="30"/>
      <c r="BY277" s="25"/>
      <c r="CA277" s="1" t="str">
        <f t="shared" si="173"/>
        <v/>
      </c>
      <c r="CB277" s="5" t="str">
        <f>IF(E277&lt;&gt;"",CREATE_QUERY($B$1,A$2:AA$2,A277:AA277),"")</f>
        <v/>
      </c>
    </row>
    <row r="278" spans="1:80" ht="17">
      <c r="A278" s="2"/>
      <c r="B278" s="2"/>
      <c r="C278" s="25" t="str">
        <f t="shared" si="171"/>
        <v/>
      </c>
      <c r="D278" s="25"/>
      <c r="E278" s="25"/>
      <c r="F278" s="25" t="str">
        <f t="shared" si="118"/>
        <v/>
      </c>
      <c r="G278" s="25"/>
      <c r="H278" s="2" t="str">
        <f t="shared" si="119"/>
        <v>[[""]]</v>
      </c>
      <c r="I278" s="2" t="str">
        <f t="shared" si="172"/>
        <v/>
      </c>
      <c r="J278" s="2"/>
      <c r="K278" s="2" t="str">
        <f t="shared" ref="K278:K309" si="174">IF(AB278="","",AB278&amp;"="&amp;AC278)&amp;
IF(AD278="","","|"&amp;AD278&amp;"="&amp;AE278)&amp;
IF(AF278="","","|"&amp;AF278&amp;"="&amp;AG278)&amp;
IF(AH278="","","|"&amp;AH278&amp;"="&amp;AI278)&amp;
IF(AJ278="","","|"&amp;AJ278&amp;"="&amp;AK278)&amp;
IF(AL278="","","|"&amp;AL278&amp;"="&amp;AM278)&amp;
IF(AN278="","","|"&amp;AN278&amp;"="&amp;AO278)&amp;
IF(AP278="","","|"&amp;AP278&amp;"="&amp;AQ278)&amp;
IF(AR278="","","|"&amp;AR278&amp;"="&amp;AS278)&amp;
IF(AT278="","","|"&amp;AT278&amp;"="&amp;AU278)&amp;
IF(AV278="","","|"&amp;AV278&amp;"="&amp;AW278)&amp;
IF(AX278="","","|"&amp;AX278&amp;"="&amp;AY278)&amp;
IF(AZ278="","","|"&amp;AZ278&amp;"="&amp;BA278)&amp;
IF(BB278="","","|"&amp;BB278&amp;"="&amp;BC278)&amp;
IF(BD278="","","|"&amp;BD278&amp;"="&amp;BE278)&amp;
IF(BF278="","","|"&amp;BF278&amp;"="&amp;BG278)&amp;
IF(BH278="","","|"&amp;BH278&amp;"="&amp;BI278)&amp;
IF(BJ278="","","|"&amp;BJ278&amp;"="&amp;BK278)&amp;
IF(BL278="","","|"&amp;BL278&amp;"="&amp;BM278)&amp;
IF(BN278="","","|"&amp;BN278&amp;"="&amp;BO278)&amp;
IF(BP278="","","|"&amp;BP278&amp;"="&amp;BS278)&amp;
IF(BZ278="","","|"&amp;BZ278&amp;"="&amp;CA278)</f>
        <v/>
      </c>
      <c r="L278" s="2"/>
      <c r="M278" s="36" t="str">
        <f t="shared" si="120"/>
        <v/>
      </c>
      <c r="N278" s="36" t="str">
        <f t="shared" si="121"/>
        <v/>
      </c>
      <c r="O278" s="36" t="str">
        <f t="shared" si="122"/>
        <v/>
      </c>
      <c r="P278" s="36" t="str">
        <f t="shared" si="123"/>
        <v/>
      </c>
      <c r="Q278" s="35" t="str">
        <f t="shared" si="124"/>
        <v/>
      </c>
      <c r="R278" s="2" t="s">
        <v>921</v>
      </c>
      <c r="S278" s="2"/>
      <c r="T278" s="2"/>
      <c r="U278" s="2"/>
      <c r="V278" s="2"/>
      <c r="W278" s="2"/>
      <c r="X278" s="2"/>
      <c r="Y278" s="2"/>
      <c r="Z278" s="2"/>
      <c r="AA278" s="2"/>
      <c r="AB278" s="30"/>
      <c r="AC278" s="25"/>
      <c r="AD278" s="30"/>
      <c r="AE278" s="25"/>
      <c r="AF278" s="30"/>
      <c r="AG278" s="25"/>
      <c r="AH278" s="30"/>
      <c r="AI278" s="25"/>
      <c r="AJ278" s="30"/>
      <c r="AK278" s="25"/>
      <c r="AL278" s="30"/>
      <c r="AM278" s="25"/>
      <c r="AN278" s="30"/>
      <c r="AO278" s="25"/>
      <c r="AP278" s="30"/>
      <c r="AQ278" s="25"/>
      <c r="AR278" s="30"/>
      <c r="AS278" s="25"/>
      <c r="AT278" s="30"/>
      <c r="AU278" s="25"/>
      <c r="AV278" s="30"/>
      <c r="AW278" s="25"/>
      <c r="AX278" s="30"/>
      <c r="AY278" s="25"/>
      <c r="AZ278" s="30"/>
      <c r="BA278" s="25"/>
      <c r="BB278" s="30"/>
      <c r="BC278" s="25"/>
      <c r="BD278" s="30"/>
      <c r="BE278" s="25"/>
      <c r="BF278" s="30"/>
      <c r="BG278" s="25"/>
      <c r="BH278" s="30"/>
      <c r="BI278" s="25"/>
      <c r="BJ278" s="30"/>
      <c r="BK278" s="25"/>
      <c r="BL278" s="30"/>
      <c r="BM278" s="25"/>
      <c r="BN278" s="30"/>
      <c r="BO278" s="25"/>
      <c r="BP278" s="30"/>
      <c r="BQ278" s="25"/>
      <c r="BR278" s="30"/>
      <c r="BS278" s="25"/>
      <c r="BT278" s="30"/>
      <c r="BU278" s="25"/>
      <c r="BV278" s="30"/>
      <c r="BW278" s="25"/>
      <c r="BX278" s="30"/>
      <c r="BY278" s="25"/>
      <c r="CA278" s="1" t="str">
        <f t="shared" si="173"/>
        <v/>
      </c>
      <c r="CB278" s="5" t="str">
        <f>IF(E278&lt;&gt;"",CREATE_QUERY($B$1,A$2:AA$2,A278:AA278),"")</f>
        <v/>
      </c>
    </row>
    <row r="279" spans="1:80" ht="17">
      <c r="A279" s="2"/>
      <c r="B279" s="2"/>
      <c r="C279" s="25" t="str">
        <f t="shared" si="171"/>
        <v/>
      </c>
      <c r="D279" s="25"/>
      <c r="E279" s="25"/>
      <c r="F279" s="25" t="str">
        <f t="shared" si="118"/>
        <v/>
      </c>
      <c r="G279" s="25"/>
      <c r="H279" s="2" t="str">
        <f t="shared" si="119"/>
        <v>[[""]]</v>
      </c>
      <c r="I279" s="2" t="str">
        <f t="shared" si="172"/>
        <v/>
      </c>
      <c r="J279" s="2"/>
      <c r="K279" s="2" t="str">
        <f t="shared" si="174"/>
        <v/>
      </c>
      <c r="L279" s="2"/>
      <c r="M279" s="36" t="str">
        <f t="shared" si="120"/>
        <v/>
      </c>
      <c r="N279" s="36" t="str">
        <f t="shared" si="121"/>
        <v/>
      </c>
      <c r="O279" s="36" t="str">
        <f t="shared" si="122"/>
        <v/>
      </c>
      <c r="P279" s="36" t="str">
        <f t="shared" si="123"/>
        <v/>
      </c>
      <c r="Q279" s="35" t="str">
        <f t="shared" si="124"/>
        <v/>
      </c>
      <c r="R279" s="2" t="s">
        <v>921</v>
      </c>
      <c r="S279" s="2"/>
      <c r="T279" s="2"/>
      <c r="U279" s="2"/>
      <c r="V279" s="2"/>
      <c r="W279" s="2"/>
      <c r="X279" s="2"/>
      <c r="Y279" s="2"/>
      <c r="Z279" s="2"/>
      <c r="AA279" s="2"/>
      <c r="AB279" s="30"/>
      <c r="AC279" s="25"/>
      <c r="AD279" s="30"/>
      <c r="AE279" s="25"/>
      <c r="AF279" s="30"/>
      <c r="AG279" s="25"/>
      <c r="AH279" s="30"/>
      <c r="AI279" s="25"/>
      <c r="AJ279" s="30"/>
      <c r="AK279" s="25"/>
      <c r="AL279" s="30"/>
      <c r="AM279" s="25"/>
      <c r="AN279" s="30"/>
      <c r="AO279" s="25"/>
      <c r="AP279" s="30"/>
      <c r="AQ279" s="25"/>
      <c r="AR279" s="30"/>
      <c r="AS279" s="25"/>
      <c r="AT279" s="30"/>
      <c r="AU279" s="25"/>
      <c r="AV279" s="30"/>
      <c r="AW279" s="25"/>
      <c r="AX279" s="30"/>
      <c r="AY279" s="25"/>
      <c r="AZ279" s="30"/>
      <c r="BA279" s="25"/>
      <c r="BB279" s="30"/>
      <c r="BC279" s="25"/>
      <c r="BD279" s="30"/>
      <c r="BE279" s="25"/>
      <c r="BF279" s="30"/>
      <c r="BG279" s="25"/>
      <c r="BH279" s="30"/>
      <c r="BI279" s="25"/>
      <c r="BJ279" s="30"/>
      <c r="BK279" s="25"/>
      <c r="BL279" s="30"/>
      <c r="BM279" s="25"/>
      <c r="BN279" s="30"/>
      <c r="BO279" s="25"/>
      <c r="BP279" s="30"/>
      <c r="BQ279" s="25"/>
      <c r="BR279" s="30"/>
      <c r="BS279" s="25"/>
      <c r="BT279" s="30"/>
      <c r="BU279" s="25"/>
      <c r="BV279" s="30"/>
      <c r="BW279" s="25"/>
      <c r="BX279" s="30"/>
      <c r="BY279" s="25"/>
      <c r="CA279" s="1" t="str">
        <f t="shared" si="173"/>
        <v/>
      </c>
      <c r="CB279" s="5" t="str">
        <f>IF(E279&lt;&gt;"",CREATE_QUERY($B$1,A$2:AA$2,A279:AA279),"")</f>
        <v/>
      </c>
    </row>
    <row r="280" spans="1:80" ht="17">
      <c r="A280" s="2"/>
      <c r="B280" s="2"/>
      <c r="C280" s="25" t="str">
        <f t="shared" si="171"/>
        <v/>
      </c>
      <c r="D280" s="25"/>
      <c r="E280" s="25"/>
      <c r="F280" s="25" t="str">
        <f t="shared" si="118"/>
        <v/>
      </c>
      <c r="G280" s="25"/>
      <c r="H280" s="2" t="str">
        <f t="shared" si="119"/>
        <v>[[""]]</v>
      </c>
      <c r="I280" s="2" t="str">
        <f t="shared" si="172"/>
        <v/>
      </c>
      <c r="J280" s="2"/>
      <c r="K280" s="2" t="str">
        <f t="shared" si="174"/>
        <v/>
      </c>
      <c r="L280" s="2"/>
      <c r="M280" s="36" t="str">
        <f t="shared" si="120"/>
        <v/>
      </c>
      <c r="N280" s="36" t="str">
        <f t="shared" si="121"/>
        <v/>
      </c>
      <c r="O280" s="36" t="str">
        <f t="shared" si="122"/>
        <v/>
      </c>
      <c r="P280" s="36" t="str">
        <f t="shared" si="123"/>
        <v/>
      </c>
      <c r="Q280" s="35" t="str">
        <f t="shared" si="124"/>
        <v/>
      </c>
      <c r="R280" s="2" t="s">
        <v>921</v>
      </c>
      <c r="S280" s="2"/>
      <c r="T280" s="2"/>
      <c r="U280" s="2"/>
      <c r="V280" s="2"/>
      <c r="W280" s="2"/>
      <c r="X280" s="2"/>
      <c r="Y280" s="2"/>
      <c r="Z280" s="2"/>
      <c r="AA280" s="2"/>
      <c r="AB280" s="30"/>
      <c r="AC280" s="25"/>
      <c r="AD280" s="30"/>
      <c r="AE280" s="25"/>
      <c r="AF280" s="30"/>
      <c r="AG280" s="25"/>
      <c r="AH280" s="30"/>
      <c r="AI280" s="25"/>
      <c r="AJ280" s="30"/>
      <c r="AK280" s="25"/>
      <c r="AL280" s="30"/>
      <c r="AM280" s="25"/>
      <c r="AN280" s="30"/>
      <c r="AO280" s="25"/>
      <c r="AP280" s="30"/>
      <c r="AQ280" s="25"/>
      <c r="AR280" s="30"/>
      <c r="AS280" s="25"/>
      <c r="AT280" s="30"/>
      <c r="AU280" s="25"/>
      <c r="AV280" s="30"/>
      <c r="AW280" s="25"/>
      <c r="AX280" s="30"/>
      <c r="AY280" s="25"/>
      <c r="AZ280" s="30"/>
      <c r="BA280" s="25"/>
      <c r="BB280" s="30"/>
      <c r="BC280" s="25"/>
      <c r="BD280" s="30"/>
      <c r="BE280" s="25"/>
      <c r="BF280" s="30"/>
      <c r="BG280" s="25"/>
      <c r="BH280" s="30"/>
      <c r="BI280" s="25"/>
      <c r="BJ280" s="30"/>
      <c r="BK280" s="25"/>
      <c r="BL280" s="30"/>
      <c r="BM280" s="25"/>
      <c r="BN280" s="30"/>
      <c r="BO280" s="25"/>
      <c r="BP280" s="30"/>
      <c r="BQ280" s="25"/>
      <c r="BR280" s="30"/>
      <c r="BS280" s="25"/>
      <c r="BT280" s="30"/>
      <c r="BU280" s="25"/>
      <c r="BV280" s="30"/>
      <c r="BW280" s="25"/>
      <c r="BX280" s="30"/>
      <c r="BY280" s="25"/>
      <c r="CA280" s="1" t="str">
        <f t="shared" si="173"/>
        <v/>
      </c>
      <c r="CB280" s="5" t="str">
        <f>IF(E280&lt;&gt;"",CREATE_QUERY($B$1,A$2:AA$2,A280:AA280),"")</f>
        <v/>
      </c>
    </row>
    <row r="281" spans="1:80" ht="17">
      <c r="A281" s="2"/>
      <c r="B281" s="2"/>
      <c r="C281" s="25" t="str">
        <f t="shared" si="171"/>
        <v/>
      </c>
      <c r="D281" s="25"/>
      <c r="E281" s="25"/>
      <c r="F281" s="25" t="str">
        <f t="shared" si="118"/>
        <v/>
      </c>
      <c r="G281" s="25"/>
      <c r="H281" s="2" t="str">
        <f t="shared" si="119"/>
        <v>[[""]]</v>
      </c>
      <c r="I281" s="2" t="str">
        <f t="shared" si="172"/>
        <v/>
      </c>
      <c r="J281" s="2"/>
      <c r="K281" s="2" t="str">
        <f t="shared" si="174"/>
        <v/>
      </c>
      <c r="L281" s="2"/>
      <c r="M281" s="36" t="str">
        <f t="shared" si="120"/>
        <v/>
      </c>
      <c r="N281" s="36" t="str">
        <f t="shared" si="121"/>
        <v/>
      </c>
      <c r="O281" s="36" t="str">
        <f t="shared" si="122"/>
        <v/>
      </c>
      <c r="P281" s="36" t="str">
        <f t="shared" si="123"/>
        <v/>
      </c>
      <c r="Q281" s="35" t="str">
        <f t="shared" si="124"/>
        <v/>
      </c>
      <c r="R281" s="2" t="s">
        <v>921</v>
      </c>
      <c r="S281" s="2"/>
      <c r="T281" s="2"/>
      <c r="U281" s="2"/>
      <c r="V281" s="2"/>
      <c r="W281" s="2"/>
      <c r="X281" s="2"/>
      <c r="Y281" s="2"/>
      <c r="Z281" s="2"/>
      <c r="AA281" s="2"/>
      <c r="AB281" s="30"/>
      <c r="AC281" s="25"/>
      <c r="AD281" s="30"/>
      <c r="AE281" s="25"/>
      <c r="AF281" s="30"/>
      <c r="AG281" s="25"/>
      <c r="AH281" s="30"/>
      <c r="AI281" s="25"/>
      <c r="AJ281" s="30"/>
      <c r="AK281" s="25"/>
      <c r="AL281" s="30"/>
      <c r="AM281" s="25"/>
      <c r="AN281" s="30"/>
      <c r="AO281" s="25"/>
      <c r="AP281" s="30"/>
      <c r="AQ281" s="25"/>
      <c r="AR281" s="30"/>
      <c r="AS281" s="25"/>
      <c r="AT281" s="30"/>
      <c r="AU281" s="25"/>
      <c r="AV281" s="30"/>
      <c r="AW281" s="25"/>
      <c r="AX281" s="30"/>
      <c r="AY281" s="25"/>
      <c r="AZ281" s="30"/>
      <c r="BA281" s="25"/>
      <c r="BB281" s="30"/>
      <c r="BC281" s="25"/>
      <c r="BD281" s="30"/>
      <c r="BE281" s="25"/>
      <c r="BF281" s="30"/>
      <c r="BG281" s="25"/>
      <c r="BH281" s="30"/>
      <c r="BI281" s="25"/>
      <c r="BJ281" s="30"/>
      <c r="BK281" s="25"/>
      <c r="BL281" s="30"/>
      <c r="BM281" s="25"/>
      <c r="BN281" s="30"/>
      <c r="BO281" s="25"/>
      <c r="BP281" s="30"/>
      <c r="BQ281" s="25"/>
      <c r="BR281" s="30"/>
      <c r="BS281" s="25"/>
      <c r="BT281" s="30"/>
      <c r="BU281" s="25"/>
      <c r="BV281" s="30"/>
      <c r="BW281" s="25"/>
      <c r="BX281" s="30"/>
      <c r="BY281" s="25"/>
      <c r="CA281" s="1" t="str">
        <f t="shared" si="173"/>
        <v/>
      </c>
      <c r="CB281" s="5" t="str">
        <f>IF(E281&lt;&gt;"",CREATE_QUERY($B$1,A$2:AA$2,A281:AA281),"")</f>
        <v/>
      </c>
    </row>
    <row r="282" spans="1:80" ht="17">
      <c r="A282" s="2"/>
      <c r="B282" s="2"/>
      <c r="C282" s="25" t="str">
        <f t="shared" si="171"/>
        <v/>
      </c>
      <c r="D282" s="25"/>
      <c r="E282" s="25"/>
      <c r="F282" s="25" t="str">
        <f t="shared" si="118"/>
        <v/>
      </c>
      <c r="G282" s="25"/>
      <c r="H282" s="2" t="str">
        <f t="shared" si="119"/>
        <v>[[""]]</v>
      </c>
      <c r="I282" s="2" t="str">
        <f t="shared" si="172"/>
        <v/>
      </c>
      <c r="J282" s="2"/>
      <c r="K282" s="2" t="str">
        <f t="shared" si="174"/>
        <v/>
      </c>
      <c r="L282" s="2"/>
      <c r="M282" s="36" t="str">
        <f t="shared" si="120"/>
        <v/>
      </c>
      <c r="N282" s="36" t="str">
        <f t="shared" si="121"/>
        <v/>
      </c>
      <c r="O282" s="36" t="str">
        <f t="shared" si="122"/>
        <v/>
      </c>
      <c r="P282" s="36" t="str">
        <f t="shared" si="123"/>
        <v/>
      </c>
      <c r="Q282" s="35" t="str">
        <f t="shared" si="124"/>
        <v/>
      </c>
      <c r="R282" s="2" t="s">
        <v>921</v>
      </c>
      <c r="S282" s="2"/>
      <c r="T282" s="2"/>
      <c r="U282" s="2"/>
      <c r="V282" s="2"/>
      <c r="W282" s="2"/>
      <c r="X282" s="2"/>
      <c r="Y282" s="2"/>
      <c r="Z282" s="2"/>
      <c r="AA282" s="2"/>
      <c r="AB282" s="30"/>
      <c r="AC282" s="25"/>
      <c r="AD282" s="30"/>
      <c r="AE282" s="25"/>
      <c r="AF282" s="30"/>
      <c r="AG282" s="25"/>
      <c r="AH282" s="30"/>
      <c r="AI282" s="25"/>
      <c r="AJ282" s="30"/>
      <c r="AK282" s="25"/>
      <c r="AL282" s="30"/>
      <c r="AM282" s="25"/>
      <c r="AN282" s="30"/>
      <c r="AO282" s="25"/>
      <c r="AP282" s="30"/>
      <c r="AQ282" s="25"/>
      <c r="AR282" s="30"/>
      <c r="AS282" s="25"/>
      <c r="AT282" s="30"/>
      <c r="AU282" s="25"/>
      <c r="AV282" s="30"/>
      <c r="AW282" s="25"/>
      <c r="AX282" s="30"/>
      <c r="AY282" s="25"/>
      <c r="AZ282" s="30"/>
      <c r="BA282" s="25"/>
      <c r="BB282" s="30"/>
      <c r="BC282" s="25"/>
      <c r="BD282" s="30"/>
      <c r="BE282" s="25"/>
      <c r="BF282" s="30"/>
      <c r="BG282" s="25"/>
      <c r="BH282" s="30"/>
      <c r="BI282" s="25"/>
      <c r="BJ282" s="30"/>
      <c r="BK282" s="25"/>
      <c r="BL282" s="30"/>
      <c r="BM282" s="25"/>
      <c r="BN282" s="30"/>
      <c r="BO282" s="25"/>
      <c r="BP282" s="30"/>
      <c r="BQ282" s="25"/>
      <c r="BR282" s="30"/>
      <c r="BS282" s="25"/>
      <c r="BT282" s="30"/>
      <c r="BU282" s="25"/>
      <c r="BV282" s="30"/>
      <c r="BW282" s="25"/>
      <c r="BX282" s="30"/>
      <c r="BY282" s="25"/>
      <c r="CA282" s="1" t="str">
        <f t="shared" si="173"/>
        <v/>
      </c>
      <c r="CB282" s="5" t="str">
        <f>IF(E282&lt;&gt;"",CREATE_QUERY($B$1,A$2:AA$2,A282:AA282),"")</f>
        <v/>
      </c>
    </row>
    <row r="283" spans="1:80" ht="17">
      <c r="A283" s="2"/>
      <c r="B283" s="2"/>
      <c r="C283" s="25" t="str">
        <f t="shared" si="171"/>
        <v/>
      </c>
      <c r="D283" s="25"/>
      <c r="E283" s="25"/>
      <c r="F283" s="25" t="str">
        <f t="shared" si="118"/>
        <v/>
      </c>
      <c r="G283" s="25"/>
      <c r="H283" s="2" t="str">
        <f t="shared" si="119"/>
        <v>[[""]]</v>
      </c>
      <c r="I283" s="2" t="str">
        <f t="shared" si="172"/>
        <v/>
      </c>
      <c r="J283" s="2"/>
      <c r="K283" s="2" t="str">
        <f t="shared" si="174"/>
        <v/>
      </c>
      <c r="L283" s="2"/>
      <c r="M283" s="36" t="str">
        <f t="shared" si="120"/>
        <v/>
      </c>
      <c r="N283" s="36" t="str">
        <f t="shared" si="121"/>
        <v/>
      </c>
      <c r="O283" s="36" t="str">
        <f t="shared" si="122"/>
        <v/>
      </c>
      <c r="P283" s="36" t="str">
        <f t="shared" si="123"/>
        <v/>
      </c>
      <c r="Q283" s="35" t="str">
        <f t="shared" si="124"/>
        <v/>
      </c>
      <c r="R283" s="2" t="s">
        <v>921</v>
      </c>
      <c r="S283" s="2"/>
      <c r="T283" s="2"/>
      <c r="U283" s="2"/>
      <c r="V283" s="2"/>
      <c r="W283" s="2"/>
      <c r="X283" s="2"/>
      <c r="Y283" s="2"/>
      <c r="Z283" s="2"/>
      <c r="AA283" s="2"/>
      <c r="AB283" s="30"/>
      <c r="AC283" s="25"/>
      <c r="AD283" s="30"/>
      <c r="AE283" s="25"/>
      <c r="AF283" s="30"/>
      <c r="AG283" s="25"/>
      <c r="AH283" s="30"/>
      <c r="AI283" s="25"/>
      <c r="AJ283" s="30"/>
      <c r="AK283" s="25"/>
      <c r="AL283" s="30"/>
      <c r="AM283" s="25"/>
      <c r="AN283" s="30"/>
      <c r="AO283" s="25"/>
      <c r="AP283" s="30"/>
      <c r="AQ283" s="25"/>
      <c r="AR283" s="30"/>
      <c r="AS283" s="25"/>
      <c r="AT283" s="30"/>
      <c r="AU283" s="25"/>
      <c r="AV283" s="30"/>
      <c r="AW283" s="25"/>
      <c r="AX283" s="30"/>
      <c r="AY283" s="25"/>
      <c r="AZ283" s="30"/>
      <c r="BA283" s="25"/>
      <c r="BB283" s="30"/>
      <c r="BC283" s="25"/>
      <c r="BD283" s="30"/>
      <c r="BE283" s="25"/>
      <c r="BF283" s="30"/>
      <c r="BG283" s="25"/>
      <c r="BH283" s="30"/>
      <c r="BI283" s="25"/>
      <c r="BJ283" s="30"/>
      <c r="BK283" s="25"/>
      <c r="BL283" s="30"/>
      <c r="BM283" s="25"/>
      <c r="BN283" s="30"/>
      <c r="BO283" s="25"/>
      <c r="BP283" s="30"/>
      <c r="BQ283" s="25"/>
      <c r="BR283" s="30"/>
      <c r="BS283" s="25"/>
      <c r="BT283" s="30"/>
      <c r="BU283" s="25"/>
      <c r="BV283" s="30"/>
      <c r="BW283" s="25"/>
      <c r="BX283" s="30"/>
      <c r="BY283" s="25"/>
      <c r="CA283" s="1" t="str">
        <f t="shared" si="173"/>
        <v/>
      </c>
      <c r="CB283" s="5" t="str">
        <f>IF(E283&lt;&gt;"",CREATE_QUERY($B$1,A$2:AA$2,A283:AA283),"")</f>
        <v/>
      </c>
    </row>
    <row r="284" spans="1:80" ht="17">
      <c r="A284" s="2"/>
      <c r="B284" s="2"/>
      <c r="C284" s="25" t="str">
        <f t="shared" si="171"/>
        <v/>
      </c>
      <c r="D284" s="25"/>
      <c r="E284" s="25"/>
      <c r="F284" s="25" t="str">
        <f t="shared" si="118"/>
        <v/>
      </c>
      <c r="G284" s="25"/>
      <c r="H284" s="2" t="str">
        <f t="shared" si="119"/>
        <v>[[""]]</v>
      </c>
      <c r="I284" s="2" t="str">
        <f t="shared" si="172"/>
        <v/>
      </c>
      <c r="J284" s="2"/>
      <c r="K284" s="2" t="str">
        <f t="shared" si="174"/>
        <v/>
      </c>
      <c r="L284" s="2"/>
      <c r="M284" s="36" t="str">
        <f t="shared" si="120"/>
        <v/>
      </c>
      <c r="N284" s="36" t="str">
        <f t="shared" si="121"/>
        <v/>
      </c>
      <c r="O284" s="36" t="str">
        <f t="shared" si="122"/>
        <v/>
      </c>
      <c r="P284" s="36" t="str">
        <f t="shared" si="123"/>
        <v/>
      </c>
      <c r="Q284" s="35" t="str">
        <f t="shared" si="124"/>
        <v/>
      </c>
      <c r="R284" s="2" t="s">
        <v>921</v>
      </c>
      <c r="S284" s="2"/>
      <c r="T284" s="2"/>
      <c r="U284" s="2"/>
      <c r="V284" s="2"/>
      <c r="W284" s="2"/>
      <c r="X284" s="2"/>
      <c r="Y284" s="2"/>
      <c r="Z284" s="2"/>
      <c r="AA284" s="2"/>
      <c r="AB284" s="30"/>
      <c r="AC284" s="25"/>
      <c r="AD284" s="30"/>
      <c r="AE284" s="25"/>
      <c r="AF284" s="30"/>
      <c r="AG284" s="25"/>
      <c r="AH284" s="30"/>
      <c r="AI284" s="25"/>
      <c r="AJ284" s="30"/>
      <c r="AK284" s="25"/>
      <c r="AL284" s="30"/>
      <c r="AM284" s="25"/>
      <c r="AN284" s="30"/>
      <c r="AO284" s="25"/>
      <c r="AP284" s="30"/>
      <c r="AQ284" s="25"/>
      <c r="AR284" s="30"/>
      <c r="AS284" s="25"/>
      <c r="AT284" s="30"/>
      <c r="AU284" s="25"/>
      <c r="AV284" s="30"/>
      <c r="AW284" s="25"/>
      <c r="AX284" s="30"/>
      <c r="AY284" s="25"/>
      <c r="AZ284" s="30"/>
      <c r="BA284" s="25"/>
      <c r="BB284" s="30"/>
      <c r="BC284" s="25"/>
      <c r="BD284" s="30"/>
      <c r="BE284" s="25"/>
      <c r="BF284" s="30"/>
      <c r="BG284" s="25"/>
      <c r="BH284" s="30"/>
      <c r="BI284" s="25"/>
      <c r="BJ284" s="30"/>
      <c r="BK284" s="25"/>
      <c r="BL284" s="30"/>
      <c r="BM284" s="25"/>
      <c r="BN284" s="30"/>
      <c r="BO284" s="25"/>
      <c r="BP284" s="30"/>
      <c r="BQ284" s="25"/>
      <c r="BR284" s="30"/>
      <c r="BS284" s="25"/>
      <c r="BT284" s="30"/>
      <c r="BU284" s="25"/>
      <c r="BV284" s="30"/>
      <c r="BW284" s="25"/>
      <c r="BX284" s="30"/>
      <c r="BY284" s="25"/>
      <c r="CA284" s="1" t="str">
        <f t="shared" si="173"/>
        <v/>
      </c>
      <c r="CB284" s="5" t="str">
        <f>IF(E284&lt;&gt;"",CREATE_QUERY($B$1,A$2:AA$2,A284:AA284),"")</f>
        <v/>
      </c>
    </row>
    <row r="285" spans="1:80" ht="17">
      <c r="A285" s="2"/>
      <c r="B285" s="2"/>
      <c r="C285" s="25" t="str">
        <f t="shared" si="171"/>
        <v/>
      </c>
      <c r="D285" s="25"/>
      <c r="E285" s="25"/>
      <c r="F285" s="25" t="str">
        <f t="shared" si="118"/>
        <v/>
      </c>
      <c r="G285" s="25"/>
      <c r="H285" s="2" t="str">
        <f t="shared" si="119"/>
        <v>[[""]]</v>
      </c>
      <c r="I285" s="2" t="str">
        <f t="shared" si="172"/>
        <v/>
      </c>
      <c r="J285" s="2"/>
      <c r="K285" s="2" t="str">
        <f t="shared" si="174"/>
        <v/>
      </c>
      <c r="L285" s="2"/>
      <c r="M285" s="36" t="str">
        <f t="shared" si="120"/>
        <v/>
      </c>
      <c r="N285" s="36" t="str">
        <f t="shared" si="121"/>
        <v/>
      </c>
      <c r="O285" s="36" t="str">
        <f t="shared" si="122"/>
        <v/>
      </c>
      <c r="P285" s="36" t="str">
        <f t="shared" si="123"/>
        <v/>
      </c>
      <c r="Q285" s="35" t="str">
        <f t="shared" si="124"/>
        <v/>
      </c>
      <c r="R285" s="2" t="s">
        <v>921</v>
      </c>
      <c r="S285" s="2"/>
      <c r="T285" s="2"/>
      <c r="U285" s="2"/>
      <c r="V285" s="2"/>
      <c r="W285" s="2"/>
      <c r="X285" s="2"/>
      <c r="Y285" s="2"/>
      <c r="Z285" s="2"/>
      <c r="AA285" s="2"/>
      <c r="AB285" s="30"/>
      <c r="AC285" s="25"/>
      <c r="AD285" s="30"/>
      <c r="AE285" s="25"/>
      <c r="AF285" s="30"/>
      <c r="AG285" s="25"/>
      <c r="AH285" s="30"/>
      <c r="AI285" s="25"/>
      <c r="AJ285" s="30"/>
      <c r="AK285" s="25"/>
      <c r="AL285" s="30"/>
      <c r="AM285" s="25"/>
      <c r="AN285" s="30"/>
      <c r="AO285" s="25"/>
      <c r="AP285" s="30"/>
      <c r="AQ285" s="25"/>
      <c r="AR285" s="30"/>
      <c r="AS285" s="25"/>
      <c r="AT285" s="30"/>
      <c r="AU285" s="25"/>
      <c r="AV285" s="30"/>
      <c r="AW285" s="25"/>
      <c r="AX285" s="30"/>
      <c r="AY285" s="25"/>
      <c r="AZ285" s="30"/>
      <c r="BA285" s="25"/>
      <c r="BB285" s="30"/>
      <c r="BC285" s="25"/>
      <c r="BD285" s="30"/>
      <c r="BE285" s="25"/>
      <c r="BF285" s="30"/>
      <c r="BG285" s="25"/>
      <c r="BH285" s="30"/>
      <c r="BI285" s="25"/>
      <c r="BJ285" s="30"/>
      <c r="BK285" s="25"/>
      <c r="BL285" s="30"/>
      <c r="BM285" s="25"/>
      <c r="BN285" s="30"/>
      <c r="BO285" s="25"/>
      <c r="BP285" s="30"/>
      <c r="BQ285" s="25"/>
      <c r="BR285" s="30"/>
      <c r="BS285" s="25"/>
      <c r="BT285" s="30"/>
      <c r="BU285" s="25"/>
      <c r="BV285" s="30"/>
      <c r="BW285" s="25"/>
      <c r="BX285" s="30"/>
      <c r="BY285" s="25"/>
      <c r="CA285" s="1" t="str">
        <f t="shared" si="173"/>
        <v/>
      </c>
      <c r="CB285" s="5" t="str">
        <f>IF(E285&lt;&gt;"",CREATE_QUERY($B$1,A$2:AA$2,A285:AA285),"")</f>
        <v/>
      </c>
    </row>
    <row r="286" spans="1:80" ht="17">
      <c r="A286" s="2"/>
      <c r="B286" s="2"/>
      <c r="C286" s="25" t="str">
        <f t="shared" si="171"/>
        <v/>
      </c>
      <c r="D286" s="25"/>
      <c r="E286" s="25"/>
      <c r="F286" s="25" t="str">
        <f t="shared" si="118"/>
        <v/>
      </c>
      <c r="G286" s="25"/>
      <c r="H286" s="2" t="str">
        <f t="shared" si="119"/>
        <v>[[""]]</v>
      </c>
      <c r="I286" s="2" t="str">
        <f t="shared" si="172"/>
        <v/>
      </c>
      <c r="J286" s="2"/>
      <c r="K286" s="2" t="str">
        <f t="shared" si="174"/>
        <v/>
      </c>
      <c r="L286" s="2"/>
      <c r="M286" s="36" t="str">
        <f t="shared" si="120"/>
        <v/>
      </c>
      <c r="N286" s="36" t="str">
        <f t="shared" si="121"/>
        <v/>
      </c>
      <c r="O286" s="36" t="str">
        <f t="shared" si="122"/>
        <v/>
      </c>
      <c r="P286" s="36" t="str">
        <f t="shared" si="123"/>
        <v/>
      </c>
      <c r="Q286" s="35" t="str">
        <f t="shared" si="124"/>
        <v/>
      </c>
      <c r="R286" s="2" t="s">
        <v>921</v>
      </c>
      <c r="S286" s="2"/>
      <c r="T286" s="2"/>
      <c r="U286" s="2"/>
      <c r="V286" s="2"/>
      <c r="W286" s="2"/>
      <c r="X286" s="2"/>
      <c r="Y286" s="2"/>
      <c r="Z286" s="2"/>
      <c r="AA286" s="2"/>
      <c r="AB286" s="30"/>
      <c r="AC286" s="25"/>
      <c r="AD286" s="30"/>
      <c r="AE286" s="25"/>
      <c r="AF286" s="30"/>
      <c r="AG286" s="25"/>
      <c r="AH286" s="30"/>
      <c r="AI286" s="25"/>
      <c r="AJ286" s="30"/>
      <c r="AK286" s="25"/>
      <c r="AL286" s="30"/>
      <c r="AM286" s="25"/>
      <c r="AN286" s="30"/>
      <c r="AO286" s="25"/>
      <c r="AP286" s="30"/>
      <c r="AQ286" s="25"/>
      <c r="AR286" s="30"/>
      <c r="AS286" s="25"/>
      <c r="AT286" s="30"/>
      <c r="AU286" s="25"/>
      <c r="AV286" s="30"/>
      <c r="AW286" s="25"/>
      <c r="AX286" s="30"/>
      <c r="AY286" s="25"/>
      <c r="AZ286" s="30"/>
      <c r="BA286" s="25"/>
      <c r="BB286" s="30"/>
      <c r="BC286" s="25"/>
      <c r="BD286" s="30"/>
      <c r="BE286" s="25"/>
      <c r="BF286" s="30"/>
      <c r="BG286" s="25"/>
      <c r="BH286" s="30"/>
      <c r="BI286" s="25"/>
      <c r="BJ286" s="30"/>
      <c r="BK286" s="25"/>
      <c r="BL286" s="30"/>
      <c r="BM286" s="25"/>
      <c r="BN286" s="30"/>
      <c r="BO286" s="25"/>
      <c r="BP286" s="30"/>
      <c r="BQ286" s="25"/>
      <c r="BR286" s="30"/>
      <c r="BS286" s="25"/>
      <c r="BT286" s="30"/>
      <c r="BU286" s="25"/>
      <c r="BV286" s="30"/>
      <c r="BW286" s="25"/>
      <c r="BX286" s="30"/>
      <c r="BY286" s="25"/>
      <c r="CA286" s="1" t="str">
        <f t="shared" si="173"/>
        <v/>
      </c>
      <c r="CB286" s="5" t="str">
        <f>IF(E286&lt;&gt;"",CREATE_QUERY($B$1,A$2:AA$2,A286:AA286),"")</f>
        <v/>
      </c>
    </row>
    <row r="287" spans="1:80" ht="17">
      <c r="A287" s="2"/>
      <c r="B287" s="2"/>
      <c r="C287" s="25" t="str">
        <f t="shared" si="171"/>
        <v/>
      </c>
      <c r="D287" s="25"/>
      <c r="E287" s="25"/>
      <c r="F287" s="25" t="str">
        <f t="shared" si="118"/>
        <v/>
      </c>
      <c r="G287" s="25"/>
      <c r="H287" s="2" t="str">
        <f t="shared" si="119"/>
        <v>[[""]]</v>
      </c>
      <c r="I287" s="2" t="str">
        <f t="shared" si="172"/>
        <v/>
      </c>
      <c r="J287" s="2"/>
      <c r="K287" s="2" t="str">
        <f t="shared" si="174"/>
        <v/>
      </c>
      <c r="L287" s="2"/>
      <c r="M287" s="36" t="str">
        <f t="shared" si="120"/>
        <v/>
      </c>
      <c r="N287" s="36" t="str">
        <f t="shared" si="121"/>
        <v/>
      </c>
      <c r="O287" s="36" t="str">
        <f t="shared" si="122"/>
        <v/>
      </c>
      <c r="P287" s="36" t="str">
        <f t="shared" si="123"/>
        <v/>
      </c>
      <c r="Q287" s="35" t="str">
        <f t="shared" si="124"/>
        <v/>
      </c>
      <c r="R287" s="2" t="s">
        <v>921</v>
      </c>
      <c r="S287" s="2"/>
      <c r="T287" s="2"/>
      <c r="U287" s="2"/>
      <c r="V287" s="2"/>
      <c r="W287" s="2"/>
      <c r="X287" s="2"/>
      <c r="Y287" s="2"/>
      <c r="Z287" s="2"/>
      <c r="AA287" s="2"/>
      <c r="AB287" s="30"/>
      <c r="AC287" s="25"/>
      <c r="AD287" s="30"/>
      <c r="AE287" s="25"/>
      <c r="AF287" s="30"/>
      <c r="AG287" s="25"/>
      <c r="AH287" s="30"/>
      <c r="AI287" s="25"/>
      <c r="AJ287" s="30"/>
      <c r="AK287" s="25"/>
      <c r="AL287" s="30"/>
      <c r="AM287" s="25"/>
      <c r="AN287" s="30"/>
      <c r="AO287" s="25"/>
      <c r="AP287" s="30"/>
      <c r="AQ287" s="25"/>
      <c r="AR287" s="30"/>
      <c r="AS287" s="25"/>
      <c r="AT287" s="30"/>
      <c r="AU287" s="25"/>
      <c r="AV287" s="30"/>
      <c r="AW287" s="25"/>
      <c r="AX287" s="30"/>
      <c r="AY287" s="25"/>
      <c r="AZ287" s="30"/>
      <c r="BA287" s="25"/>
      <c r="BB287" s="30"/>
      <c r="BC287" s="25"/>
      <c r="BD287" s="30"/>
      <c r="BE287" s="25"/>
      <c r="BF287" s="30"/>
      <c r="BG287" s="25"/>
      <c r="BH287" s="30"/>
      <c r="BI287" s="25"/>
      <c r="BJ287" s="30"/>
      <c r="BK287" s="25"/>
      <c r="BL287" s="30"/>
      <c r="BM287" s="25"/>
      <c r="BN287" s="30"/>
      <c r="BO287" s="25"/>
      <c r="BP287" s="30"/>
      <c r="BQ287" s="25"/>
      <c r="BR287" s="30"/>
      <c r="BS287" s="25"/>
      <c r="BT287" s="30"/>
      <c r="BU287" s="25"/>
      <c r="BV287" s="30"/>
      <c r="BW287" s="25"/>
      <c r="BX287" s="30"/>
      <c r="BY287" s="25"/>
      <c r="CA287" s="1" t="str">
        <f t="shared" si="173"/>
        <v/>
      </c>
      <c r="CB287" s="5" t="str">
        <f>IF(E287&lt;&gt;"",CREATE_QUERY($B$1,A$2:AA$2,A287:AA287),"")</f>
        <v/>
      </c>
    </row>
    <row r="288" spans="1:80" ht="17">
      <c r="A288" s="2"/>
      <c r="B288" s="2"/>
      <c r="C288" s="25" t="str">
        <f t="shared" si="171"/>
        <v/>
      </c>
      <c r="D288" s="25"/>
      <c r="E288" s="25"/>
      <c r="F288" s="25" t="str">
        <f t="shared" si="118"/>
        <v/>
      </c>
      <c r="G288" s="25"/>
      <c r="H288" s="2" t="str">
        <f t="shared" si="119"/>
        <v>[[""]]</v>
      </c>
      <c r="I288" s="2" t="str">
        <f t="shared" si="172"/>
        <v/>
      </c>
      <c r="J288" s="2"/>
      <c r="K288" s="2" t="str">
        <f t="shared" si="174"/>
        <v/>
      </c>
      <c r="L288" s="2"/>
      <c r="M288" s="36" t="str">
        <f t="shared" si="120"/>
        <v/>
      </c>
      <c r="N288" s="36" t="str">
        <f t="shared" si="121"/>
        <v/>
      </c>
      <c r="O288" s="36" t="str">
        <f t="shared" si="122"/>
        <v/>
      </c>
      <c r="P288" s="36" t="str">
        <f t="shared" si="123"/>
        <v/>
      </c>
      <c r="Q288" s="35" t="str">
        <f t="shared" si="124"/>
        <v/>
      </c>
      <c r="R288" s="2" t="s">
        <v>921</v>
      </c>
      <c r="S288" s="2"/>
      <c r="T288" s="2"/>
      <c r="U288" s="2"/>
      <c r="V288" s="2"/>
      <c r="W288" s="2"/>
      <c r="X288" s="2"/>
      <c r="Y288" s="2"/>
      <c r="Z288" s="2"/>
      <c r="AA288" s="2"/>
      <c r="AB288" s="30"/>
      <c r="AC288" s="25"/>
      <c r="AD288" s="30"/>
      <c r="AE288" s="25"/>
      <c r="AF288" s="30"/>
      <c r="AG288" s="25"/>
      <c r="AH288" s="30"/>
      <c r="AI288" s="25"/>
      <c r="AJ288" s="30"/>
      <c r="AK288" s="25"/>
      <c r="AL288" s="30"/>
      <c r="AM288" s="25"/>
      <c r="AN288" s="30"/>
      <c r="AO288" s="25"/>
      <c r="AP288" s="30"/>
      <c r="AQ288" s="25"/>
      <c r="AR288" s="30"/>
      <c r="AS288" s="25"/>
      <c r="AT288" s="30"/>
      <c r="AU288" s="25"/>
      <c r="AV288" s="30"/>
      <c r="AW288" s="25"/>
      <c r="AX288" s="30"/>
      <c r="AY288" s="25"/>
      <c r="AZ288" s="30"/>
      <c r="BA288" s="25"/>
      <c r="BB288" s="30"/>
      <c r="BC288" s="25"/>
      <c r="BD288" s="30"/>
      <c r="BE288" s="25"/>
      <c r="BF288" s="30"/>
      <c r="BG288" s="25"/>
      <c r="BH288" s="30"/>
      <c r="BI288" s="25"/>
      <c r="BJ288" s="30"/>
      <c r="BK288" s="25"/>
      <c r="BL288" s="30"/>
      <c r="BM288" s="25"/>
      <c r="BN288" s="30"/>
      <c r="BO288" s="25"/>
      <c r="BP288" s="30"/>
      <c r="BQ288" s="25"/>
      <c r="BR288" s="30"/>
      <c r="BS288" s="25"/>
      <c r="BT288" s="30"/>
      <c r="BU288" s="25"/>
      <c r="BV288" s="30"/>
      <c r="BW288" s="25"/>
      <c r="BX288" s="30"/>
      <c r="BY288" s="25"/>
      <c r="CA288" s="1" t="str">
        <f t="shared" si="173"/>
        <v/>
      </c>
      <c r="CB288" s="5" t="str">
        <f>IF(E288&lt;&gt;"",CREATE_QUERY($B$1,A$2:AA$2,A288:AA288),"")</f>
        <v/>
      </c>
    </row>
    <row r="289" spans="1:80" ht="17">
      <c r="A289" s="2"/>
      <c r="B289" s="2"/>
      <c r="C289" s="25" t="str">
        <f t="shared" si="171"/>
        <v/>
      </c>
      <c r="D289" s="25"/>
      <c r="E289" s="25"/>
      <c r="F289" s="25" t="str">
        <f t="shared" si="118"/>
        <v/>
      </c>
      <c r="G289" s="25"/>
      <c r="H289" s="2" t="str">
        <f t="shared" si="119"/>
        <v>[[""]]</v>
      </c>
      <c r="I289" s="2" t="str">
        <f t="shared" si="172"/>
        <v/>
      </c>
      <c r="J289" s="2"/>
      <c r="K289" s="2" t="str">
        <f t="shared" si="174"/>
        <v/>
      </c>
      <c r="L289" s="2"/>
      <c r="M289" s="36" t="str">
        <f t="shared" si="120"/>
        <v/>
      </c>
      <c r="N289" s="36" t="str">
        <f t="shared" si="121"/>
        <v/>
      </c>
      <c r="O289" s="36" t="str">
        <f t="shared" si="122"/>
        <v/>
      </c>
      <c r="P289" s="36" t="str">
        <f t="shared" si="123"/>
        <v/>
      </c>
      <c r="Q289" s="35" t="str">
        <f t="shared" si="124"/>
        <v/>
      </c>
      <c r="R289" s="2" t="s">
        <v>921</v>
      </c>
      <c r="S289" s="2"/>
      <c r="T289" s="2"/>
      <c r="U289" s="2"/>
      <c r="V289" s="2"/>
      <c r="W289" s="2"/>
      <c r="X289" s="2"/>
      <c r="Y289" s="2"/>
      <c r="Z289" s="2"/>
      <c r="AA289" s="2"/>
      <c r="AB289" s="30"/>
      <c r="AC289" s="25"/>
      <c r="AD289" s="30"/>
      <c r="AE289" s="25"/>
      <c r="AF289" s="30"/>
      <c r="AG289" s="25"/>
      <c r="AH289" s="30"/>
      <c r="AI289" s="25"/>
      <c r="AJ289" s="30"/>
      <c r="AK289" s="25"/>
      <c r="AL289" s="30"/>
      <c r="AM289" s="25"/>
      <c r="AN289" s="30"/>
      <c r="AO289" s="25"/>
      <c r="AP289" s="30"/>
      <c r="AQ289" s="25"/>
      <c r="AR289" s="30"/>
      <c r="AS289" s="25"/>
      <c r="AT289" s="30"/>
      <c r="AU289" s="25"/>
      <c r="AV289" s="30"/>
      <c r="AW289" s="25"/>
      <c r="AX289" s="30"/>
      <c r="AY289" s="25"/>
      <c r="AZ289" s="30"/>
      <c r="BA289" s="25"/>
      <c r="BB289" s="30"/>
      <c r="BC289" s="25"/>
      <c r="BD289" s="30"/>
      <c r="BE289" s="25"/>
      <c r="BF289" s="30"/>
      <c r="BG289" s="25"/>
      <c r="BH289" s="30"/>
      <c r="BI289" s="25"/>
      <c r="BJ289" s="30"/>
      <c r="BK289" s="25"/>
      <c r="BL289" s="30"/>
      <c r="BM289" s="25"/>
      <c r="BN289" s="30"/>
      <c r="BO289" s="25"/>
      <c r="BP289" s="30"/>
      <c r="BQ289" s="25"/>
      <c r="BR289" s="30"/>
      <c r="BS289" s="25"/>
      <c r="BT289" s="30"/>
      <c r="BU289" s="25"/>
      <c r="BV289" s="30"/>
      <c r="BW289" s="25"/>
      <c r="BX289" s="30"/>
      <c r="BY289" s="25"/>
      <c r="CA289" s="1" t="str">
        <f t="shared" si="173"/>
        <v/>
      </c>
      <c r="CB289" s="5" t="str">
        <f>IF(E289&lt;&gt;"",CREATE_QUERY($B$1,A$2:AA$2,A289:AA289),"")</f>
        <v/>
      </c>
    </row>
    <row r="290" spans="1:80" ht="17">
      <c r="A290" s="2"/>
      <c r="B290" s="2"/>
      <c r="C290" s="25" t="str">
        <f t="shared" si="171"/>
        <v/>
      </c>
      <c r="D290" s="25"/>
      <c r="E290" s="25"/>
      <c r="F290" s="25" t="str">
        <f t="shared" si="118"/>
        <v/>
      </c>
      <c r="G290" s="25"/>
      <c r="H290" s="2" t="str">
        <f t="shared" si="119"/>
        <v>[[""]]</v>
      </c>
      <c r="I290" s="2" t="str">
        <f t="shared" si="172"/>
        <v/>
      </c>
      <c r="J290" s="2"/>
      <c r="K290" s="2" t="str">
        <f t="shared" si="174"/>
        <v/>
      </c>
      <c r="L290" s="2"/>
      <c r="M290" s="36" t="str">
        <f t="shared" si="120"/>
        <v/>
      </c>
      <c r="N290" s="36" t="str">
        <f t="shared" si="121"/>
        <v/>
      </c>
      <c r="O290" s="36" t="str">
        <f t="shared" si="122"/>
        <v/>
      </c>
      <c r="P290" s="36" t="str">
        <f t="shared" si="123"/>
        <v/>
      </c>
      <c r="Q290" s="35" t="str">
        <f t="shared" si="124"/>
        <v/>
      </c>
      <c r="R290" s="2" t="s">
        <v>921</v>
      </c>
      <c r="S290" s="2"/>
      <c r="T290" s="2"/>
      <c r="U290" s="2"/>
      <c r="V290" s="2"/>
      <c r="W290" s="2"/>
      <c r="X290" s="2"/>
      <c r="Y290" s="2"/>
      <c r="Z290" s="2"/>
      <c r="AA290" s="2"/>
      <c r="AB290" s="30"/>
      <c r="AC290" s="25"/>
      <c r="AD290" s="30"/>
      <c r="AE290" s="25"/>
      <c r="AF290" s="30"/>
      <c r="AG290" s="25"/>
      <c r="AH290" s="30"/>
      <c r="AI290" s="25"/>
      <c r="AJ290" s="30"/>
      <c r="AK290" s="25"/>
      <c r="AL290" s="30"/>
      <c r="AM290" s="25"/>
      <c r="AN290" s="30"/>
      <c r="AO290" s="25"/>
      <c r="AP290" s="30"/>
      <c r="AQ290" s="25"/>
      <c r="AR290" s="30"/>
      <c r="AS290" s="25"/>
      <c r="AT290" s="30"/>
      <c r="AU290" s="25"/>
      <c r="AV290" s="30"/>
      <c r="AW290" s="25"/>
      <c r="AX290" s="30"/>
      <c r="AY290" s="25"/>
      <c r="AZ290" s="30"/>
      <c r="BA290" s="25"/>
      <c r="BB290" s="30"/>
      <c r="BC290" s="25"/>
      <c r="BD290" s="30"/>
      <c r="BE290" s="25"/>
      <c r="BF290" s="30"/>
      <c r="BG290" s="25"/>
      <c r="BH290" s="30"/>
      <c r="BI290" s="25"/>
      <c r="BJ290" s="30"/>
      <c r="BK290" s="25"/>
      <c r="BL290" s="30"/>
      <c r="BM290" s="25"/>
      <c r="BN290" s="30"/>
      <c r="BO290" s="25"/>
      <c r="BP290" s="30"/>
      <c r="BQ290" s="25"/>
      <c r="BR290" s="30"/>
      <c r="BS290" s="25"/>
      <c r="BT290" s="30"/>
      <c r="BU290" s="25"/>
      <c r="BV290" s="30"/>
      <c r="BW290" s="25"/>
      <c r="BX290" s="30"/>
      <c r="BY290" s="25"/>
      <c r="CA290" s="1" t="str">
        <f t="shared" si="173"/>
        <v/>
      </c>
      <c r="CB290" s="5" t="str">
        <f>IF(E290&lt;&gt;"",CREATE_QUERY($B$1,A$2:AA$2,A290:AA290),"")</f>
        <v/>
      </c>
    </row>
    <row r="291" spans="1:80" ht="17">
      <c r="A291" s="2"/>
      <c r="B291" s="2"/>
      <c r="C291" s="25" t="str">
        <f t="shared" si="171"/>
        <v/>
      </c>
      <c r="D291" s="25"/>
      <c r="E291" s="25"/>
      <c r="F291" s="25" t="str">
        <f t="shared" si="118"/>
        <v/>
      </c>
      <c r="G291" s="25"/>
      <c r="H291" s="2" t="str">
        <f t="shared" si="119"/>
        <v>[[""]]</v>
      </c>
      <c r="I291" s="2" t="str">
        <f t="shared" si="172"/>
        <v/>
      </c>
      <c r="J291" s="2"/>
      <c r="K291" s="2" t="str">
        <f t="shared" si="174"/>
        <v/>
      </c>
      <c r="L291" s="2"/>
      <c r="M291" s="36" t="str">
        <f t="shared" si="120"/>
        <v/>
      </c>
      <c r="N291" s="36" t="str">
        <f t="shared" si="121"/>
        <v/>
      </c>
      <c r="O291" s="36" t="str">
        <f t="shared" si="122"/>
        <v/>
      </c>
      <c r="P291" s="36" t="str">
        <f t="shared" si="123"/>
        <v/>
      </c>
      <c r="Q291" s="35" t="str">
        <f t="shared" si="124"/>
        <v/>
      </c>
      <c r="R291" s="2" t="s">
        <v>921</v>
      </c>
      <c r="S291" s="2"/>
      <c r="T291" s="2"/>
      <c r="U291" s="2"/>
      <c r="V291" s="2"/>
      <c r="W291" s="2"/>
      <c r="X291" s="2"/>
      <c r="Y291" s="2"/>
      <c r="Z291" s="2"/>
      <c r="AA291" s="2"/>
      <c r="AB291" s="30"/>
      <c r="AC291" s="25"/>
      <c r="AD291" s="30"/>
      <c r="AE291" s="25"/>
      <c r="AF291" s="30"/>
      <c r="AG291" s="25"/>
      <c r="AH291" s="30"/>
      <c r="AI291" s="25"/>
      <c r="AJ291" s="30"/>
      <c r="AK291" s="25"/>
      <c r="AL291" s="30"/>
      <c r="AM291" s="25"/>
      <c r="AN291" s="30"/>
      <c r="AO291" s="25"/>
      <c r="AP291" s="30"/>
      <c r="AQ291" s="25"/>
      <c r="AR291" s="30"/>
      <c r="AS291" s="25"/>
      <c r="AT291" s="30"/>
      <c r="AU291" s="25"/>
      <c r="AV291" s="30"/>
      <c r="AW291" s="25"/>
      <c r="AX291" s="30"/>
      <c r="AY291" s="25"/>
      <c r="AZ291" s="30"/>
      <c r="BA291" s="25"/>
      <c r="BB291" s="30"/>
      <c r="BC291" s="25"/>
      <c r="BD291" s="30"/>
      <c r="BE291" s="25"/>
      <c r="BF291" s="30"/>
      <c r="BG291" s="25"/>
      <c r="BH291" s="30"/>
      <c r="BI291" s="25"/>
      <c r="BJ291" s="30"/>
      <c r="BK291" s="25"/>
      <c r="BL291" s="30"/>
      <c r="BM291" s="25"/>
      <c r="BN291" s="30"/>
      <c r="BO291" s="25"/>
      <c r="BP291" s="30"/>
      <c r="BQ291" s="25"/>
      <c r="BR291" s="30"/>
      <c r="BS291" s="25"/>
      <c r="BT291" s="30"/>
      <c r="BU291" s="25"/>
      <c r="BV291" s="30"/>
      <c r="BW291" s="25"/>
      <c r="BX291" s="30"/>
      <c r="BY291" s="25"/>
      <c r="CA291" s="1" t="str">
        <f t="shared" si="173"/>
        <v/>
      </c>
      <c r="CB291" s="5" t="str">
        <f>IF(E291&lt;&gt;"",CREATE_QUERY($B$1,A$2:AA$2,A291:AA291),"")</f>
        <v/>
      </c>
    </row>
    <row r="292" spans="1:80" ht="17">
      <c r="A292" s="2"/>
      <c r="B292" s="2"/>
      <c r="C292" s="25" t="str">
        <f t="shared" si="171"/>
        <v/>
      </c>
      <c r="D292" s="25"/>
      <c r="E292" s="25"/>
      <c r="F292" s="25" t="str">
        <f t="shared" si="118"/>
        <v/>
      </c>
      <c r="G292" s="25"/>
      <c r="H292" s="2" t="str">
        <f t="shared" si="119"/>
        <v>[[""]]</v>
      </c>
      <c r="I292" s="2" t="str">
        <f t="shared" si="172"/>
        <v/>
      </c>
      <c r="J292" s="2"/>
      <c r="K292" s="2" t="str">
        <f t="shared" si="174"/>
        <v/>
      </c>
      <c r="L292" s="2"/>
      <c r="M292" s="36" t="str">
        <f t="shared" si="120"/>
        <v/>
      </c>
      <c r="N292" s="36" t="str">
        <f t="shared" si="121"/>
        <v/>
      </c>
      <c r="O292" s="36" t="str">
        <f t="shared" si="122"/>
        <v/>
      </c>
      <c r="P292" s="36" t="str">
        <f t="shared" si="123"/>
        <v/>
      </c>
      <c r="Q292" s="35" t="str">
        <f t="shared" si="124"/>
        <v/>
      </c>
      <c r="R292" s="2" t="s">
        <v>921</v>
      </c>
      <c r="S292" s="2"/>
      <c r="T292" s="2"/>
      <c r="U292" s="2"/>
      <c r="V292" s="2"/>
      <c r="W292" s="2"/>
      <c r="X292" s="2"/>
      <c r="Y292" s="2"/>
      <c r="Z292" s="2"/>
      <c r="AA292" s="2"/>
      <c r="AB292" s="30"/>
      <c r="AC292" s="25"/>
      <c r="AD292" s="30"/>
      <c r="AE292" s="25"/>
      <c r="AF292" s="30"/>
      <c r="AG292" s="25"/>
      <c r="AH292" s="30"/>
      <c r="AI292" s="25"/>
      <c r="AJ292" s="30"/>
      <c r="AK292" s="25"/>
      <c r="AL292" s="30"/>
      <c r="AM292" s="25"/>
      <c r="AN292" s="30"/>
      <c r="AO292" s="25"/>
      <c r="AP292" s="30"/>
      <c r="AQ292" s="25"/>
      <c r="AR292" s="30"/>
      <c r="AS292" s="25"/>
      <c r="AT292" s="30"/>
      <c r="AU292" s="25"/>
      <c r="AV292" s="30"/>
      <c r="AW292" s="25"/>
      <c r="AX292" s="30"/>
      <c r="AY292" s="25"/>
      <c r="AZ292" s="30"/>
      <c r="BA292" s="25"/>
      <c r="BB292" s="30"/>
      <c r="BC292" s="25"/>
      <c r="BD292" s="30"/>
      <c r="BE292" s="25"/>
      <c r="BF292" s="30"/>
      <c r="BG292" s="25"/>
      <c r="BH292" s="30"/>
      <c r="BI292" s="25"/>
      <c r="BJ292" s="30"/>
      <c r="BK292" s="25"/>
      <c r="BL292" s="30"/>
      <c r="BM292" s="25"/>
      <c r="BN292" s="30"/>
      <c r="BO292" s="25"/>
      <c r="BP292" s="30"/>
      <c r="BQ292" s="25"/>
      <c r="BR292" s="30"/>
      <c r="BS292" s="25"/>
      <c r="BT292" s="30"/>
      <c r="BU292" s="25"/>
      <c r="BV292" s="30"/>
      <c r="BW292" s="25"/>
      <c r="BX292" s="30"/>
      <c r="BY292" s="25"/>
      <c r="CA292" s="1" t="str">
        <f t="shared" si="173"/>
        <v/>
      </c>
      <c r="CB292" s="5" t="str">
        <f>IF(E292&lt;&gt;"",CREATE_QUERY($B$1,A$2:AA$2,A292:AA292),"")</f>
        <v/>
      </c>
    </row>
    <row r="293" spans="1:80" ht="17">
      <c r="A293" s="2"/>
      <c r="B293" s="2"/>
      <c r="C293" s="25" t="str">
        <f t="shared" si="171"/>
        <v/>
      </c>
      <c r="D293" s="25"/>
      <c r="E293" s="25"/>
      <c r="F293" s="25" t="str">
        <f t="shared" si="118"/>
        <v/>
      </c>
      <c r="G293" s="25"/>
      <c r="H293" s="2" t="str">
        <f t="shared" si="119"/>
        <v>[[""]]</v>
      </c>
      <c r="I293" s="2" t="str">
        <f t="shared" si="172"/>
        <v/>
      </c>
      <c r="J293" s="2"/>
      <c r="K293" s="2" t="str">
        <f t="shared" si="174"/>
        <v/>
      </c>
      <c r="L293" s="2"/>
      <c r="M293" s="36" t="str">
        <f t="shared" si="120"/>
        <v/>
      </c>
      <c r="N293" s="36" t="str">
        <f t="shared" si="121"/>
        <v/>
      </c>
      <c r="O293" s="36" t="str">
        <f t="shared" si="122"/>
        <v/>
      </c>
      <c r="P293" s="36" t="str">
        <f t="shared" si="123"/>
        <v/>
      </c>
      <c r="Q293" s="35" t="str">
        <f t="shared" si="124"/>
        <v/>
      </c>
      <c r="R293" s="2" t="s">
        <v>921</v>
      </c>
      <c r="S293" s="2"/>
      <c r="T293" s="2"/>
      <c r="U293" s="2"/>
      <c r="V293" s="2"/>
      <c r="W293" s="2"/>
      <c r="X293" s="2"/>
      <c r="Y293" s="2"/>
      <c r="Z293" s="2"/>
      <c r="AA293" s="2"/>
      <c r="AB293" s="30"/>
      <c r="AC293" s="25"/>
      <c r="AD293" s="30"/>
      <c r="AE293" s="25"/>
      <c r="AF293" s="30"/>
      <c r="AG293" s="25"/>
      <c r="AH293" s="30"/>
      <c r="AI293" s="25"/>
      <c r="AJ293" s="30"/>
      <c r="AK293" s="25"/>
      <c r="AL293" s="30"/>
      <c r="AM293" s="25"/>
      <c r="AN293" s="30"/>
      <c r="AO293" s="25"/>
      <c r="AP293" s="30"/>
      <c r="AQ293" s="25"/>
      <c r="AR293" s="30"/>
      <c r="AS293" s="25"/>
      <c r="AT293" s="30"/>
      <c r="AU293" s="25"/>
      <c r="AV293" s="30"/>
      <c r="AW293" s="25"/>
      <c r="AX293" s="30"/>
      <c r="AY293" s="25"/>
      <c r="AZ293" s="30"/>
      <c r="BA293" s="25"/>
      <c r="BB293" s="30"/>
      <c r="BC293" s="25"/>
      <c r="BD293" s="30"/>
      <c r="BE293" s="25"/>
      <c r="BF293" s="30"/>
      <c r="BG293" s="25"/>
      <c r="BH293" s="30"/>
      <c r="BI293" s="25"/>
      <c r="BJ293" s="30"/>
      <c r="BK293" s="25"/>
      <c r="BL293" s="30"/>
      <c r="BM293" s="25"/>
      <c r="BN293" s="30"/>
      <c r="BO293" s="25"/>
      <c r="BP293" s="30"/>
      <c r="BQ293" s="25"/>
      <c r="BR293" s="30"/>
      <c r="BS293" s="25"/>
      <c r="BT293" s="30"/>
      <c r="BU293" s="25"/>
      <c r="BV293" s="30"/>
      <c r="BW293" s="25"/>
      <c r="BX293" s="30"/>
      <c r="BY293" s="25"/>
      <c r="CA293" s="1" t="str">
        <f t="shared" si="173"/>
        <v/>
      </c>
      <c r="CB293" s="5" t="str">
        <f>IF(E293&lt;&gt;"",CREATE_QUERY($B$1,A$2:AA$2,A293:AA293),"")</f>
        <v/>
      </c>
    </row>
    <row r="294" spans="1:80" ht="17">
      <c r="A294" s="2"/>
      <c r="B294" s="2"/>
      <c r="C294" s="25" t="str">
        <f t="shared" si="171"/>
        <v/>
      </c>
      <c r="D294" s="25"/>
      <c r="E294" s="25"/>
      <c r="F294" s="25" t="str">
        <f t="shared" si="118"/>
        <v/>
      </c>
      <c r="G294" s="25"/>
      <c r="H294" s="2" t="str">
        <f t="shared" si="119"/>
        <v>[[""]]</v>
      </c>
      <c r="I294" s="2" t="str">
        <f t="shared" si="172"/>
        <v/>
      </c>
      <c r="J294" s="2"/>
      <c r="K294" s="2" t="str">
        <f t="shared" si="174"/>
        <v/>
      </c>
      <c r="L294" s="2"/>
      <c r="M294" s="36" t="str">
        <f t="shared" si="120"/>
        <v/>
      </c>
      <c r="N294" s="36" t="str">
        <f t="shared" si="121"/>
        <v/>
      </c>
      <c r="O294" s="36" t="str">
        <f t="shared" si="122"/>
        <v/>
      </c>
      <c r="P294" s="36" t="str">
        <f t="shared" si="123"/>
        <v/>
      </c>
      <c r="Q294" s="35" t="str">
        <f t="shared" si="124"/>
        <v/>
      </c>
      <c r="R294" s="2" t="s">
        <v>921</v>
      </c>
      <c r="S294" s="2"/>
      <c r="T294" s="2"/>
      <c r="U294" s="2"/>
      <c r="V294" s="2"/>
      <c r="W294" s="2"/>
      <c r="X294" s="2"/>
      <c r="Y294" s="2"/>
      <c r="Z294" s="2"/>
      <c r="AA294" s="2"/>
      <c r="AB294" s="30"/>
      <c r="AC294" s="25"/>
      <c r="AD294" s="30"/>
      <c r="AE294" s="25"/>
      <c r="AF294" s="30"/>
      <c r="AG294" s="25"/>
      <c r="AH294" s="30"/>
      <c r="AI294" s="25"/>
      <c r="AJ294" s="30"/>
      <c r="AK294" s="25"/>
      <c r="AL294" s="30"/>
      <c r="AM294" s="25"/>
      <c r="AN294" s="30"/>
      <c r="AO294" s="25"/>
      <c r="AP294" s="30"/>
      <c r="AQ294" s="25"/>
      <c r="AR294" s="30"/>
      <c r="AS294" s="25"/>
      <c r="AT294" s="30"/>
      <c r="AU294" s="25"/>
      <c r="AV294" s="30"/>
      <c r="AW294" s="25"/>
      <c r="AX294" s="30"/>
      <c r="AY294" s="25"/>
      <c r="AZ294" s="30"/>
      <c r="BA294" s="25"/>
      <c r="BB294" s="30"/>
      <c r="BC294" s="25"/>
      <c r="BD294" s="30"/>
      <c r="BE294" s="25"/>
      <c r="BF294" s="30"/>
      <c r="BG294" s="25"/>
      <c r="BH294" s="30"/>
      <c r="BI294" s="25"/>
      <c r="BJ294" s="30"/>
      <c r="BK294" s="25"/>
      <c r="BL294" s="30"/>
      <c r="BM294" s="25"/>
      <c r="BN294" s="30"/>
      <c r="BO294" s="25"/>
      <c r="BP294" s="30"/>
      <c r="BQ294" s="25"/>
      <c r="BR294" s="30"/>
      <c r="BS294" s="25"/>
      <c r="BT294" s="30"/>
      <c r="BU294" s="25"/>
      <c r="BV294" s="30"/>
      <c r="BW294" s="25"/>
      <c r="BX294" s="30"/>
      <c r="BY294" s="25"/>
      <c r="CA294" s="1" t="str">
        <f t="shared" si="173"/>
        <v/>
      </c>
      <c r="CB294" s="5" t="str">
        <f>IF(E294&lt;&gt;"",CREATE_QUERY($B$1,A$2:AA$2,A294:AA294),"")</f>
        <v/>
      </c>
    </row>
    <row r="295" spans="1:80" ht="17">
      <c r="A295" s="2"/>
      <c r="B295" s="2"/>
      <c r="C295" s="25" t="str">
        <f t="shared" si="171"/>
        <v/>
      </c>
      <c r="D295" s="25"/>
      <c r="E295" s="25"/>
      <c r="F295" s="25" t="str">
        <f t="shared" si="118"/>
        <v/>
      </c>
      <c r="G295" s="25"/>
      <c r="H295" s="2" t="str">
        <f t="shared" si="119"/>
        <v>[[""]]</v>
      </c>
      <c r="I295" s="2" t="str">
        <f t="shared" si="172"/>
        <v/>
      </c>
      <c r="J295" s="2"/>
      <c r="K295" s="2" t="str">
        <f t="shared" si="174"/>
        <v/>
      </c>
      <c r="L295" s="2"/>
      <c r="M295" s="36" t="str">
        <f t="shared" si="120"/>
        <v/>
      </c>
      <c r="N295" s="36" t="str">
        <f t="shared" si="121"/>
        <v/>
      </c>
      <c r="O295" s="36" t="str">
        <f t="shared" si="122"/>
        <v/>
      </c>
      <c r="P295" s="36" t="str">
        <f t="shared" si="123"/>
        <v/>
      </c>
      <c r="Q295" s="35" t="str">
        <f t="shared" si="124"/>
        <v/>
      </c>
      <c r="R295" s="2" t="s">
        <v>921</v>
      </c>
      <c r="S295" s="2"/>
      <c r="T295" s="2"/>
      <c r="U295" s="2"/>
      <c r="V295" s="2"/>
      <c r="W295" s="2"/>
      <c r="X295" s="2"/>
      <c r="Y295" s="2"/>
      <c r="Z295" s="2"/>
      <c r="AA295" s="2"/>
      <c r="AB295" s="30"/>
      <c r="AC295" s="25"/>
      <c r="AD295" s="30"/>
      <c r="AE295" s="25"/>
      <c r="AF295" s="30"/>
      <c r="AG295" s="25"/>
      <c r="AH295" s="30"/>
      <c r="AI295" s="25"/>
      <c r="AJ295" s="30"/>
      <c r="AK295" s="25"/>
      <c r="AL295" s="30"/>
      <c r="AM295" s="25"/>
      <c r="AN295" s="30"/>
      <c r="AO295" s="25"/>
      <c r="AP295" s="30"/>
      <c r="AQ295" s="25"/>
      <c r="AR295" s="30"/>
      <c r="AS295" s="25"/>
      <c r="AT295" s="30"/>
      <c r="AU295" s="25"/>
      <c r="AV295" s="30"/>
      <c r="AW295" s="25"/>
      <c r="AX295" s="30"/>
      <c r="AY295" s="25"/>
      <c r="AZ295" s="30"/>
      <c r="BA295" s="25"/>
      <c r="BB295" s="30"/>
      <c r="BC295" s="25"/>
      <c r="BD295" s="30"/>
      <c r="BE295" s="25"/>
      <c r="BF295" s="30"/>
      <c r="BG295" s="25"/>
      <c r="BH295" s="30"/>
      <c r="BI295" s="25"/>
      <c r="BJ295" s="30"/>
      <c r="BK295" s="25"/>
      <c r="BL295" s="30"/>
      <c r="BM295" s="25"/>
      <c r="BN295" s="30"/>
      <c r="BO295" s="25"/>
      <c r="BP295" s="30"/>
      <c r="BQ295" s="25"/>
      <c r="BR295" s="30"/>
      <c r="BS295" s="25"/>
      <c r="BT295" s="30"/>
      <c r="BU295" s="25"/>
      <c r="BV295" s="30"/>
      <c r="BW295" s="25"/>
      <c r="BX295" s="30"/>
      <c r="BY295" s="25"/>
      <c r="CA295" s="1" t="str">
        <f t="shared" si="173"/>
        <v/>
      </c>
      <c r="CB295" s="5" t="str">
        <f>IF(E295&lt;&gt;"",CREATE_QUERY($B$1,A$2:AA$2,A295:AA295),"")</f>
        <v/>
      </c>
    </row>
    <row r="296" spans="1:80" ht="17">
      <c r="A296" s="2"/>
      <c r="B296" s="2"/>
      <c r="C296" s="25" t="str">
        <f t="shared" si="171"/>
        <v/>
      </c>
      <c r="D296" s="25"/>
      <c r="E296" s="25"/>
      <c r="F296" s="25" t="str">
        <f t="shared" si="118"/>
        <v/>
      </c>
      <c r="G296" s="25"/>
      <c r="H296" s="2" t="str">
        <f t="shared" si="119"/>
        <v>[[""]]</v>
      </c>
      <c r="I296" s="2" t="str">
        <f t="shared" si="172"/>
        <v/>
      </c>
      <c r="J296" s="2"/>
      <c r="K296" s="2" t="str">
        <f t="shared" si="174"/>
        <v/>
      </c>
      <c r="L296" s="2"/>
      <c r="M296" s="36" t="str">
        <f t="shared" si="120"/>
        <v/>
      </c>
      <c r="N296" s="36" t="str">
        <f t="shared" si="121"/>
        <v/>
      </c>
      <c r="O296" s="36" t="str">
        <f t="shared" si="122"/>
        <v/>
      </c>
      <c r="P296" s="36" t="str">
        <f t="shared" si="123"/>
        <v/>
      </c>
      <c r="Q296" s="35" t="str">
        <f t="shared" si="124"/>
        <v/>
      </c>
      <c r="R296" s="2" t="s">
        <v>921</v>
      </c>
      <c r="S296" s="2"/>
      <c r="T296" s="2"/>
      <c r="U296" s="2"/>
      <c r="V296" s="2"/>
      <c r="W296" s="2"/>
      <c r="X296" s="2"/>
      <c r="Y296" s="2"/>
      <c r="Z296" s="2"/>
      <c r="AA296" s="2"/>
      <c r="AB296" s="30"/>
      <c r="AC296" s="25"/>
      <c r="AD296" s="30"/>
      <c r="AE296" s="25"/>
      <c r="AF296" s="30"/>
      <c r="AG296" s="25"/>
      <c r="AH296" s="30"/>
      <c r="AI296" s="25"/>
      <c r="AJ296" s="30"/>
      <c r="AK296" s="25"/>
      <c r="AL296" s="30"/>
      <c r="AM296" s="25"/>
      <c r="AN296" s="30"/>
      <c r="AO296" s="25"/>
      <c r="AP296" s="30"/>
      <c r="AQ296" s="25"/>
      <c r="AR296" s="30"/>
      <c r="AS296" s="25"/>
      <c r="AT296" s="30"/>
      <c r="AU296" s="25"/>
      <c r="AV296" s="30"/>
      <c r="AW296" s="25"/>
      <c r="AX296" s="30"/>
      <c r="AY296" s="25"/>
      <c r="AZ296" s="30"/>
      <c r="BA296" s="25"/>
      <c r="BB296" s="30"/>
      <c r="BC296" s="25"/>
      <c r="BD296" s="30"/>
      <c r="BE296" s="25"/>
      <c r="BF296" s="30"/>
      <c r="BG296" s="25"/>
      <c r="BH296" s="30"/>
      <c r="BI296" s="25"/>
      <c r="BJ296" s="30"/>
      <c r="BK296" s="25"/>
      <c r="BL296" s="30"/>
      <c r="BM296" s="25"/>
      <c r="BN296" s="30"/>
      <c r="BO296" s="25"/>
      <c r="BP296" s="30"/>
      <c r="BQ296" s="25"/>
      <c r="BR296" s="30"/>
      <c r="BS296" s="25"/>
      <c r="BT296" s="30"/>
      <c r="BU296" s="25"/>
      <c r="BV296" s="30"/>
      <c r="BW296" s="25"/>
      <c r="BX296" s="30"/>
      <c r="BY296" s="25"/>
      <c r="CA296" s="1" t="str">
        <f t="shared" si="173"/>
        <v/>
      </c>
      <c r="CB296" s="5" t="str">
        <f>IF(E296&lt;&gt;"",CREATE_QUERY($B$1,A$2:AA$2,A296:AA296),"")</f>
        <v/>
      </c>
    </row>
    <row r="297" spans="1:80" ht="17">
      <c r="A297" s="2"/>
      <c r="B297" s="2"/>
      <c r="C297" s="25" t="str">
        <f t="shared" si="171"/>
        <v/>
      </c>
      <c r="D297" s="25"/>
      <c r="E297" s="25"/>
      <c r="F297" s="25" t="str">
        <f t="shared" ref="F297:F360" si="175">IF(A297="","","gb")</f>
        <v/>
      </c>
      <c r="G297" s="25"/>
      <c r="H297" s="2" t="str">
        <f t="shared" ref="H297:H360" si="176">"[["""&amp;
SUBSTITUTE(SUBSTITUTE(I297,":",""",""")," ","""],[""")
&amp;"""]]"</f>
        <v>[[""]]</v>
      </c>
      <c r="I297" s="2" t="str">
        <f t="shared" si="172"/>
        <v/>
      </c>
      <c r="J297" s="2"/>
      <c r="K297" s="2" t="str">
        <f t="shared" si="174"/>
        <v/>
      </c>
      <c r="L297" s="2"/>
      <c r="M297" s="36" t="str">
        <f t="shared" ref="M297:M360" si="177">IF(A297="","","0")</f>
        <v/>
      </c>
      <c r="N297" s="36" t="str">
        <f t="shared" ref="N297:N360" si="178">IF(B297="","","0")</f>
        <v/>
      </c>
      <c r="O297" s="36" t="str">
        <f t="shared" ref="O297:O360" si="179">IF(C297="","","0")</f>
        <v/>
      </c>
      <c r="P297" s="36" t="str">
        <f t="shared" ref="P297:P360" si="180">IF(D297="","","0")</f>
        <v/>
      </c>
      <c r="Q297" s="35" t="str">
        <f t="shared" ref="Q297:Q360" si="181">IF(D297="","",D297&amp;" "&amp;E297&amp;" "&amp;H297)</f>
        <v/>
      </c>
      <c r="R297" s="2" t="s">
        <v>921</v>
      </c>
      <c r="S297" s="2"/>
      <c r="T297" s="2"/>
      <c r="U297" s="2"/>
      <c r="V297" s="2"/>
      <c r="W297" s="2"/>
      <c r="X297" s="2"/>
      <c r="Y297" s="2"/>
      <c r="Z297" s="2"/>
      <c r="AA297" s="2"/>
      <c r="AB297" s="30"/>
      <c r="AC297" s="25"/>
      <c r="AD297" s="30"/>
      <c r="AE297" s="25"/>
      <c r="AF297" s="30"/>
      <c r="AG297" s="25"/>
      <c r="AH297" s="30"/>
      <c r="AI297" s="25"/>
      <c r="AJ297" s="30"/>
      <c r="AK297" s="25"/>
      <c r="AL297" s="30"/>
      <c r="AM297" s="25"/>
      <c r="AN297" s="30"/>
      <c r="AO297" s="25"/>
      <c r="AP297" s="30"/>
      <c r="AQ297" s="25"/>
      <c r="AR297" s="30"/>
      <c r="AS297" s="25"/>
      <c r="AT297" s="30"/>
      <c r="AU297" s="25"/>
      <c r="AV297" s="30"/>
      <c r="AW297" s="25"/>
      <c r="AX297" s="30"/>
      <c r="AY297" s="25"/>
      <c r="AZ297" s="30"/>
      <c r="BA297" s="25"/>
      <c r="BB297" s="30"/>
      <c r="BC297" s="25"/>
      <c r="BD297" s="30"/>
      <c r="BE297" s="25"/>
      <c r="BF297" s="30"/>
      <c r="BG297" s="25"/>
      <c r="BH297" s="30"/>
      <c r="BI297" s="25"/>
      <c r="BJ297" s="30"/>
      <c r="BK297" s="25"/>
      <c r="BL297" s="30"/>
      <c r="BM297" s="25"/>
      <c r="BN297" s="30"/>
      <c r="BO297" s="25"/>
      <c r="BP297" s="30"/>
      <c r="BQ297" s="25"/>
      <c r="BR297" s="30"/>
      <c r="BS297" s="25"/>
      <c r="BT297" s="30"/>
      <c r="BU297" s="25"/>
      <c r="BV297" s="30"/>
      <c r="BW297" s="25"/>
      <c r="BX297" s="30"/>
      <c r="BY297" s="25"/>
      <c r="CA297" s="1" t="str">
        <f t="shared" si="173"/>
        <v/>
      </c>
      <c r="CB297" s="5" t="str">
        <f>IF(E297&lt;&gt;"",CREATE_QUERY($B$1,A$2:AA$2,A297:AA297),"")</f>
        <v/>
      </c>
    </row>
    <row r="298" spans="1:80" ht="17">
      <c r="A298" s="2"/>
      <c r="B298" s="2"/>
      <c r="C298" s="25" t="str">
        <f t="shared" si="171"/>
        <v/>
      </c>
      <c r="D298" s="25"/>
      <c r="E298" s="25"/>
      <c r="F298" s="25" t="str">
        <f t="shared" si="175"/>
        <v/>
      </c>
      <c r="G298" s="25"/>
      <c r="H298" s="2" t="str">
        <f t="shared" si="176"/>
        <v>[[""]]</v>
      </c>
      <c r="I298" s="2" t="str">
        <f t="shared" si="172"/>
        <v/>
      </c>
      <c r="J298" s="2"/>
      <c r="K298" s="2" t="str">
        <f t="shared" si="174"/>
        <v/>
      </c>
      <c r="L298" s="2"/>
      <c r="M298" s="36" t="str">
        <f t="shared" si="177"/>
        <v/>
      </c>
      <c r="N298" s="36" t="str">
        <f t="shared" si="178"/>
        <v/>
      </c>
      <c r="O298" s="36" t="str">
        <f t="shared" si="179"/>
        <v/>
      </c>
      <c r="P298" s="36" t="str">
        <f t="shared" si="180"/>
        <v/>
      </c>
      <c r="Q298" s="35" t="str">
        <f t="shared" si="181"/>
        <v/>
      </c>
      <c r="R298" s="2" t="s">
        <v>921</v>
      </c>
      <c r="S298" s="2"/>
      <c r="T298" s="2"/>
      <c r="U298" s="2"/>
      <c r="V298" s="2"/>
      <c r="W298" s="2"/>
      <c r="X298" s="2"/>
      <c r="Y298" s="2"/>
      <c r="Z298" s="2"/>
      <c r="AA298" s="2"/>
      <c r="AB298" s="30"/>
      <c r="AC298" s="25"/>
      <c r="AD298" s="30"/>
      <c r="AE298" s="25"/>
      <c r="AF298" s="30"/>
      <c r="AG298" s="25"/>
      <c r="AH298" s="30"/>
      <c r="AI298" s="25"/>
      <c r="AJ298" s="30"/>
      <c r="AK298" s="25"/>
      <c r="AL298" s="30"/>
      <c r="AM298" s="25"/>
      <c r="AN298" s="30"/>
      <c r="AO298" s="25"/>
      <c r="AP298" s="30"/>
      <c r="AQ298" s="25"/>
      <c r="AR298" s="30"/>
      <c r="AS298" s="25"/>
      <c r="AT298" s="30"/>
      <c r="AU298" s="25"/>
      <c r="AV298" s="30"/>
      <c r="AW298" s="25"/>
      <c r="AX298" s="30"/>
      <c r="AY298" s="25"/>
      <c r="AZ298" s="30"/>
      <c r="BA298" s="25"/>
      <c r="BB298" s="30"/>
      <c r="BC298" s="25"/>
      <c r="BD298" s="30"/>
      <c r="BE298" s="25"/>
      <c r="BF298" s="30"/>
      <c r="BG298" s="25"/>
      <c r="BH298" s="30"/>
      <c r="BI298" s="25"/>
      <c r="BJ298" s="30"/>
      <c r="BK298" s="25"/>
      <c r="BL298" s="30"/>
      <c r="BM298" s="25"/>
      <c r="BN298" s="30"/>
      <c r="BO298" s="25"/>
      <c r="BP298" s="30"/>
      <c r="BQ298" s="25"/>
      <c r="BR298" s="30"/>
      <c r="BS298" s="25"/>
      <c r="BT298" s="30"/>
      <c r="BU298" s="25"/>
      <c r="BV298" s="30"/>
      <c r="BW298" s="25"/>
      <c r="BX298" s="30"/>
      <c r="BY298" s="25"/>
      <c r="CA298" s="1" t="str">
        <f t="shared" si="173"/>
        <v/>
      </c>
      <c r="CB298" s="5" t="str">
        <f>IF(E298&lt;&gt;"",CREATE_QUERY($B$1,A$2:AA$2,A298:AA298),"")</f>
        <v/>
      </c>
    </row>
    <row r="299" spans="1:80" ht="17">
      <c r="A299" s="2"/>
      <c r="B299" s="2"/>
      <c r="C299" s="25" t="str">
        <f t="shared" si="171"/>
        <v/>
      </c>
      <c r="D299" s="25"/>
      <c r="E299" s="25"/>
      <c r="F299" s="25" t="str">
        <f t="shared" si="175"/>
        <v/>
      </c>
      <c r="G299" s="25"/>
      <c r="H299" s="2" t="str">
        <f t="shared" si="176"/>
        <v>[[""]]</v>
      </c>
      <c r="I299" s="2" t="str">
        <f t="shared" si="172"/>
        <v/>
      </c>
      <c r="J299" s="2"/>
      <c r="K299" s="2" t="str">
        <f t="shared" si="174"/>
        <v/>
      </c>
      <c r="L299" s="2"/>
      <c r="M299" s="36" t="str">
        <f t="shared" si="177"/>
        <v/>
      </c>
      <c r="N299" s="36" t="str">
        <f t="shared" si="178"/>
        <v/>
      </c>
      <c r="O299" s="36" t="str">
        <f t="shared" si="179"/>
        <v/>
      </c>
      <c r="P299" s="36" t="str">
        <f t="shared" si="180"/>
        <v/>
      </c>
      <c r="Q299" s="35" t="str">
        <f t="shared" si="181"/>
        <v/>
      </c>
      <c r="R299" s="2" t="s">
        <v>921</v>
      </c>
      <c r="S299" s="2"/>
      <c r="T299" s="2"/>
      <c r="U299" s="2"/>
      <c r="V299" s="2"/>
      <c r="W299" s="2"/>
      <c r="X299" s="2"/>
      <c r="Y299" s="2"/>
      <c r="Z299" s="2"/>
      <c r="AA299" s="2"/>
      <c r="AB299" s="30"/>
      <c r="AC299" s="25"/>
      <c r="AD299" s="30"/>
      <c r="AE299" s="25"/>
      <c r="AF299" s="30"/>
      <c r="AG299" s="25"/>
      <c r="AH299" s="30"/>
      <c r="AI299" s="25"/>
      <c r="AJ299" s="30"/>
      <c r="AK299" s="25"/>
      <c r="AL299" s="30"/>
      <c r="AM299" s="25"/>
      <c r="AN299" s="30"/>
      <c r="AO299" s="25"/>
      <c r="AP299" s="30"/>
      <c r="AQ299" s="25"/>
      <c r="AR299" s="30"/>
      <c r="AS299" s="25"/>
      <c r="AT299" s="30"/>
      <c r="AU299" s="25"/>
      <c r="AV299" s="30"/>
      <c r="AW299" s="25"/>
      <c r="AX299" s="30"/>
      <c r="AY299" s="25"/>
      <c r="AZ299" s="30"/>
      <c r="BA299" s="25"/>
      <c r="BB299" s="30"/>
      <c r="BC299" s="25"/>
      <c r="BD299" s="30"/>
      <c r="BE299" s="25"/>
      <c r="BF299" s="30"/>
      <c r="BG299" s="25"/>
      <c r="BH299" s="30"/>
      <c r="BI299" s="25"/>
      <c r="BJ299" s="30"/>
      <c r="BK299" s="25"/>
      <c r="BL299" s="30"/>
      <c r="BM299" s="25"/>
      <c r="BN299" s="30"/>
      <c r="BO299" s="25"/>
      <c r="BP299" s="30"/>
      <c r="BQ299" s="25"/>
      <c r="BR299" s="30"/>
      <c r="BS299" s="25"/>
      <c r="BT299" s="30"/>
      <c r="BU299" s="25"/>
      <c r="BV299" s="30"/>
      <c r="BW299" s="25"/>
      <c r="BX299" s="30"/>
      <c r="BY299" s="25"/>
      <c r="CA299" s="1" t="str">
        <f t="shared" si="173"/>
        <v/>
      </c>
      <c r="CB299" s="5" t="str">
        <f>IF(E299&lt;&gt;"",CREATE_QUERY($B$1,A$2:AA$2,A299:AA299),"")</f>
        <v/>
      </c>
    </row>
    <row r="300" spans="1:80" ht="17">
      <c r="A300" s="2"/>
      <c r="B300" s="2"/>
      <c r="C300" s="25" t="str">
        <f t="shared" si="171"/>
        <v/>
      </c>
      <c r="D300" s="25"/>
      <c r="E300" s="25"/>
      <c r="F300" s="25" t="str">
        <f t="shared" si="175"/>
        <v/>
      </c>
      <c r="G300" s="25"/>
      <c r="H300" s="2" t="str">
        <f t="shared" si="176"/>
        <v>[[""]]</v>
      </c>
      <c r="I300" s="2" t="str">
        <f t="shared" si="172"/>
        <v/>
      </c>
      <c r="J300" s="2"/>
      <c r="K300" s="2" t="str">
        <f t="shared" si="174"/>
        <v/>
      </c>
      <c r="L300" s="2"/>
      <c r="M300" s="36" t="str">
        <f t="shared" si="177"/>
        <v/>
      </c>
      <c r="N300" s="36" t="str">
        <f t="shared" si="178"/>
        <v/>
      </c>
      <c r="O300" s="36" t="str">
        <f t="shared" si="179"/>
        <v/>
      </c>
      <c r="P300" s="36" t="str">
        <f t="shared" si="180"/>
        <v/>
      </c>
      <c r="Q300" s="35" t="str">
        <f t="shared" si="181"/>
        <v/>
      </c>
      <c r="R300" s="2" t="s">
        <v>921</v>
      </c>
      <c r="S300" s="2"/>
      <c r="T300" s="2"/>
      <c r="U300" s="2"/>
      <c r="V300" s="2"/>
      <c r="W300" s="2"/>
      <c r="X300" s="2"/>
      <c r="Y300" s="2"/>
      <c r="Z300" s="2"/>
      <c r="AA300" s="2"/>
      <c r="AB300" s="30"/>
      <c r="AC300" s="25"/>
      <c r="AD300" s="30"/>
      <c r="AE300" s="25"/>
      <c r="AF300" s="30"/>
      <c r="AG300" s="25"/>
      <c r="AH300" s="30"/>
      <c r="AI300" s="25"/>
      <c r="AJ300" s="30"/>
      <c r="AK300" s="25"/>
      <c r="AL300" s="30"/>
      <c r="AM300" s="25"/>
      <c r="AN300" s="30"/>
      <c r="AO300" s="25"/>
      <c r="AP300" s="30"/>
      <c r="AQ300" s="25"/>
      <c r="AR300" s="30"/>
      <c r="AS300" s="25"/>
      <c r="AT300" s="30"/>
      <c r="AU300" s="25"/>
      <c r="AV300" s="30"/>
      <c r="AW300" s="25"/>
      <c r="AX300" s="30"/>
      <c r="AY300" s="25"/>
      <c r="AZ300" s="30"/>
      <c r="BA300" s="25"/>
      <c r="BB300" s="30"/>
      <c r="BC300" s="25"/>
      <c r="BD300" s="30"/>
      <c r="BE300" s="25"/>
      <c r="BF300" s="30"/>
      <c r="BG300" s="25"/>
      <c r="BH300" s="30"/>
      <c r="BI300" s="25"/>
      <c r="BJ300" s="30"/>
      <c r="BK300" s="25"/>
      <c r="BL300" s="30"/>
      <c r="BM300" s="25"/>
      <c r="BN300" s="30"/>
      <c r="BO300" s="25"/>
      <c r="BP300" s="30"/>
      <c r="BQ300" s="25"/>
      <c r="BR300" s="30"/>
      <c r="BS300" s="25"/>
      <c r="BT300" s="30"/>
      <c r="BU300" s="25"/>
      <c r="BV300" s="30"/>
      <c r="BW300" s="25"/>
      <c r="BX300" s="30"/>
      <c r="BY300" s="25"/>
      <c r="CA300" s="1" t="str">
        <f t="shared" si="173"/>
        <v/>
      </c>
      <c r="CB300" s="5" t="str">
        <f>IF(E300&lt;&gt;"",CREATE_QUERY($B$1,A$2:AA$2,A300:AA300),"")</f>
        <v/>
      </c>
    </row>
    <row r="301" spans="1:80" ht="17">
      <c r="A301" s="2"/>
      <c r="B301" s="2"/>
      <c r="C301" s="25" t="str">
        <f t="shared" si="171"/>
        <v/>
      </c>
      <c r="D301" s="25"/>
      <c r="E301" s="25"/>
      <c r="F301" s="25" t="str">
        <f t="shared" si="175"/>
        <v/>
      </c>
      <c r="G301" s="25"/>
      <c r="H301" s="2" t="str">
        <f t="shared" si="176"/>
        <v>[[""]]</v>
      </c>
      <c r="I301" s="2" t="str">
        <f t="shared" si="172"/>
        <v/>
      </c>
      <c r="J301" s="2"/>
      <c r="K301" s="2" t="str">
        <f t="shared" si="174"/>
        <v/>
      </c>
      <c r="L301" s="2"/>
      <c r="M301" s="36" t="str">
        <f t="shared" si="177"/>
        <v/>
      </c>
      <c r="N301" s="36" t="str">
        <f t="shared" si="178"/>
        <v/>
      </c>
      <c r="O301" s="36" t="str">
        <f t="shared" si="179"/>
        <v/>
      </c>
      <c r="P301" s="36" t="str">
        <f t="shared" si="180"/>
        <v/>
      </c>
      <c r="Q301" s="35" t="str">
        <f t="shared" si="181"/>
        <v/>
      </c>
      <c r="R301" s="2" t="s">
        <v>921</v>
      </c>
      <c r="S301" s="2"/>
      <c r="T301" s="2"/>
      <c r="U301" s="2"/>
      <c r="V301" s="2"/>
      <c r="W301" s="2"/>
      <c r="X301" s="2"/>
      <c r="Y301" s="2"/>
      <c r="Z301" s="2"/>
      <c r="AA301" s="2"/>
      <c r="AB301" s="30"/>
      <c r="AC301" s="25"/>
      <c r="AD301" s="30"/>
      <c r="AE301" s="25"/>
      <c r="AF301" s="30"/>
      <c r="AG301" s="25"/>
      <c r="AH301" s="30"/>
      <c r="AI301" s="25"/>
      <c r="AJ301" s="30"/>
      <c r="AK301" s="25"/>
      <c r="AL301" s="30"/>
      <c r="AM301" s="25"/>
      <c r="AN301" s="30"/>
      <c r="AO301" s="25"/>
      <c r="AP301" s="30"/>
      <c r="AQ301" s="25"/>
      <c r="AR301" s="30"/>
      <c r="AS301" s="25"/>
      <c r="AT301" s="30"/>
      <c r="AU301" s="25"/>
      <c r="AV301" s="30"/>
      <c r="AW301" s="25"/>
      <c r="AX301" s="30"/>
      <c r="AY301" s="25"/>
      <c r="AZ301" s="30"/>
      <c r="BA301" s="25"/>
      <c r="BB301" s="30"/>
      <c r="BC301" s="25"/>
      <c r="BD301" s="30"/>
      <c r="BE301" s="25"/>
      <c r="BF301" s="30"/>
      <c r="BG301" s="25"/>
      <c r="BH301" s="30"/>
      <c r="BI301" s="25"/>
      <c r="BJ301" s="30"/>
      <c r="BK301" s="25"/>
      <c r="BL301" s="30"/>
      <c r="BM301" s="25"/>
      <c r="BN301" s="30"/>
      <c r="BO301" s="25"/>
      <c r="BP301" s="30"/>
      <c r="BQ301" s="25"/>
      <c r="BR301" s="30"/>
      <c r="BS301" s="25"/>
      <c r="BT301" s="30"/>
      <c r="BU301" s="25"/>
      <c r="BV301" s="30"/>
      <c r="BW301" s="25"/>
      <c r="BX301" s="30"/>
      <c r="BY301" s="25"/>
      <c r="CA301" s="1" t="str">
        <f t="shared" si="173"/>
        <v/>
      </c>
      <c r="CB301" s="5" t="str">
        <f>IF(E301&lt;&gt;"",CREATE_QUERY($B$1,A$2:AA$2,A301:AA301),"")</f>
        <v/>
      </c>
    </row>
    <row r="302" spans="1:80" ht="17">
      <c r="A302" s="2"/>
      <c r="B302" s="2"/>
      <c r="C302" s="25" t="str">
        <f t="shared" si="171"/>
        <v/>
      </c>
      <c r="D302" s="25"/>
      <c r="E302" s="25"/>
      <c r="F302" s="25" t="str">
        <f t="shared" si="175"/>
        <v/>
      </c>
      <c r="G302" s="25"/>
      <c r="H302" s="2" t="str">
        <f t="shared" si="176"/>
        <v>[[""]]</v>
      </c>
      <c r="I302" s="2" t="str">
        <f t="shared" si="172"/>
        <v/>
      </c>
      <c r="J302" s="2"/>
      <c r="K302" s="2" t="str">
        <f t="shared" si="174"/>
        <v/>
      </c>
      <c r="L302" s="2"/>
      <c r="M302" s="36" t="str">
        <f t="shared" si="177"/>
        <v/>
      </c>
      <c r="N302" s="36" t="str">
        <f t="shared" si="178"/>
        <v/>
      </c>
      <c r="O302" s="36" t="str">
        <f t="shared" si="179"/>
        <v/>
      </c>
      <c r="P302" s="36" t="str">
        <f t="shared" si="180"/>
        <v/>
      </c>
      <c r="Q302" s="35" t="str">
        <f t="shared" si="181"/>
        <v/>
      </c>
      <c r="R302" s="2" t="s">
        <v>921</v>
      </c>
      <c r="S302" s="2"/>
      <c r="T302" s="2"/>
      <c r="U302" s="2"/>
      <c r="V302" s="2"/>
      <c r="W302" s="2"/>
      <c r="X302" s="2"/>
      <c r="Y302" s="2"/>
      <c r="Z302" s="2"/>
      <c r="AA302" s="2"/>
      <c r="AB302" s="33"/>
      <c r="AC302" s="2"/>
      <c r="AD302" s="33"/>
      <c r="AE302" s="2"/>
      <c r="AF302" s="33"/>
      <c r="AG302" s="2"/>
      <c r="AH302" s="33"/>
      <c r="AI302" s="2"/>
      <c r="AJ302" s="33"/>
      <c r="AK302" s="2"/>
      <c r="AL302" s="33"/>
      <c r="AM302" s="2"/>
      <c r="AN302" s="33"/>
      <c r="AO302" s="2"/>
      <c r="AP302" s="33"/>
      <c r="AQ302" s="2"/>
      <c r="AR302" s="33"/>
      <c r="AS302" s="2"/>
      <c r="AT302" s="33"/>
      <c r="AU302" s="2"/>
      <c r="AV302" s="33"/>
      <c r="AW302" s="2"/>
      <c r="AX302" s="33"/>
      <c r="AY302" s="2"/>
      <c r="AZ302" s="33"/>
      <c r="BA302" s="2"/>
      <c r="BB302" s="33"/>
      <c r="BC302" s="2"/>
      <c r="BD302" s="33"/>
      <c r="BE302" s="2"/>
      <c r="BF302" s="33"/>
      <c r="BG302" s="2"/>
      <c r="BH302" s="33"/>
      <c r="BI302" s="2"/>
      <c r="BJ302" s="33"/>
      <c r="BK302" s="2"/>
      <c r="BL302" s="33"/>
      <c r="BM302" s="2"/>
      <c r="BN302" s="33"/>
      <c r="BO302" s="2"/>
      <c r="BP302" s="33"/>
      <c r="BQ302" s="2"/>
      <c r="BR302" s="33"/>
      <c r="BS302" s="2"/>
      <c r="BT302" s="33"/>
      <c r="BU302" s="2"/>
      <c r="BV302" s="33"/>
      <c r="BW302" s="2"/>
      <c r="BX302" s="33"/>
      <c r="BY302" s="2"/>
      <c r="CA302" s="1" t="str">
        <f t="shared" si="173"/>
        <v/>
      </c>
      <c r="CB302" s="5" t="str">
        <f>IF(E302&lt;&gt;"",CREATE_QUERY($B$1,A$2:AA$2,A302:AA302),"")</f>
        <v/>
      </c>
    </row>
    <row r="303" spans="1:80" ht="17">
      <c r="A303" s="2"/>
      <c r="B303" s="2"/>
      <c r="C303" s="25" t="str">
        <f t="shared" si="171"/>
        <v/>
      </c>
      <c r="D303" s="25"/>
      <c r="E303" s="25"/>
      <c r="F303" s="25" t="str">
        <f t="shared" si="175"/>
        <v/>
      </c>
      <c r="G303" s="25"/>
      <c r="H303" s="2" t="str">
        <f t="shared" si="176"/>
        <v>[[""]]</v>
      </c>
      <c r="I303" s="2" t="str">
        <f t="shared" si="172"/>
        <v/>
      </c>
      <c r="J303" s="2"/>
      <c r="K303" s="2" t="str">
        <f t="shared" si="174"/>
        <v/>
      </c>
      <c r="L303" s="2"/>
      <c r="M303" s="36" t="str">
        <f t="shared" si="177"/>
        <v/>
      </c>
      <c r="N303" s="36" t="str">
        <f t="shared" si="178"/>
        <v/>
      </c>
      <c r="O303" s="36" t="str">
        <f t="shared" si="179"/>
        <v/>
      </c>
      <c r="P303" s="36" t="str">
        <f t="shared" si="180"/>
        <v/>
      </c>
      <c r="Q303" s="35" t="str">
        <f t="shared" si="181"/>
        <v/>
      </c>
      <c r="R303" s="2" t="s">
        <v>921</v>
      </c>
      <c r="S303" s="2"/>
      <c r="T303" s="2"/>
      <c r="U303" s="2"/>
      <c r="V303" s="2"/>
      <c r="W303" s="2"/>
      <c r="X303" s="2"/>
      <c r="Y303" s="2"/>
      <c r="Z303" s="2"/>
      <c r="AA303" s="2"/>
      <c r="AB303" s="33"/>
      <c r="AC303" s="2"/>
      <c r="AD303" s="33"/>
      <c r="AE303" s="2"/>
      <c r="AF303" s="33"/>
      <c r="AG303" s="2"/>
      <c r="AH303" s="33"/>
      <c r="AI303" s="2"/>
      <c r="AJ303" s="33"/>
      <c r="AK303" s="2"/>
      <c r="AL303" s="33"/>
      <c r="AM303" s="2"/>
      <c r="AN303" s="33"/>
      <c r="AO303" s="2"/>
      <c r="AP303" s="33"/>
      <c r="AQ303" s="2"/>
      <c r="AR303" s="33"/>
      <c r="AS303" s="2"/>
      <c r="AT303" s="33"/>
      <c r="AU303" s="2"/>
      <c r="AV303" s="33"/>
      <c r="AW303" s="2"/>
      <c r="AX303" s="33"/>
      <c r="AY303" s="2"/>
      <c r="AZ303" s="33"/>
      <c r="BA303" s="2"/>
      <c r="BB303" s="33"/>
      <c r="BC303" s="2"/>
      <c r="BD303" s="33"/>
      <c r="BE303" s="2"/>
      <c r="BF303" s="33"/>
      <c r="BG303" s="2"/>
      <c r="BH303" s="33"/>
      <c r="BI303" s="2"/>
      <c r="BJ303" s="33"/>
      <c r="BK303" s="2"/>
      <c r="BL303" s="33"/>
      <c r="BM303" s="2"/>
      <c r="BN303" s="33"/>
      <c r="BO303" s="2"/>
      <c r="BP303" s="33"/>
      <c r="BQ303" s="2"/>
      <c r="BR303" s="33"/>
      <c r="BS303" s="2"/>
      <c r="BT303" s="33"/>
      <c r="BU303" s="2"/>
      <c r="BV303" s="33"/>
      <c r="BW303" s="2"/>
      <c r="BX303" s="33"/>
      <c r="BY303" s="2"/>
      <c r="CA303" s="1" t="str">
        <f t="shared" si="173"/>
        <v/>
      </c>
      <c r="CB303" s="5" t="str">
        <f>IF(E303&lt;&gt;"",CREATE_QUERY($B$1,A$2:AA$2,A303:AA303),"")</f>
        <v/>
      </c>
    </row>
    <row r="304" spans="1:80" ht="17">
      <c r="A304" s="2"/>
      <c r="B304" s="2"/>
      <c r="C304" s="25" t="str">
        <f t="shared" si="171"/>
        <v/>
      </c>
      <c r="D304" s="25"/>
      <c r="E304" s="25"/>
      <c r="F304" s="25" t="str">
        <f t="shared" si="175"/>
        <v/>
      </c>
      <c r="G304" s="25"/>
      <c r="H304" s="2" t="str">
        <f t="shared" si="176"/>
        <v>[[""]]</v>
      </c>
      <c r="I304" s="2" t="str">
        <f t="shared" si="172"/>
        <v/>
      </c>
      <c r="J304" s="2"/>
      <c r="K304" s="2" t="str">
        <f t="shared" si="174"/>
        <v/>
      </c>
      <c r="L304" s="2"/>
      <c r="M304" s="36" t="str">
        <f t="shared" si="177"/>
        <v/>
      </c>
      <c r="N304" s="36" t="str">
        <f t="shared" si="178"/>
        <v/>
      </c>
      <c r="O304" s="36" t="str">
        <f t="shared" si="179"/>
        <v/>
      </c>
      <c r="P304" s="36" t="str">
        <f t="shared" si="180"/>
        <v/>
      </c>
      <c r="Q304" s="35" t="str">
        <f t="shared" si="181"/>
        <v/>
      </c>
      <c r="R304" s="2" t="s">
        <v>921</v>
      </c>
      <c r="S304" s="2"/>
      <c r="T304" s="2"/>
      <c r="U304" s="2"/>
      <c r="V304" s="2"/>
      <c r="W304" s="2"/>
      <c r="X304" s="2"/>
      <c r="Y304" s="2"/>
      <c r="Z304" s="2"/>
      <c r="AA304" s="2"/>
      <c r="AB304" s="33"/>
      <c r="AC304" s="2"/>
      <c r="AD304" s="33"/>
      <c r="AE304" s="2"/>
      <c r="AF304" s="33"/>
      <c r="AG304" s="2"/>
      <c r="AH304" s="33"/>
      <c r="AI304" s="2"/>
      <c r="AJ304" s="33"/>
      <c r="AK304" s="2"/>
      <c r="AL304" s="33"/>
      <c r="AM304" s="2"/>
      <c r="AN304" s="33"/>
      <c r="AO304" s="2"/>
      <c r="AP304" s="33"/>
      <c r="AQ304" s="2"/>
      <c r="AR304" s="33"/>
      <c r="AS304" s="2"/>
      <c r="AT304" s="33"/>
      <c r="AU304" s="2"/>
      <c r="AV304" s="33"/>
      <c r="AW304" s="2"/>
      <c r="AX304" s="33"/>
      <c r="AY304" s="2"/>
      <c r="AZ304" s="33"/>
      <c r="BA304" s="2"/>
      <c r="BB304" s="33"/>
      <c r="BC304" s="2"/>
      <c r="BD304" s="33"/>
      <c r="BE304" s="2"/>
      <c r="BF304" s="33"/>
      <c r="BG304" s="2"/>
      <c r="BH304" s="33"/>
      <c r="BI304" s="2"/>
      <c r="BJ304" s="33"/>
      <c r="BK304" s="2"/>
      <c r="BL304" s="33"/>
      <c r="BM304" s="2"/>
      <c r="BN304" s="33"/>
      <c r="BO304" s="2"/>
      <c r="BP304" s="33"/>
      <c r="BQ304" s="2"/>
      <c r="BR304" s="33"/>
      <c r="BS304" s="2"/>
      <c r="BT304" s="33"/>
      <c r="BU304" s="2"/>
      <c r="BV304" s="33"/>
      <c r="BW304" s="2"/>
      <c r="BX304" s="33"/>
      <c r="BY304" s="2"/>
      <c r="CA304" s="1" t="str">
        <f t="shared" si="173"/>
        <v/>
      </c>
      <c r="CB304" s="5" t="str">
        <f>IF(E304&lt;&gt;"",CREATE_QUERY($B$1,A$2:AA$2,A304:AA304),"")</f>
        <v/>
      </c>
    </row>
    <row r="305" spans="1:80" ht="17">
      <c r="A305" s="2"/>
      <c r="B305" s="2"/>
      <c r="C305" s="25" t="str">
        <f t="shared" si="171"/>
        <v/>
      </c>
      <c r="D305" s="25"/>
      <c r="E305" s="25"/>
      <c r="F305" s="25" t="str">
        <f t="shared" si="175"/>
        <v/>
      </c>
      <c r="G305" s="25"/>
      <c r="H305" s="2" t="str">
        <f t="shared" si="176"/>
        <v>[[""]]</v>
      </c>
      <c r="I305" s="2" t="str">
        <f t="shared" si="172"/>
        <v/>
      </c>
      <c r="J305" s="2"/>
      <c r="K305" s="2" t="str">
        <f t="shared" si="174"/>
        <v/>
      </c>
      <c r="L305" s="2"/>
      <c r="M305" s="36" t="str">
        <f t="shared" si="177"/>
        <v/>
      </c>
      <c r="N305" s="36" t="str">
        <f t="shared" si="178"/>
        <v/>
      </c>
      <c r="O305" s="36" t="str">
        <f t="shared" si="179"/>
        <v/>
      </c>
      <c r="P305" s="36" t="str">
        <f t="shared" si="180"/>
        <v/>
      </c>
      <c r="Q305" s="35" t="str">
        <f t="shared" si="181"/>
        <v/>
      </c>
      <c r="R305" s="2" t="s">
        <v>921</v>
      </c>
      <c r="S305" s="2"/>
      <c r="T305" s="2"/>
      <c r="U305" s="2"/>
      <c r="V305" s="2"/>
      <c r="W305" s="2"/>
      <c r="X305" s="2"/>
      <c r="Y305" s="2"/>
      <c r="Z305" s="2"/>
      <c r="AA305" s="2"/>
      <c r="AB305" s="33"/>
      <c r="AC305" s="2"/>
      <c r="AD305" s="33"/>
      <c r="AE305" s="2"/>
      <c r="AF305" s="33"/>
      <c r="AG305" s="2"/>
      <c r="AH305" s="33"/>
      <c r="AI305" s="2"/>
      <c r="AJ305" s="33"/>
      <c r="AK305" s="2"/>
      <c r="AL305" s="33"/>
      <c r="AM305" s="2"/>
      <c r="AN305" s="33"/>
      <c r="AO305" s="2"/>
      <c r="AP305" s="33"/>
      <c r="AQ305" s="2"/>
      <c r="AR305" s="33"/>
      <c r="AS305" s="2"/>
      <c r="AT305" s="33"/>
      <c r="AU305" s="2"/>
      <c r="AV305" s="33"/>
      <c r="AW305" s="2"/>
      <c r="AX305" s="33"/>
      <c r="AY305" s="2"/>
      <c r="AZ305" s="33"/>
      <c r="BA305" s="2"/>
      <c r="BB305" s="33"/>
      <c r="BC305" s="2"/>
      <c r="BD305" s="33"/>
      <c r="BE305" s="2"/>
      <c r="BF305" s="33"/>
      <c r="BG305" s="2"/>
      <c r="BH305" s="33"/>
      <c r="BI305" s="2"/>
      <c r="BJ305" s="33"/>
      <c r="BK305" s="2"/>
      <c r="BL305" s="33"/>
      <c r="BM305" s="2"/>
      <c r="BN305" s="33"/>
      <c r="BO305" s="2"/>
      <c r="BP305" s="33"/>
      <c r="BQ305" s="2"/>
      <c r="BR305" s="33"/>
      <c r="BS305" s="2"/>
      <c r="BT305" s="33"/>
      <c r="BU305" s="2"/>
      <c r="BV305" s="33"/>
      <c r="BW305" s="2"/>
      <c r="BX305" s="33"/>
      <c r="BY305" s="2"/>
      <c r="CA305" s="1" t="str">
        <f t="shared" si="173"/>
        <v/>
      </c>
      <c r="CB305" s="5" t="str">
        <f>IF(E305&lt;&gt;"",CREATE_QUERY($B$1,A$2:AA$2,A305:AA305),"")</f>
        <v/>
      </c>
    </row>
    <row r="306" spans="1:80" ht="17">
      <c r="A306" s="2"/>
      <c r="B306" s="2"/>
      <c r="C306" s="25" t="str">
        <f t="shared" si="171"/>
        <v/>
      </c>
      <c r="D306" s="25"/>
      <c r="E306" s="25"/>
      <c r="F306" s="25" t="str">
        <f t="shared" si="175"/>
        <v/>
      </c>
      <c r="G306" s="25"/>
      <c r="H306" s="2" t="str">
        <f t="shared" si="176"/>
        <v>[[""]]</v>
      </c>
      <c r="I306" s="2" t="str">
        <f t="shared" si="172"/>
        <v/>
      </c>
      <c r="J306" s="2"/>
      <c r="K306" s="2" t="str">
        <f t="shared" si="174"/>
        <v/>
      </c>
      <c r="L306" s="2"/>
      <c r="M306" s="36" t="str">
        <f t="shared" si="177"/>
        <v/>
      </c>
      <c r="N306" s="36" t="str">
        <f t="shared" si="178"/>
        <v/>
      </c>
      <c r="O306" s="36" t="str">
        <f t="shared" si="179"/>
        <v/>
      </c>
      <c r="P306" s="36" t="str">
        <f t="shared" si="180"/>
        <v/>
      </c>
      <c r="Q306" s="35" t="str">
        <f t="shared" si="181"/>
        <v/>
      </c>
      <c r="R306" s="2" t="s">
        <v>921</v>
      </c>
      <c r="S306" s="2"/>
      <c r="T306" s="2"/>
      <c r="U306" s="2"/>
      <c r="V306" s="2"/>
      <c r="W306" s="2"/>
      <c r="X306" s="2"/>
      <c r="Y306" s="2"/>
      <c r="Z306" s="2"/>
      <c r="AA306" s="2"/>
      <c r="AB306" s="33"/>
      <c r="AC306" s="2"/>
      <c r="AD306" s="33"/>
      <c r="AE306" s="2"/>
      <c r="AF306" s="33"/>
      <c r="AG306" s="2"/>
      <c r="AH306" s="33"/>
      <c r="AI306" s="2"/>
      <c r="AJ306" s="33"/>
      <c r="AK306" s="2"/>
      <c r="AL306" s="33"/>
      <c r="AM306" s="2"/>
      <c r="AN306" s="33"/>
      <c r="AO306" s="2"/>
      <c r="AP306" s="33"/>
      <c r="AQ306" s="2"/>
      <c r="AR306" s="33"/>
      <c r="AS306" s="2"/>
      <c r="AT306" s="33"/>
      <c r="AU306" s="2"/>
      <c r="AV306" s="33"/>
      <c r="AW306" s="2"/>
      <c r="AX306" s="33"/>
      <c r="AY306" s="2"/>
      <c r="AZ306" s="33"/>
      <c r="BA306" s="2"/>
      <c r="BB306" s="33"/>
      <c r="BC306" s="2"/>
      <c r="BD306" s="33"/>
      <c r="BE306" s="2"/>
      <c r="BF306" s="33"/>
      <c r="BG306" s="2"/>
      <c r="BH306" s="33"/>
      <c r="BI306" s="2"/>
      <c r="BJ306" s="33"/>
      <c r="BK306" s="2"/>
      <c r="BL306" s="33"/>
      <c r="BM306" s="2"/>
      <c r="BN306" s="33"/>
      <c r="BO306" s="2"/>
      <c r="BP306" s="33"/>
      <c r="BQ306" s="2"/>
      <c r="BR306" s="33"/>
      <c r="BS306" s="2"/>
      <c r="BT306" s="33"/>
      <c r="BU306" s="2"/>
      <c r="BV306" s="33"/>
      <c r="BW306" s="2"/>
      <c r="BX306" s="33"/>
      <c r="BY306" s="2"/>
      <c r="CA306" s="1" t="str">
        <f t="shared" si="173"/>
        <v/>
      </c>
      <c r="CB306" s="5" t="str">
        <f>IF(E306&lt;&gt;"",CREATE_QUERY($B$1,A$2:AA$2,A306:AA306),"")</f>
        <v/>
      </c>
    </row>
    <row r="307" spans="1:80" ht="17">
      <c r="A307" s="2"/>
      <c r="B307" s="2"/>
      <c r="C307" s="25" t="str">
        <f t="shared" si="171"/>
        <v/>
      </c>
      <c r="D307" s="25"/>
      <c r="E307" s="25"/>
      <c r="F307" s="25" t="str">
        <f t="shared" si="175"/>
        <v/>
      </c>
      <c r="G307" s="25"/>
      <c r="H307" s="2" t="str">
        <f t="shared" si="176"/>
        <v>[[""]]</v>
      </c>
      <c r="I307" s="2" t="str">
        <f t="shared" si="172"/>
        <v/>
      </c>
      <c r="J307" s="2"/>
      <c r="K307" s="2" t="str">
        <f t="shared" si="174"/>
        <v/>
      </c>
      <c r="L307" s="2"/>
      <c r="M307" s="36" t="str">
        <f t="shared" si="177"/>
        <v/>
      </c>
      <c r="N307" s="36" t="str">
        <f t="shared" si="178"/>
        <v/>
      </c>
      <c r="O307" s="36" t="str">
        <f t="shared" si="179"/>
        <v/>
      </c>
      <c r="P307" s="36" t="str">
        <f t="shared" si="180"/>
        <v/>
      </c>
      <c r="Q307" s="35" t="str">
        <f t="shared" si="181"/>
        <v/>
      </c>
      <c r="R307" s="2" t="s">
        <v>921</v>
      </c>
      <c r="S307" s="2"/>
      <c r="T307" s="2"/>
      <c r="U307" s="2"/>
      <c r="V307" s="2"/>
      <c r="W307" s="2"/>
      <c r="X307" s="2"/>
      <c r="Y307" s="2"/>
      <c r="Z307" s="2"/>
      <c r="AA307" s="2"/>
      <c r="AB307" s="33"/>
      <c r="AC307" s="2"/>
      <c r="AD307" s="33"/>
      <c r="AE307" s="2"/>
      <c r="AF307" s="33"/>
      <c r="AG307" s="2"/>
      <c r="AH307" s="33"/>
      <c r="AI307" s="2"/>
      <c r="AJ307" s="33"/>
      <c r="AK307" s="2"/>
      <c r="AL307" s="33"/>
      <c r="AM307" s="2"/>
      <c r="AN307" s="33"/>
      <c r="AO307" s="2"/>
      <c r="AP307" s="33"/>
      <c r="AQ307" s="2"/>
      <c r="AR307" s="33"/>
      <c r="AS307" s="2"/>
      <c r="AT307" s="33"/>
      <c r="AU307" s="2"/>
      <c r="AV307" s="33"/>
      <c r="AW307" s="2"/>
      <c r="AX307" s="33"/>
      <c r="AY307" s="2"/>
      <c r="AZ307" s="33"/>
      <c r="BA307" s="2"/>
      <c r="BB307" s="33"/>
      <c r="BC307" s="2"/>
      <c r="BD307" s="33"/>
      <c r="BE307" s="2"/>
      <c r="BF307" s="33"/>
      <c r="BG307" s="2"/>
      <c r="BH307" s="33"/>
      <c r="BI307" s="2"/>
      <c r="BJ307" s="33"/>
      <c r="BK307" s="2"/>
      <c r="BL307" s="33"/>
      <c r="BM307" s="2"/>
      <c r="BN307" s="33"/>
      <c r="BO307" s="2"/>
      <c r="BP307" s="33"/>
      <c r="BQ307" s="2"/>
      <c r="BR307" s="33"/>
      <c r="BS307" s="2"/>
      <c r="BT307" s="33"/>
      <c r="BU307" s="2"/>
      <c r="BV307" s="33"/>
      <c r="BW307" s="2"/>
      <c r="BX307" s="33"/>
      <c r="BY307" s="2"/>
      <c r="CA307" s="1" t="str">
        <f t="shared" si="173"/>
        <v/>
      </c>
      <c r="CB307" s="5" t="str">
        <f>IF(E307&lt;&gt;"",CREATE_QUERY($B$1,A$2:AA$2,A307:AA307),"")</f>
        <v/>
      </c>
    </row>
    <row r="308" spans="1:80" ht="17">
      <c r="A308" s="2"/>
      <c r="B308" s="2"/>
      <c r="C308" s="25" t="str">
        <f t="shared" si="171"/>
        <v/>
      </c>
      <c r="D308" s="25"/>
      <c r="E308" s="25"/>
      <c r="F308" s="25" t="str">
        <f t="shared" si="175"/>
        <v/>
      </c>
      <c r="G308" s="25"/>
      <c r="H308" s="2" t="str">
        <f t="shared" si="176"/>
        <v>[[""]]</v>
      </c>
      <c r="I308" s="2" t="str">
        <f t="shared" si="172"/>
        <v/>
      </c>
      <c r="J308" s="2"/>
      <c r="K308" s="2" t="str">
        <f t="shared" si="174"/>
        <v/>
      </c>
      <c r="L308" s="2"/>
      <c r="M308" s="36" t="str">
        <f t="shared" si="177"/>
        <v/>
      </c>
      <c r="N308" s="36" t="str">
        <f t="shared" si="178"/>
        <v/>
      </c>
      <c r="O308" s="36" t="str">
        <f t="shared" si="179"/>
        <v/>
      </c>
      <c r="P308" s="36" t="str">
        <f t="shared" si="180"/>
        <v/>
      </c>
      <c r="Q308" s="35" t="str">
        <f t="shared" si="181"/>
        <v/>
      </c>
      <c r="R308" s="2" t="s">
        <v>921</v>
      </c>
      <c r="S308" s="2"/>
      <c r="T308" s="2"/>
      <c r="U308" s="2"/>
      <c r="V308" s="2"/>
      <c r="W308" s="2"/>
      <c r="X308" s="2"/>
      <c r="Y308" s="2"/>
      <c r="Z308" s="2"/>
      <c r="AA308" s="2"/>
      <c r="AB308" s="33"/>
      <c r="AC308" s="2"/>
      <c r="AD308" s="33"/>
      <c r="AE308" s="2"/>
      <c r="AF308" s="33"/>
      <c r="AG308" s="2"/>
      <c r="AH308" s="33"/>
      <c r="AI308" s="2"/>
      <c r="AJ308" s="33"/>
      <c r="AK308" s="2"/>
      <c r="AL308" s="33"/>
      <c r="AM308" s="2"/>
      <c r="AN308" s="33"/>
      <c r="AO308" s="2"/>
      <c r="AP308" s="33"/>
      <c r="AQ308" s="2"/>
      <c r="AR308" s="33"/>
      <c r="AS308" s="2"/>
      <c r="AT308" s="33"/>
      <c r="AU308" s="2"/>
      <c r="AV308" s="33"/>
      <c r="AW308" s="2"/>
      <c r="AX308" s="33"/>
      <c r="AY308" s="2"/>
      <c r="AZ308" s="33"/>
      <c r="BA308" s="2"/>
      <c r="BB308" s="33"/>
      <c r="BC308" s="2"/>
      <c r="BD308" s="33"/>
      <c r="BE308" s="2"/>
      <c r="BF308" s="33"/>
      <c r="BG308" s="2"/>
      <c r="BH308" s="33"/>
      <c r="BI308" s="2"/>
      <c r="BJ308" s="33"/>
      <c r="BK308" s="2"/>
      <c r="BL308" s="33"/>
      <c r="BM308" s="2"/>
      <c r="BN308" s="33"/>
      <c r="BO308" s="2"/>
      <c r="BP308" s="33"/>
      <c r="BQ308" s="2"/>
      <c r="BR308" s="33"/>
      <c r="BS308" s="2"/>
      <c r="BT308" s="33"/>
      <c r="BU308" s="2"/>
      <c r="BV308" s="33"/>
      <c r="BW308" s="2"/>
      <c r="BX308" s="33"/>
      <c r="BY308" s="2"/>
      <c r="CA308" s="1" t="str">
        <f t="shared" si="173"/>
        <v/>
      </c>
      <c r="CB308" s="5" t="str">
        <f>IF(E308&lt;&gt;"",CREATE_QUERY($B$1,A$2:AA$2,A308:AA308),"")</f>
        <v/>
      </c>
    </row>
    <row r="309" spans="1:80" ht="17">
      <c r="A309" s="2"/>
      <c r="B309" s="2"/>
      <c r="C309" s="25" t="str">
        <f t="shared" si="171"/>
        <v/>
      </c>
      <c r="D309" s="25"/>
      <c r="E309" s="25"/>
      <c r="F309" s="25" t="str">
        <f t="shared" si="175"/>
        <v/>
      </c>
      <c r="G309" s="25"/>
      <c r="H309" s="2" t="str">
        <f t="shared" si="176"/>
        <v>[[""]]</v>
      </c>
      <c r="I309" s="2" t="str">
        <f t="shared" si="172"/>
        <v/>
      </c>
      <c r="J309" s="2"/>
      <c r="K309" s="2" t="str">
        <f t="shared" si="174"/>
        <v/>
      </c>
      <c r="L309" s="2"/>
      <c r="M309" s="36" t="str">
        <f t="shared" si="177"/>
        <v/>
      </c>
      <c r="N309" s="36" t="str">
        <f t="shared" si="178"/>
        <v/>
      </c>
      <c r="O309" s="36" t="str">
        <f t="shared" si="179"/>
        <v/>
      </c>
      <c r="P309" s="36" t="str">
        <f t="shared" si="180"/>
        <v/>
      </c>
      <c r="Q309" s="35" t="str">
        <f t="shared" si="181"/>
        <v/>
      </c>
      <c r="R309" s="2" t="s">
        <v>921</v>
      </c>
      <c r="S309" s="2"/>
      <c r="T309" s="2"/>
      <c r="U309" s="2"/>
      <c r="V309" s="2"/>
      <c r="W309" s="2"/>
      <c r="X309" s="2"/>
      <c r="Y309" s="2"/>
      <c r="Z309" s="2"/>
      <c r="AA309" s="2"/>
      <c r="AB309" s="33"/>
      <c r="AC309" s="2"/>
      <c r="AD309" s="33"/>
      <c r="AE309" s="2"/>
      <c r="AF309" s="33"/>
      <c r="AG309" s="2"/>
      <c r="AH309" s="33"/>
      <c r="AI309" s="2"/>
      <c r="AJ309" s="33"/>
      <c r="AK309" s="2"/>
      <c r="AL309" s="33"/>
      <c r="AM309" s="2"/>
      <c r="AN309" s="33"/>
      <c r="AO309" s="2"/>
      <c r="AP309" s="33"/>
      <c r="AQ309" s="2"/>
      <c r="AR309" s="33"/>
      <c r="AS309" s="2"/>
      <c r="AT309" s="33"/>
      <c r="AU309" s="2"/>
      <c r="AV309" s="33"/>
      <c r="AW309" s="2"/>
      <c r="AX309" s="33"/>
      <c r="AY309" s="2"/>
      <c r="AZ309" s="33"/>
      <c r="BA309" s="2"/>
      <c r="BB309" s="33"/>
      <c r="BC309" s="2"/>
      <c r="BD309" s="33"/>
      <c r="BE309" s="2"/>
      <c r="BF309" s="33"/>
      <c r="BG309" s="2"/>
      <c r="BH309" s="33"/>
      <c r="BI309" s="2"/>
      <c r="BJ309" s="33"/>
      <c r="BK309" s="2"/>
      <c r="BL309" s="33"/>
      <c r="BM309" s="2"/>
      <c r="BN309" s="33"/>
      <c r="BO309" s="2"/>
      <c r="BP309" s="33"/>
      <c r="BQ309" s="2"/>
      <c r="BR309" s="33"/>
      <c r="BS309" s="2"/>
      <c r="BT309" s="33"/>
      <c r="BU309" s="2"/>
      <c r="BV309" s="33"/>
      <c r="BW309" s="2"/>
      <c r="BX309" s="33"/>
      <c r="BY309" s="2"/>
      <c r="CA309" s="1" t="str">
        <f t="shared" si="173"/>
        <v/>
      </c>
      <c r="CB309" s="5" t="str">
        <f>IF(E309&lt;&gt;"",CREATE_QUERY($B$1,A$2:AA$2,A309:AA309),"")</f>
        <v/>
      </c>
    </row>
    <row r="310" spans="1:80" ht="17">
      <c r="A310" s="2"/>
      <c r="B310" s="2"/>
      <c r="C310" s="25" t="str">
        <f t="shared" si="171"/>
        <v/>
      </c>
      <c r="D310" s="25"/>
      <c r="E310" s="25"/>
      <c r="F310" s="25" t="str">
        <f t="shared" si="175"/>
        <v/>
      </c>
      <c r="G310" s="25"/>
      <c r="H310" s="2" t="str">
        <f t="shared" si="176"/>
        <v>[[""]]</v>
      </c>
      <c r="I310" s="2" t="str">
        <f t="shared" si="172"/>
        <v/>
      </c>
      <c r="J310" s="2"/>
      <c r="K310" s="2" t="str">
        <f t="shared" ref="K310:K341" si="182">IF(AB310="","",AB310&amp;"="&amp;AC310)&amp;
IF(AD310="","","|"&amp;AD310&amp;"="&amp;AE310)&amp;
IF(AF310="","","|"&amp;AF310&amp;"="&amp;AG310)&amp;
IF(AH310="","","|"&amp;AH310&amp;"="&amp;AI310)&amp;
IF(AJ310="","","|"&amp;AJ310&amp;"="&amp;AK310)&amp;
IF(AL310="","","|"&amp;AL310&amp;"="&amp;AM310)&amp;
IF(AN310="","","|"&amp;AN310&amp;"="&amp;AO310)&amp;
IF(AP310="","","|"&amp;AP310&amp;"="&amp;AQ310)&amp;
IF(AR310="","","|"&amp;AR310&amp;"="&amp;AS310)&amp;
IF(AT310="","","|"&amp;AT310&amp;"="&amp;AU310)&amp;
IF(AV310="","","|"&amp;AV310&amp;"="&amp;AW310)&amp;
IF(AX310="","","|"&amp;AX310&amp;"="&amp;AY310)&amp;
IF(AZ310="","","|"&amp;AZ310&amp;"="&amp;BA310)&amp;
IF(BB310="","","|"&amp;BB310&amp;"="&amp;BC310)&amp;
IF(BD310="","","|"&amp;BD310&amp;"="&amp;BE310)&amp;
IF(BF310="","","|"&amp;BF310&amp;"="&amp;BG310)&amp;
IF(BH310="","","|"&amp;BH310&amp;"="&amp;BI310)&amp;
IF(BJ310="","","|"&amp;BJ310&amp;"="&amp;BK310)&amp;
IF(BL310="","","|"&amp;BL310&amp;"="&amp;BM310)&amp;
IF(BN310="","","|"&amp;BN310&amp;"="&amp;BO310)&amp;
IF(BP310="","","|"&amp;BP310&amp;"="&amp;BS310)&amp;
IF(BZ310="","","|"&amp;BZ310&amp;"="&amp;CA310)</f>
        <v/>
      </c>
      <c r="L310" s="2"/>
      <c r="M310" s="36" t="str">
        <f t="shared" si="177"/>
        <v/>
      </c>
      <c r="N310" s="36" t="str">
        <f t="shared" si="178"/>
        <v/>
      </c>
      <c r="O310" s="36" t="str">
        <f t="shared" si="179"/>
        <v/>
      </c>
      <c r="P310" s="36" t="str">
        <f t="shared" si="180"/>
        <v/>
      </c>
      <c r="Q310" s="35" t="str">
        <f t="shared" si="181"/>
        <v/>
      </c>
      <c r="R310" s="2" t="s">
        <v>921</v>
      </c>
      <c r="S310" s="2"/>
      <c r="T310" s="2"/>
      <c r="U310" s="2"/>
      <c r="V310" s="2"/>
      <c r="W310" s="2"/>
      <c r="X310" s="2"/>
      <c r="Y310" s="2"/>
      <c r="Z310" s="2"/>
      <c r="AA310" s="2"/>
      <c r="AB310" s="23"/>
      <c r="AC310" s="2"/>
      <c r="AD310" s="23"/>
      <c r="AE310" s="2"/>
      <c r="AF310" s="23"/>
      <c r="AG310" s="2"/>
      <c r="AH310" s="23"/>
      <c r="AI310" s="2"/>
      <c r="AJ310" s="23"/>
      <c r="AK310" s="2"/>
      <c r="AL310" s="23"/>
      <c r="AM310" s="2"/>
      <c r="AN310" s="23"/>
      <c r="AO310" s="2"/>
      <c r="AP310" s="23"/>
      <c r="AQ310" s="2"/>
      <c r="AR310" s="23"/>
      <c r="AS310" s="2"/>
      <c r="AT310" s="23"/>
      <c r="AU310" s="2"/>
      <c r="AV310" s="23"/>
      <c r="AW310" s="2"/>
      <c r="AX310" s="23"/>
      <c r="AY310" s="2"/>
      <c r="AZ310" s="23"/>
      <c r="BA310" s="2"/>
      <c r="BB310" s="23"/>
      <c r="BC310" s="2"/>
      <c r="BD310" s="23"/>
      <c r="BE310" s="2"/>
      <c r="BF310" s="23"/>
      <c r="BG310" s="2"/>
      <c r="BH310" s="23"/>
      <c r="BI310" s="2"/>
      <c r="BJ310" s="23"/>
      <c r="BK310" s="2"/>
      <c r="BL310" s="23"/>
      <c r="BM310" s="2"/>
      <c r="BN310" s="23"/>
      <c r="BO310" s="2"/>
      <c r="BP310" s="23"/>
      <c r="BQ310" s="2"/>
      <c r="BR310" s="23"/>
      <c r="BS310" s="2"/>
      <c r="BT310" s="23"/>
      <c r="BU310" s="2"/>
      <c r="BV310" s="23"/>
      <c r="BW310" s="2"/>
      <c r="BX310" s="23"/>
      <c r="BY310" s="2"/>
      <c r="CA310" s="1" t="str">
        <f t="shared" ref="CA310:CA341" si="183">IF(A310="","","delete from sscd_mast where sscd_idcd = '"&amp;A310&amp;"';")</f>
        <v/>
      </c>
      <c r="CB310" s="5" t="str">
        <f>IF(E310&lt;&gt;"",CREATE_QUERY($B$1,A$2:AA$2,A310:AA310),"")</f>
        <v/>
      </c>
    </row>
    <row r="311" spans="1:80" ht="17">
      <c r="A311" s="2"/>
      <c r="B311" s="2"/>
      <c r="C311" s="25" t="str">
        <f t="shared" si="171"/>
        <v/>
      </c>
      <c r="D311" s="25"/>
      <c r="E311" s="25"/>
      <c r="F311" s="25" t="str">
        <f t="shared" si="175"/>
        <v/>
      </c>
      <c r="G311" s="25"/>
      <c r="H311" s="2" t="str">
        <f t="shared" si="176"/>
        <v>[[""]]</v>
      </c>
      <c r="I311" s="2" t="str">
        <f t="shared" si="172"/>
        <v/>
      </c>
      <c r="J311" s="2"/>
      <c r="K311" s="2" t="str">
        <f t="shared" si="182"/>
        <v/>
      </c>
      <c r="L311" s="2"/>
      <c r="M311" s="36" t="str">
        <f t="shared" si="177"/>
        <v/>
      </c>
      <c r="N311" s="36" t="str">
        <f t="shared" si="178"/>
        <v/>
      </c>
      <c r="O311" s="36" t="str">
        <f t="shared" si="179"/>
        <v/>
      </c>
      <c r="P311" s="36" t="str">
        <f t="shared" si="180"/>
        <v/>
      </c>
      <c r="Q311" s="35" t="str">
        <f t="shared" si="181"/>
        <v/>
      </c>
      <c r="R311" s="2" t="s">
        <v>921</v>
      </c>
      <c r="S311" s="2"/>
      <c r="T311" s="2"/>
      <c r="U311" s="2"/>
      <c r="V311" s="2"/>
      <c r="W311" s="2"/>
      <c r="X311" s="2"/>
      <c r="Y311" s="2"/>
      <c r="Z311" s="2"/>
      <c r="AA311" s="2"/>
      <c r="AB311" s="23"/>
      <c r="AC311" s="2"/>
      <c r="AD311" s="23"/>
      <c r="AE311" s="2"/>
      <c r="AF311" s="23"/>
      <c r="AG311" s="2"/>
      <c r="AH311" s="23"/>
      <c r="AI311" s="2"/>
      <c r="AJ311" s="23"/>
      <c r="AK311" s="2"/>
      <c r="AL311" s="23"/>
      <c r="AM311" s="2"/>
      <c r="AN311" s="23"/>
      <c r="AO311" s="2"/>
      <c r="AP311" s="23"/>
      <c r="AQ311" s="2"/>
      <c r="AR311" s="23"/>
      <c r="AS311" s="2"/>
      <c r="AT311" s="23"/>
      <c r="AU311" s="2"/>
      <c r="AV311" s="23"/>
      <c r="AW311" s="2"/>
      <c r="AX311" s="23"/>
      <c r="AY311" s="2"/>
      <c r="AZ311" s="23"/>
      <c r="BA311" s="2"/>
      <c r="BB311" s="23"/>
      <c r="BC311" s="2"/>
      <c r="BD311" s="23"/>
      <c r="BE311" s="2"/>
      <c r="BF311" s="23"/>
      <c r="BG311" s="2"/>
      <c r="BH311" s="23"/>
      <c r="BI311" s="2"/>
      <c r="BJ311" s="23"/>
      <c r="BK311" s="2"/>
      <c r="BL311" s="23"/>
      <c r="BM311" s="2"/>
      <c r="BN311" s="23"/>
      <c r="BO311" s="2"/>
      <c r="BP311" s="23"/>
      <c r="BQ311" s="2"/>
      <c r="BR311" s="23"/>
      <c r="BS311" s="2"/>
      <c r="BT311" s="23"/>
      <c r="BU311" s="2"/>
      <c r="BV311" s="23"/>
      <c r="BW311" s="2"/>
      <c r="BX311" s="23"/>
      <c r="BY311" s="2"/>
      <c r="CA311" s="1" t="str">
        <f t="shared" si="183"/>
        <v/>
      </c>
      <c r="CB311" s="5" t="str">
        <f>IF(E311&lt;&gt;"",CREATE_QUERY($B$1,A$2:AA$2,A311:AA311),"")</f>
        <v/>
      </c>
    </row>
    <row r="312" spans="1:80" ht="17">
      <c r="A312" s="2"/>
      <c r="B312" s="2"/>
      <c r="C312" s="25" t="str">
        <f t="shared" si="171"/>
        <v/>
      </c>
      <c r="D312" s="2"/>
      <c r="E312" s="2"/>
      <c r="F312" s="25" t="str">
        <f t="shared" si="175"/>
        <v/>
      </c>
      <c r="G312" s="25"/>
      <c r="H312" s="2" t="str">
        <f t="shared" si="176"/>
        <v>[[""]]</v>
      </c>
      <c r="I312" s="2" t="str">
        <f t="shared" si="172"/>
        <v/>
      </c>
      <c r="J312" s="2"/>
      <c r="K312" s="2" t="str">
        <f t="shared" si="182"/>
        <v/>
      </c>
      <c r="L312" s="2"/>
      <c r="M312" s="36" t="str">
        <f t="shared" si="177"/>
        <v/>
      </c>
      <c r="N312" s="36" t="str">
        <f t="shared" si="178"/>
        <v/>
      </c>
      <c r="O312" s="36" t="str">
        <f t="shared" si="179"/>
        <v/>
      </c>
      <c r="P312" s="36" t="str">
        <f t="shared" si="180"/>
        <v/>
      </c>
      <c r="Q312" s="35" t="str">
        <f t="shared" si="181"/>
        <v/>
      </c>
      <c r="R312" s="2" t="s">
        <v>921</v>
      </c>
      <c r="S312" s="2"/>
      <c r="T312" s="2"/>
      <c r="U312" s="2"/>
      <c r="V312" s="2"/>
      <c r="W312" s="2"/>
      <c r="X312" s="2"/>
      <c r="Y312" s="2"/>
      <c r="Z312" s="2"/>
      <c r="AA312" s="2"/>
      <c r="AB312" s="23"/>
      <c r="AC312" s="2"/>
      <c r="AD312" s="23"/>
      <c r="AE312" s="2"/>
      <c r="AF312" s="23"/>
      <c r="AG312" s="2"/>
      <c r="AH312" s="23"/>
      <c r="AI312" s="2"/>
      <c r="AJ312" s="23"/>
      <c r="AK312" s="2"/>
      <c r="AL312" s="23"/>
      <c r="AM312" s="2"/>
      <c r="AN312" s="23"/>
      <c r="AO312" s="2"/>
      <c r="AP312" s="23"/>
      <c r="AQ312" s="2"/>
      <c r="AR312" s="23"/>
      <c r="AS312" s="2"/>
      <c r="AT312" s="23"/>
      <c r="AU312" s="2"/>
      <c r="AV312" s="23"/>
      <c r="AW312" s="2"/>
      <c r="AX312" s="23"/>
      <c r="AY312" s="2"/>
      <c r="AZ312" s="23"/>
      <c r="BA312" s="2"/>
      <c r="BB312" s="23"/>
      <c r="BC312" s="2"/>
      <c r="BD312" s="23"/>
      <c r="BE312" s="2"/>
      <c r="BF312" s="23"/>
      <c r="BG312" s="2"/>
      <c r="BH312" s="23"/>
      <c r="BI312" s="2"/>
      <c r="BJ312" s="23"/>
      <c r="BK312" s="2"/>
      <c r="BL312" s="23"/>
      <c r="BM312" s="2"/>
      <c r="BN312" s="23"/>
      <c r="BO312" s="2"/>
      <c r="BP312" s="23"/>
      <c r="BQ312" s="2"/>
      <c r="BR312" s="23"/>
      <c r="BS312" s="2"/>
      <c r="BT312" s="23"/>
      <c r="BU312" s="2"/>
      <c r="BV312" s="23"/>
      <c r="BW312" s="2"/>
      <c r="BX312" s="23"/>
      <c r="BY312" s="2"/>
      <c r="CA312" s="1" t="str">
        <f t="shared" si="183"/>
        <v/>
      </c>
      <c r="CB312" s="5" t="str">
        <f>IF(E312&lt;&gt;"",CREATE_QUERY($B$1,A$2:AA$2,A312:AA312),"")</f>
        <v/>
      </c>
    </row>
    <row r="313" spans="1:80" ht="17">
      <c r="A313" s="2"/>
      <c r="B313" s="2"/>
      <c r="C313" s="25" t="str">
        <f t="shared" si="171"/>
        <v/>
      </c>
      <c r="D313" s="2"/>
      <c r="E313" s="2"/>
      <c r="F313" s="25" t="str">
        <f t="shared" si="175"/>
        <v/>
      </c>
      <c r="G313" s="25"/>
      <c r="H313" s="2" t="str">
        <f t="shared" si="176"/>
        <v>[[""]]</v>
      </c>
      <c r="I313" s="2" t="str">
        <f t="shared" si="172"/>
        <v/>
      </c>
      <c r="J313" s="2"/>
      <c r="K313" s="2" t="str">
        <f t="shared" si="182"/>
        <v/>
      </c>
      <c r="L313" s="2"/>
      <c r="M313" s="36" t="str">
        <f t="shared" si="177"/>
        <v/>
      </c>
      <c r="N313" s="36" t="str">
        <f t="shared" si="178"/>
        <v/>
      </c>
      <c r="O313" s="36" t="str">
        <f t="shared" si="179"/>
        <v/>
      </c>
      <c r="P313" s="36" t="str">
        <f t="shared" si="180"/>
        <v/>
      </c>
      <c r="Q313" s="35" t="str">
        <f t="shared" si="181"/>
        <v/>
      </c>
      <c r="R313" s="2" t="s">
        <v>921</v>
      </c>
      <c r="S313" s="2"/>
      <c r="T313" s="2"/>
      <c r="U313" s="2"/>
      <c r="V313" s="2"/>
      <c r="W313" s="2"/>
      <c r="X313" s="2"/>
      <c r="Y313" s="2"/>
      <c r="Z313" s="2"/>
      <c r="AA313" s="2"/>
      <c r="AB313" s="23"/>
      <c r="AC313" s="2"/>
      <c r="AD313" s="23"/>
      <c r="AE313" s="2"/>
      <c r="AF313" s="23"/>
      <c r="AG313" s="2"/>
      <c r="AH313" s="23"/>
      <c r="AI313" s="2"/>
      <c r="AJ313" s="23"/>
      <c r="AK313" s="2"/>
      <c r="AL313" s="23"/>
      <c r="AM313" s="2"/>
      <c r="AN313" s="23"/>
      <c r="AO313" s="2"/>
      <c r="AP313" s="23"/>
      <c r="AQ313" s="2"/>
      <c r="AR313" s="23"/>
      <c r="AS313" s="2"/>
      <c r="AT313" s="23"/>
      <c r="AU313" s="2"/>
      <c r="AV313" s="23"/>
      <c r="AW313" s="2"/>
      <c r="AX313" s="23"/>
      <c r="AY313" s="2"/>
      <c r="AZ313" s="23"/>
      <c r="BA313" s="2"/>
      <c r="BB313" s="23"/>
      <c r="BC313" s="2"/>
      <c r="BD313" s="23"/>
      <c r="BE313" s="2"/>
      <c r="BF313" s="23"/>
      <c r="BG313" s="2"/>
      <c r="BH313" s="23"/>
      <c r="BI313" s="2"/>
      <c r="BJ313" s="23"/>
      <c r="BK313" s="2"/>
      <c r="BL313" s="23"/>
      <c r="BM313" s="2"/>
      <c r="BN313" s="23"/>
      <c r="BO313" s="2"/>
      <c r="BP313" s="23"/>
      <c r="BQ313" s="2"/>
      <c r="BR313" s="23"/>
      <c r="BS313" s="2"/>
      <c r="BT313" s="23"/>
      <c r="BU313" s="2"/>
      <c r="BV313" s="23"/>
      <c r="BW313" s="2"/>
      <c r="BX313" s="23"/>
      <c r="BY313" s="2"/>
      <c r="CA313" s="1" t="str">
        <f t="shared" si="183"/>
        <v/>
      </c>
      <c r="CB313" s="5" t="str">
        <f>IF(E313&lt;&gt;"",CREATE_QUERY($B$1,A$2:AA$2,A313:AA313),"")</f>
        <v/>
      </c>
    </row>
    <row r="314" spans="1:80" ht="17">
      <c r="A314" s="2"/>
      <c r="B314" s="2"/>
      <c r="C314" s="25" t="str">
        <f t="shared" si="171"/>
        <v/>
      </c>
      <c r="D314" s="2"/>
      <c r="E314" s="2"/>
      <c r="F314" s="25" t="str">
        <f t="shared" si="175"/>
        <v/>
      </c>
      <c r="G314" s="25"/>
      <c r="H314" s="2" t="str">
        <f t="shared" si="176"/>
        <v>[[""]]</v>
      </c>
      <c r="I314" s="2" t="str">
        <f t="shared" si="172"/>
        <v/>
      </c>
      <c r="J314" s="2"/>
      <c r="K314" s="2" t="str">
        <f t="shared" si="182"/>
        <v/>
      </c>
      <c r="L314" s="2"/>
      <c r="M314" s="36" t="str">
        <f t="shared" si="177"/>
        <v/>
      </c>
      <c r="N314" s="36" t="str">
        <f t="shared" si="178"/>
        <v/>
      </c>
      <c r="O314" s="36" t="str">
        <f t="shared" si="179"/>
        <v/>
      </c>
      <c r="P314" s="36" t="str">
        <f t="shared" si="180"/>
        <v/>
      </c>
      <c r="Q314" s="35" t="str">
        <f t="shared" si="181"/>
        <v/>
      </c>
      <c r="R314" s="2" t="s">
        <v>921</v>
      </c>
      <c r="S314" s="2"/>
      <c r="T314" s="2"/>
      <c r="U314" s="2"/>
      <c r="V314" s="2"/>
      <c r="W314" s="2"/>
      <c r="X314" s="2"/>
      <c r="Y314" s="2"/>
      <c r="Z314" s="2"/>
      <c r="AA314" s="2"/>
      <c r="AB314" s="23"/>
      <c r="AC314" s="2"/>
      <c r="AD314" s="23"/>
      <c r="AE314" s="2"/>
      <c r="AF314" s="23"/>
      <c r="AG314" s="2"/>
      <c r="AH314" s="23"/>
      <c r="AI314" s="2"/>
      <c r="AJ314" s="23"/>
      <c r="AK314" s="2"/>
      <c r="AL314" s="23"/>
      <c r="AM314" s="2"/>
      <c r="AN314" s="23"/>
      <c r="AO314" s="2"/>
      <c r="AP314" s="23"/>
      <c r="AQ314" s="2"/>
      <c r="AR314" s="23"/>
      <c r="AS314" s="2"/>
      <c r="AT314" s="23"/>
      <c r="AU314" s="2"/>
      <c r="AV314" s="23"/>
      <c r="AW314" s="2"/>
      <c r="AX314" s="23"/>
      <c r="AY314" s="2"/>
      <c r="AZ314" s="23"/>
      <c r="BA314" s="2"/>
      <c r="BB314" s="23"/>
      <c r="BC314" s="2"/>
      <c r="BD314" s="23"/>
      <c r="BE314" s="2"/>
      <c r="BF314" s="23"/>
      <c r="BG314" s="2"/>
      <c r="BH314" s="23"/>
      <c r="BI314" s="2"/>
      <c r="BJ314" s="23"/>
      <c r="BK314" s="2"/>
      <c r="BL314" s="23"/>
      <c r="BM314" s="2"/>
      <c r="BN314" s="23"/>
      <c r="BO314" s="2"/>
      <c r="BP314" s="23"/>
      <c r="BQ314" s="2"/>
      <c r="BR314" s="23"/>
      <c r="BS314" s="2"/>
      <c r="BT314" s="23"/>
      <c r="BU314" s="2"/>
      <c r="BV314" s="23"/>
      <c r="BW314" s="2"/>
      <c r="BX314" s="23"/>
      <c r="BY314" s="2"/>
      <c r="CA314" s="1" t="str">
        <f t="shared" si="183"/>
        <v/>
      </c>
      <c r="CB314" s="5" t="str">
        <f>IF(E314&lt;&gt;"",CREATE_QUERY($B$1,A$2:AA$2,A314:AA314),"")</f>
        <v/>
      </c>
    </row>
    <row r="315" spans="1:80" ht="17">
      <c r="A315" s="2"/>
      <c r="B315" s="2"/>
      <c r="C315" s="25" t="str">
        <f t="shared" si="171"/>
        <v/>
      </c>
      <c r="D315" s="2"/>
      <c r="E315" s="2"/>
      <c r="F315" s="25" t="str">
        <f t="shared" si="175"/>
        <v/>
      </c>
      <c r="G315" s="25"/>
      <c r="H315" s="2" t="str">
        <f t="shared" si="176"/>
        <v>[[""]]</v>
      </c>
      <c r="I315" s="2" t="str">
        <f t="shared" si="172"/>
        <v/>
      </c>
      <c r="J315" s="2"/>
      <c r="K315" s="2" t="str">
        <f t="shared" si="182"/>
        <v/>
      </c>
      <c r="L315" s="2"/>
      <c r="M315" s="36" t="str">
        <f t="shared" si="177"/>
        <v/>
      </c>
      <c r="N315" s="36" t="str">
        <f t="shared" si="178"/>
        <v/>
      </c>
      <c r="O315" s="36" t="str">
        <f t="shared" si="179"/>
        <v/>
      </c>
      <c r="P315" s="36" t="str">
        <f t="shared" si="180"/>
        <v/>
      </c>
      <c r="Q315" s="35" t="str">
        <f t="shared" si="181"/>
        <v/>
      </c>
      <c r="R315" s="2" t="s">
        <v>921</v>
      </c>
      <c r="S315" s="2"/>
      <c r="T315" s="2"/>
      <c r="U315" s="2"/>
      <c r="V315" s="2"/>
      <c r="W315" s="2"/>
      <c r="X315" s="2"/>
      <c r="Y315" s="2"/>
      <c r="Z315" s="2"/>
      <c r="AA315" s="2"/>
      <c r="AB315" s="23"/>
      <c r="AC315" s="2"/>
      <c r="AD315" s="23"/>
      <c r="AE315" s="2"/>
      <c r="AF315" s="23"/>
      <c r="AG315" s="2"/>
      <c r="AH315" s="23"/>
      <c r="AI315" s="2"/>
      <c r="AJ315" s="23"/>
      <c r="AK315" s="2"/>
      <c r="AL315" s="23"/>
      <c r="AM315" s="2"/>
      <c r="AN315" s="23"/>
      <c r="AO315" s="2"/>
      <c r="AP315" s="23"/>
      <c r="AQ315" s="2"/>
      <c r="AR315" s="23"/>
      <c r="AS315" s="2"/>
      <c r="AT315" s="23"/>
      <c r="AU315" s="2"/>
      <c r="AV315" s="23"/>
      <c r="AW315" s="2"/>
      <c r="AX315" s="23"/>
      <c r="AY315" s="2"/>
      <c r="AZ315" s="23"/>
      <c r="BA315" s="2"/>
      <c r="BB315" s="23"/>
      <c r="BC315" s="2"/>
      <c r="BD315" s="23"/>
      <c r="BE315" s="2"/>
      <c r="BF315" s="23"/>
      <c r="BG315" s="2"/>
      <c r="BH315" s="23"/>
      <c r="BI315" s="2"/>
      <c r="BJ315" s="23"/>
      <c r="BK315" s="2"/>
      <c r="BL315" s="23"/>
      <c r="BM315" s="2"/>
      <c r="BN315" s="23"/>
      <c r="BO315" s="2"/>
      <c r="BP315" s="23"/>
      <c r="BQ315" s="2"/>
      <c r="BR315" s="23"/>
      <c r="BS315" s="2"/>
      <c r="BT315" s="23"/>
      <c r="BU315" s="2"/>
      <c r="BV315" s="23"/>
      <c r="BW315" s="2"/>
      <c r="BX315" s="23"/>
      <c r="BY315" s="2"/>
      <c r="CA315" s="1" t="str">
        <f t="shared" si="183"/>
        <v/>
      </c>
      <c r="CB315" s="5" t="str">
        <f>IF(E315&lt;&gt;"",CREATE_QUERY($B$1,A$2:AA$2,A315:AA315),"")</f>
        <v/>
      </c>
    </row>
    <row r="316" spans="1:80" ht="17">
      <c r="A316" s="2"/>
      <c r="B316" s="2"/>
      <c r="C316" s="25" t="str">
        <f t="shared" si="171"/>
        <v/>
      </c>
      <c r="D316" s="2"/>
      <c r="E316" s="2"/>
      <c r="F316" s="25" t="str">
        <f t="shared" si="175"/>
        <v/>
      </c>
      <c r="G316" s="25"/>
      <c r="H316" s="2" t="str">
        <f t="shared" si="176"/>
        <v>[[""]]</v>
      </c>
      <c r="I316" s="2" t="str">
        <f t="shared" si="172"/>
        <v/>
      </c>
      <c r="J316" s="2"/>
      <c r="K316" s="2" t="str">
        <f t="shared" si="182"/>
        <v/>
      </c>
      <c r="L316" s="2"/>
      <c r="M316" s="36" t="str">
        <f t="shared" si="177"/>
        <v/>
      </c>
      <c r="N316" s="36" t="str">
        <f t="shared" si="178"/>
        <v/>
      </c>
      <c r="O316" s="36" t="str">
        <f t="shared" si="179"/>
        <v/>
      </c>
      <c r="P316" s="36" t="str">
        <f t="shared" si="180"/>
        <v/>
      </c>
      <c r="Q316" s="35" t="str">
        <f t="shared" si="181"/>
        <v/>
      </c>
      <c r="R316" s="2" t="s">
        <v>921</v>
      </c>
      <c r="S316" s="2"/>
      <c r="T316" s="2"/>
      <c r="U316" s="2"/>
      <c r="V316" s="2"/>
      <c r="W316" s="2"/>
      <c r="X316" s="2"/>
      <c r="Y316" s="2"/>
      <c r="Z316" s="2"/>
      <c r="AA316" s="2"/>
      <c r="AB316" s="23"/>
      <c r="AC316" s="2"/>
      <c r="AD316" s="23"/>
      <c r="AE316" s="2"/>
      <c r="AF316" s="23"/>
      <c r="AG316" s="2"/>
      <c r="AH316" s="23"/>
      <c r="AI316" s="2"/>
      <c r="AJ316" s="23"/>
      <c r="AK316" s="2"/>
      <c r="AL316" s="23"/>
      <c r="AM316" s="2"/>
      <c r="AN316" s="23"/>
      <c r="AO316" s="2"/>
      <c r="AP316" s="23"/>
      <c r="AQ316" s="2"/>
      <c r="AR316" s="23"/>
      <c r="AS316" s="2"/>
      <c r="AT316" s="23"/>
      <c r="AU316" s="2"/>
      <c r="AV316" s="23"/>
      <c r="AW316" s="2"/>
      <c r="AX316" s="23"/>
      <c r="AY316" s="2"/>
      <c r="AZ316" s="23"/>
      <c r="BA316" s="2"/>
      <c r="BB316" s="23"/>
      <c r="BC316" s="2"/>
      <c r="BD316" s="23"/>
      <c r="BE316" s="2"/>
      <c r="BF316" s="23"/>
      <c r="BG316" s="2"/>
      <c r="BH316" s="23"/>
      <c r="BI316" s="2"/>
      <c r="BJ316" s="23"/>
      <c r="BK316" s="2"/>
      <c r="BL316" s="23"/>
      <c r="BM316" s="2"/>
      <c r="BN316" s="23"/>
      <c r="BO316" s="2"/>
      <c r="BP316" s="23"/>
      <c r="BQ316" s="2"/>
      <c r="BR316" s="23"/>
      <c r="BS316" s="2"/>
      <c r="BT316" s="23"/>
      <c r="BU316" s="2"/>
      <c r="BV316" s="23"/>
      <c r="BW316" s="2"/>
      <c r="BX316" s="23"/>
      <c r="BY316" s="2"/>
      <c r="CA316" s="1" t="str">
        <f t="shared" si="183"/>
        <v/>
      </c>
      <c r="CB316" s="5" t="str">
        <f>IF(E316&lt;&gt;"",CREATE_QUERY($B$1,A$2:AA$2,A316:AA316),"")</f>
        <v/>
      </c>
    </row>
    <row r="317" spans="1:80" ht="16">
      <c r="A317" s="2"/>
      <c r="B317" s="2"/>
      <c r="C317" s="25" t="str">
        <f t="shared" si="171"/>
        <v/>
      </c>
      <c r="D317" s="2"/>
      <c r="E317" s="2"/>
      <c r="F317" s="25" t="str">
        <f t="shared" si="175"/>
        <v/>
      </c>
      <c r="G317" s="25"/>
      <c r="H317" s="2" t="str">
        <f t="shared" si="176"/>
        <v>[[""]]</v>
      </c>
      <c r="I317" s="2" t="str">
        <f t="shared" si="172"/>
        <v/>
      </c>
      <c r="J317" s="2"/>
      <c r="K317" s="2" t="str">
        <f t="shared" si="182"/>
        <v/>
      </c>
      <c r="L317" s="2"/>
      <c r="M317" s="36" t="str">
        <f t="shared" si="177"/>
        <v/>
      </c>
      <c r="N317" s="36" t="str">
        <f t="shared" si="178"/>
        <v/>
      </c>
      <c r="O317" s="36" t="str">
        <f t="shared" si="179"/>
        <v/>
      </c>
      <c r="P317" s="36" t="str">
        <f t="shared" si="180"/>
        <v/>
      </c>
      <c r="Q317" s="35" t="str">
        <f t="shared" si="181"/>
        <v/>
      </c>
      <c r="R317" s="2" t="s">
        <v>921</v>
      </c>
      <c r="S317" s="2"/>
      <c r="T317" s="2"/>
      <c r="U317" s="2"/>
      <c r="V317" s="2"/>
      <c r="W317" s="2"/>
      <c r="X317" s="2"/>
      <c r="Y317" s="2"/>
      <c r="Z317" s="2"/>
      <c r="AA317" s="2"/>
      <c r="AB317" s="23"/>
      <c r="AC317" s="2"/>
      <c r="AD317" s="23"/>
      <c r="AE317" s="2"/>
      <c r="AF317" s="23"/>
      <c r="AG317" s="2"/>
      <c r="AH317" s="23"/>
      <c r="AI317" s="2"/>
      <c r="AJ317" s="23"/>
      <c r="AK317" s="2"/>
      <c r="AL317" s="23"/>
      <c r="AM317" s="2"/>
      <c r="AN317" s="23"/>
      <c r="AO317" s="2"/>
      <c r="AP317" s="23"/>
      <c r="AQ317" s="2"/>
      <c r="AR317" s="23"/>
      <c r="AS317" s="2"/>
      <c r="AT317" s="23"/>
      <c r="AU317" s="2"/>
      <c r="AV317" s="23"/>
      <c r="AW317" s="2"/>
      <c r="AX317" s="23"/>
      <c r="AY317" s="2"/>
      <c r="AZ317" s="23"/>
      <c r="BA317" s="2"/>
      <c r="BB317" s="23"/>
      <c r="BC317" s="2"/>
      <c r="BD317" s="23"/>
      <c r="BE317" s="2"/>
      <c r="BF317" s="23"/>
      <c r="BG317" s="2"/>
      <c r="BH317" s="23"/>
      <c r="BI317" s="2"/>
      <c r="BJ317" s="23"/>
      <c r="BK317" s="2"/>
      <c r="BL317" s="23"/>
      <c r="BM317" s="2"/>
      <c r="BN317" s="23"/>
      <c r="BO317" s="2"/>
      <c r="BP317" s="23"/>
      <c r="BQ317" s="2"/>
      <c r="BR317" s="23"/>
      <c r="BS317" s="2"/>
      <c r="BT317" s="23"/>
      <c r="BU317" s="2"/>
      <c r="BV317" s="23"/>
      <c r="BW317" s="2"/>
      <c r="BX317" s="23"/>
      <c r="BY317" s="2"/>
      <c r="CA317" s="1" t="str">
        <f t="shared" si="183"/>
        <v/>
      </c>
    </row>
    <row r="318" spans="1:80" ht="16">
      <c r="A318" s="2"/>
      <c r="B318" s="2"/>
      <c r="C318" s="25" t="str">
        <f t="shared" si="171"/>
        <v/>
      </c>
      <c r="D318" s="2"/>
      <c r="E318" s="2"/>
      <c r="F318" s="25" t="str">
        <f t="shared" si="175"/>
        <v/>
      </c>
      <c r="G318" s="25"/>
      <c r="H318" s="2" t="str">
        <f t="shared" si="176"/>
        <v>[[""]]</v>
      </c>
      <c r="I318" s="2" t="str">
        <f t="shared" si="172"/>
        <v/>
      </c>
      <c r="J318" s="2"/>
      <c r="K318" s="2" t="str">
        <f t="shared" si="182"/>
        <v/>
      </c>
      <c r="L318" s="2"/>
      <c r="M318" s="36" t="str">
        <f t="shared" si="177"/>
        <v/>
      </c>
      <c r="N318" s="36" t="str">
        <f t="shared" si="178"/>
        <v/>
      </c>
      <c r="O318" s="36" t="str">
        <f t="shared" si="179"/>
        <v/>
      </c>
      <c r="P318" s="36" t="str">
        <f t="shared" si="180"/>
        <v/>
      </c>
      <c r="Q318" s="35" t="str">
        <f t="shared" si="181"/>
        <v/>
      </c>
      <c r="R318" s="2" t="s">
        <v>921</v>
      </c>
      <c r="S318" s="2"/>
      <c r="T318" s="2"/>
      <c r="U318" s="2"/>
      <c r="V318" s="2"/>
      <c r="W318" s="2"/>
      <c r="X318" s="2"/>
      <c r="Y318" s="2"/>
      <c r="Z318" s="2"/>
      <c r="AA318" s="2"/>
      <c r="AB318" s="23"/>
      <c r="AC318" s="2"/>
      <c r="AD318" s="23"/>
      <c r="AE318" s="2"/>
      <c r="AF318" s="23"/>
      <c r="AG318" s="2"/>
      <c r="AH318" s="23"/>
      <c r="AI318" s="2"/>
      <c r="AJ318" s="23"/>
      <c r="AK318" s="2"/>
      <c r="AL318" s="23"/>
      <c r="AM318" s="2"/>
      <c r="AN318" s="23"/>
      <c r="AO318" s="2"/>
      <c r="AP318" s="23"/>
      <c r="AQ318" s="2"/>
      <c r="AR318" s="23"/>
      <c r="AS318" s="2"/>
      <c r="AT318" s="23"/>
      <c r="AU318" s="2"/>
      <c r="AV318" s="23"/>
      <c r="AW318" s="2"/>
      <c r="AX318" s="23"/>
      <c r="AY318" s="2"/>
      <c r="AZ318" s="23"/>
      <c r="BA318" s="2"/>
      <c r="BB318" s="23"/>
      <c r="BC318" s="2"/>
      <c r="BD318" s="23"/>
      <c r="BE318" s="2"/>
      <c r="BF318" s="23"/>
      <c r="BG318" s="2"/>
      <c r="BH318" s="23"/>
      <c r="BI318" s="2"/>
      <c r="BJ318" s="23"/>
      <c r="BK318" s="2"/>
      <c r="BL318" s="23"/>
      <c r="BM318" s="2"/>
      <c r="BN318" s="23"/>
      <c r="BO318" s="2"/>
      <c r="BP318" s="23"/>
      <c r="BQ318" s="2"/>
      <c r="BR318" s="23"/>
      <c r="BS318" s="2"/>
      <c r="BT318" s="23"/>
      <c r="BU318" s="2"/>
      <c r="BV318" s="23"/>
      <c r="BW318" s="2"/>
      <c r="BX318" s="23"/>
      <c r="BY318" s="2"/>
      <c r="CA318" s="1" t="str">
        <f t="shared" si="183"/>
        <v/>
      </c>
    </row>
    <row r="319" spans="1:80" ht="16">
      <c r="A319" s="2"/>
      <c r="B319" s="2"/>
      <c r="C319" s="25" t="str">
        <f t="shared" si="171"/>
        <v/>
      </c>
      <c r="D319" s="2"/>
      <c r="E319" s="2"/>
      <c r="F319" s="25" t="str">
        <f t="shared" si="175"/>
        <v/>
      </c>
      <c r="G319" s="25"/>
      <c r="H319" s="2" t="str">
        <f t="shared" si="176"/>
        <v>[[""]]</v>
      </c>
      <c r="I319" s="2" t="str">
        <f t="shared" si="172"/>
        <v/>
      </c>
      <c r="J319" s="2"/>
      <c r="K319" s="2" t="str">
        <f t="shared" si="182"/>
        <v/>
      </c>
      <c r="L319" s="2"/>
      <c r="M319" s="36" t="str">
        <f t="shared" si="177"/>
        <v/>
      </c>
      <c r="N319" s="36" t="str">
        <f t="shared" si="178"/>
        <v/>
      </c>
      <c r="O319" s="36" t="str">
        <f t="shared" si="179"/>
        <v/>
      </c>
      <c r="P319" s="36" t="str">
        <f t="shared" si="180"/>
        <v/>
      </c>
      <c r="Q319" s="35" t="str">
        <f t="shared" si="181"/>
        <v/>
      </c>
      <c r="R319" s="2" t="s">
        <v>921</v>
      </c>
      <c r="S319" s="2"/>
      <c r="T319" s="2"/>
      <c r="U319" s="2"/>
      <c r="V319" s="2"/>
      <c r="W319" s="2"/>
      <c r="X319" s="2"/>
      <c r="Y319" s="2"/>
      <c r="Z319" s="2"/>
      <c r="AA319" s="2"/>
      <c r="AB319" s="23"/>
      <c r="AC319" s="2"/>
      <c r="AD319" s="23"/>
      <c r="AE319" s="2"/>
      <c r="AF319" s="23"/>
      <c r="AG319" s="2"/>
      <c r="AH319" s="23"/>
      <c r="AI319" s="2"/>
      <c r="AJ319" s="23"/>
      <c r="AK319" s="2"/>
      <c r="AL319" s="23"/>
      <c r="AM319" s="2"/>
      <c r="AN319" s="23"/>
      <c r="AO319" s="2"/>
      <c r="AP319" s="23"/>
      <c r="AQ319" s="2"/>
      <c r="AR319" s="23"/>
      <c r="AS319" s="2"/>
      <c r="AT319" s="23"/>
      <c r="AU319" s="2"/>
      <c r="AV319" s="23"/>
      <c r="AW319" s="2"/>
      <c r="AX319" s="23"/>
      <c r="AY319" s="2"/>
      <c r="AZ319" s="23"/>
      <c r="BA319" s="2"/>
      <c r="BB319" s="23"/>
      <c r="BC319" s="2"/>
      <c r="BD319" s="23"/>
      <c r="BE319" s="2"/>
      <c r="BF319" s="23"/>
      <c r="BG319" s="2"/>
      <c r="BH319" s="23"/>
      <c r="BI319" s="2"/>
      <c r="BJ319" s="23"/>
      <c r="BK319" s="2"/>
      <c r="BL319" s="23"/>
      <c r="BM319" s="2"/>
      <c r="BN319" s="23"/>
      <c r="BO319" s="2"/>
      <c r="BP319" s="23"/>
      <c r="BQ319" s="2"/>
      <c r="BR319" s="23"/>
      <c r="BS319" s="2"/>
      <c r="BT319" s="23"/>
      <c r="BU319" s="2"/>
      <c r="BV319" s="23"/>
      <c r="BW319" s="2"/>
      <c r="BX319" s="23"/>
      <c r="BY319" s="2"/>
      <c r="CA319" s="1" t="str">
        <f t="shared" si="183"/>
        <v/>
      </c>
    </row>
    <row r="320" spans="1:80" ht="16">
      <c r="A320" s="2"/>
      <c r="B320" s="2"/>
      <c r="C320" s="25" t="str">
        <f t="shared" si="171"/>
        <v/>
      </c>
      <c r="D320" s="2"/>
      <c r="E320" s="2"/>
      <c r="F320" s="25" t="str">
        <f t="shared" si="175"/>
        <v/>
      </c>
      <c r="G320" s="25"/>
      <c r="H320" s="2" t="str">
        <f t="shared" si="176"/>
        <v>[[""]]</v>
      </c>
      <c r="I320" s="2" t="str">
        <f t="shared" si="172"/>
        <v/>
      </c>
      <c r="J320" s="2"/>
      <c r="K320" s="2" t="str">
        <f t="shared" si="182"/>
        <v/>
      </c>
      <c r="L320" s="2"/>
      <c r="M320" s="36" t="str">
        <f t="shared" si="177"/>
        <v/>
      </c>
      <c r="N320" s="36" t="str">
        <f t="shared" si="178"/>
        <v/>
      </c>
      <c r="O320" s="36" t="str">
        <f t="shared" si="179"/>
        <v/>
      </c>
      <c r="P320" s="36" t="str">
        <f t="shared" si="180"/>
        <v/>
      </c>
      <c r="Q320" s="35" t="str">
        <f t="shared" si="181"/>
        <v/>
      </c>
      <c r="R320" s="2" t="s">
        <v>921</v>
      </c>
      <c r="S320" s="2"/>
      <c r="T320" s="2"/>
      <c r="U320" s="2"/>
      <c r="V320" s="2"/>
      <c r="W320" s="2"/>
      <c r="X320" s="2"/>
      <c r="Y320" s="2"/>
      <c r="Z320" s="2"/>
      <c r="AA320" s="2"/>
      <c r="AB320" s="23"/>
      <c r="AC320" s="2"/>
      <c r="AD320" s="23"/>
      <c r="AE320" s="2"/>
      <c r="AF320" s="23"/>
      <c r="AG320" s="2"/>
      <c r="AH320" s="23"/>
      <c r="AI320" s="2"/>
      <c r="AJ320" s="23"/>
      <c r="AK320" s="2"/>
      <c r="AL320" s="23"/>
      <c r="AM320" s="2"/>
      <c r="AN320" s="23"/>
      <c r="AO320" s="2"/>
      <c r="AP320" s="23"/>
      <c r="AQ320" s="2"/>
      <c r="AR320" s="23"/>
      <c r="AS320" s="2"/>
      <c r="AT320" s="23"/>
      <c r="AU320" s="2"/>
      <c r="AV320" s="23"/>
      <c r="AW320" s="2"/>
      <c r="AX320" s="23"/>
      <c r="AY320" s="2"/>
      <c r="AZ320" s="23"/>
      <c r="BA320" s="2"/>
      <c r="BB320" s="23"/>
      <c r="BC320" s="2"/>
      <c r="BD320" s="23"/>
      <c r="BE320" s="2"/>
      <c r="BF320" s="23"/>
      <c r="BG320" s="2"/>
      <c r="BH320" s="23"/>
      <c r="BI320" s="2"/>
      <c r="BJ320" s="23"/>
      <c r="BK320" s="2"/>
      <c r="BL320" s="23"/>
      <c r="BM320" s="2"/>
      <c r="BN320" s="23"/>
      <c r="BO320" s="2"/>
      <c r="BP320" s="23"/>
      <c r="BQ320" s="2"/>
      <c r="BR320" s="23"/>
      <c r="BS320" s="2"/>
      <c r="BT320" s="23"/>
      <c r="BU320" s="2"/>
      <c r="BV320" s="23"/>
      <c r="BW320" s="2"/>
      <c r="BX320" s="23"/>
      <c r="BY320" s="2"/>
      <c r="CA320" s="1" t="str">
        <f t="shared" si="183"/>
        <v/>
      </c>
    </row>
    <row r="321" spans="1:79" ht="16">
      <c r="A321" s="2"/>
      <c r="B321" s="2"/>
      <c r="C321" s="25" t="str">
        <f t="shared" si="171"/>
        <v/>
      </c>
      <c r="D321" s="2"/>
      <c r="E321" s="2"/>
      <c r="F321" s="25" t="str">
        <f t="shared" si="175"/>
        <v/>
      </c>
      <c r="G321" s="25"/>
      <c r="H321" s="2" t="str">
        <f t="shared" si="176"/>
        <v>[[""]]</v>
      </c>
      <c r="I321" s="2" t="str">
        <f t="shared" si="172"/>
        <v/>
      </c>
      <c r="J321" s="2"/>
      <c r="K321" s="2" t="str">
        <f t="shared" si="182"/>
        <v/>
      </c>
      <c r="L321" s="2"/>
      <c r="M321" s="36" t="str">
        <f t="shared" si="177"/>
        <v/>
      </c>
      <c r="N321" s="36" t="str">
        <f t="shared" si="178"/>
        <v/>
      </c>
      <c r="O321" s="36" t="str">
        <f t="shared" si="179"/>
        <v/>
      </c>
      <c r="P321" s="36" t="str">
        <f t="shared" si="180"/>
        <v/>
      </c>
      <c r="Q321" s="35" t="str">
        <f t="shared" si="181"/>
        <v/>
      </c>
      <c r="R321" s="2" t="s">
        <v>921</v>
      </c>
      <c r="S321" s="2"/>
      <c r="T321" s="2"/>
      <c r="U321" s="2"/>
      <c r="V321" s="2"/>
      <c r="W321" s="2"/>
      <c r="X321" s="2"/>
      <c r="Y321" s="2"/>
      <c r="Z321" s="2"/>
      <c r="AA321" s="2"/>
      <c r="AB321" s="23"/>
      <c r="AC321" s="2"/>
      <c r="AD321" s="23"/>
      <c r="AE321" s="2"/>
      <c r="AF321" s="23"/>
      <c r="AG321" s="2"/>
      <c r="AH321" s="23"/>
      <c r="AI321" s="2"/>
      <c r="AJ321" s="23"/>
      <c r="AK321" s="2"/>
      <c r="AL321" s="23"/>
      <c r="AM321" s="2"/>
      <c r="AN321" s="23"/>
      <c r="AO321" s="2"/>
      <c r="AP321" s="23"/>
      <c r="AQ321" s="2"/>
      <c r="AR321" s="23"/>
      <c r="AS321" s="2"/>
      <c r="AT321" s="23"/>
      <c r="AU321" s="2"/>
      <c r="AV321" s="23"/>
      <c r="AW321" s="2"/>
      <c r="AX321" s="23"/>
      <c r="AY321" s="2"/>
      <c r="AZ321" s="23"/>
      <c r="BA321" s="2"/>
      <c r="BB321" s="23"/>
      <c r="BC321" s="2"/>
      <c r="BD321" s="23"/>
      <c r="BE321" s="2"/>
      <c r="BF321" s="23"/>
      <c r="BG321" s="2"/>
      <c r="BH321" s="23"/>
      <c r="BI321" s="2"/>
      <c r="BJ321" s="23"/>
      <c r="BK321" s="2"/>
      <c r="BL321" s="23"/>
      <c r="BM321" s="2"/>
      <c r="BN321" s="23"/>
      <c r="BO321" s="2"/>
      <c r="BP321" s="23"/>
      <c r="BQ321" s="2"/>
      <c r="BR321" s="23"/>
      <c r="BS321" s="2"/>
      <c r="BT321" s="23"/>
      <c r="BU321" s="2"/>
      <c r="BV321" s="23"/>
      <c r="BW321" s="2"/>
      <c r="BX321" s="23"/>
      <c r="BY321" s="2"/>
      <c r="CA321" s="1" t="str">
        <f t="shared" si="183"/>
        <v/>
      </c>
    </row>
    <row r="322" spans="1:79" ht="16">
      <c r="A322" s="2"/>
      <c r="B322" s="2"/>
      <c r="C322" s="25" t="str">
        <f t="shared" si="171"/>
        <v/>
      </c>
      <c r="D322" s="2"/>
      <c r="E322" s="2"/>
      <c r="F322" s="25" t="str">
        <f t="shared" si="175"/>
        <v/>
      </c>
      <c r="G322" s="25"/>
      <c r="H322" s="2" t="str">
        <f t="shared" si="176"/>
        <v>[[""]]</v>
      </c>
      <c r="I322" s="2" t="str">
        <f t="shared" si="172"/>
        <v/>
      </c>
      <c r="J322" s="2"/>
      <c r="K322" s="2" t="str">
        <f t="shared" si="182"/>
        <v/>
      </c>
      <c r="L322" s="2"/>
      <c r="M322" s="36" t="str">
        <f t="shared" si="177"/>
        <v/>
      </c>
      <c r="N322" s="36" t="str">
        <f t="shared" si="178"/>
        <v/>
      </c>
      <c r="O322" s="36" t="str">
        <f t="shared" si="179"/>
        <v/>
      </c>
      <c r="P322" s="36" t="str">
        <f t="shared" si="180"/>
        <v/>
      </c>
      <c r="Q322" s="35" t="str">
        <f t="shared" si="181"/>
        <v/>
      </c>
      <c r="R322" s="2" t="s">
        <v>921</v>
      </c>
      <c r="S322" s="2"/>
      <c r="T322" s="2"/>
      <c r="U322" s="2"/>
      <c r="V322" s="2"/>
      <c r="W322" s="2"/>
      <c r="X322" s="2"/>
      <c r="Y322" s="2"/>
      <c r="Z322" s="2"/>
      <c r="AA322" s="2"/>
      <c r="AB322" s="23"/>
      <c r="AC322" s="2"/>
      <c r="AD322" s="23"/>
      <c r="AE322" s="2"/>
      <c r="AF322" s="23"/>
      <c r="AG322" s="2"/>
      <c r="AH322" s="23"/>
      <c r="AI322" s="2"/>
      <c r="AJ322" s="23"/>
      <c r="AK322" s="2"/>
      <c r="AL322" s="23"/>
      <c r="AM322" s="2"/>
      <c r="AN322" s="23"/>
      <c r="AO322" s="2"/>
      <c r="AP322" s="23"/>
      <c r="AQ322" s="2"/>
      <c r="AR322" s="23"/>
      <c r="AS322" s="2"/>
      <c r="AT322" s="23"/>
      <c r="AU322" s="2"/>
      <c r="AV322" s="23"/>
      <c r="AW322" s="2"/>
      <c r="AX322" s="23"/>
      <c r="AY322" s="2"/>
      <c r="AZ322" s="23"/>
      <c r="BA322" s="2"/>
      <c r="BB322" s="23"/>
      <c r="BC322" s="2"/>
      <c r="BD322" s="23"/>
      <c r="BE322" s="2"/>
      <c r="BF322" s="23"/>
      <c r="BG322" s="2"/>
      <c r="BH322" s="23"/>
      <c r="BI322" s="2"/>
      <c r="BJ322" s="23"/>
      <c r="BK322" s="2"/>
      <c r="BL322" s="23"/>
      <c r="BM322" s="2"/>
      <c r="BN322" s="23"/>
      <c r="BO322" s="2"/>
      <c r="BP322" s="23"/>
      <c r="BQ322" s="2"/>
      <c r="BR322" s="23"/>
      <c r="BS322" s="2"/>
      <c r="BT322" s="23"/>
      <c r="BU322" s="2"/>
      <c r="BV322" s="23"/>
      <c r="BW322" s="2"/>
      <c r="BX322" s="23"/>
      <c r="BY322" s="2"/>
      <c r="CA322" s="1" t="str">
        <f t="shared" si="183"/>
        <v/>
      </c>
    </row>
    <row r="323" spans="1:79" ht="16">
      <c r="A323" s="2"/>
      <c r="B323" s="2"/>
      <c r="C323" s="25" t="str">
        <f t="shared" si="171"/>
        <v/>
      </c>
      <c r="D323" s="2"/>
      <c r="E323" s="2"/>
      <c r="F323" s="25" t="str">
        <f t="shared" si="175"/>
        <v/>
      </c>
      <c r="G323" s="25"/>
      <c r="H323" s="2" t="str">
        <f t="shared" si="176"/>
        <v>[[""]]</v>
      </c>
      <c r="I323" s="2" t="str">
        <f t="shared" si="172"/>
        <v/>
      </c>
      <c r="J323" s="2"/>
      <c r="K323" s="2" t="str">
        <f t="shared" si="182"/>
        <v/>
      </c>
      <c r="L323" s="2"/>
      <c r="M323" s="36" t="str">
        <f t="shared" si="177"/>
        <v/>
      </c>
      <c r="N323" s="36" t="str">
        <f t="shared" si="178"/>
        <v/>
      </c>
      <c r="O323" s="36" t="str">
        <f t="shared" si="179"/>
        <v/>
      </c>
      <c r="P323" s="36" t="str">
        <f t="shared" si="180"/>
        <v/>
      </c>
      <c r="Q323" s="35" t="str">
        <f t="shared" si="181"/>
        <v/>
      </c>
      <c r="R323" s="2" t="s">
        <v>921</v>
      </c>
      <c r="S323" s="2"/>
      <c r="T323" s="2"/>
      <c r="U323" s="2"/>
      <c r="V323" s="2"/>
      <c r="W323" s="2"/>
      <c r="X323" s="2"/>
      <c r="Y323" s="2"/>
      <c r="Z323" s="2"/>
      <c r="AA323" s="2"/>
      <c r="AB323" s="23"/>
      <c r="AC323" s="2"/>
      <c r="AD323" s="23"/>
      <c r="AE323" s="2"/>
      <c r="AF323" s="23"/>
      <c r="AG323" s="2"/>
      <c r="AH323" s="23"/>
      <c r="AI323" s="2"/>
      <c r="AJ323" s="23"/>
      <c r="AK323" s="2"/>
      <c r="AL323" s="23"/>
      <c r="AM323" s="2"/>
      <c r="AN323" s="23"/>
      <c r="AO323" s="2"/>
      <c r="AP323" s="23"/>
      <c r="AQ323" s="2"/>
      <c r="AR323" s="23"/>
      <c r="AS323" s="2"/>
      <c r="AT323" s="23"/>
      <c r="AU323" s="2"/>
      <c r="AV323" s="23"/>
      <c r="AW323" s="2"/>
      <c r="AX323" s="23"/>
      <c r="AY323" s="2"/>
      <c r="AZ323" s="23"/>
      <c r="BA323" s="2"/>
      <c r="BB323" s="23"/>
      <c r="BC323" s="2"/>
      <c r="BD323" s="23"/>
      <c r="BE323" s="2"/>
      <c r="BF323" s="23"/>
      <c r="BG323" s="2"/>
      <c r="BH323" s="23"/>
      <c r="BI323" s="2"/>
      <c r="BJ323" s="23"/>
      <c r="BK323" s="2"/>
      <c r="BL323" s="23"/>
      <c r="BM323" s="2"/>
      <c r="BN323" s="23"/>
      <c r="BO323" s="2"/>
      <c r="BP323" s="23"/>
      <c r="BQ323" s="2"/>
      <c r="BR323" s="23"/>
      <c r="BS323" s="2"/>
      <c r="BT323" s="23"/>
      <c r="BU323" s="2"/>
      <c r="BV323" s="23"/>
      <c r="BW323" s="2"/>
      <c r="BX323" s="23"/>
      <c r="BY323" s="2"/>
      <c r="CA323" s="1" t="str">
        <f t="shared" si="183"/>
        <v/>
      </c>
    </row>
    <row r="324" spans="1:79" ht="16">
      <c r="A324" s="2"/>
      <c r="B324" s="2"/>
      <c r="C324" s="25" t="str">
        <f t="shared" si="171"/>
        <v/>
      </c>
      <c r="D324" s="2"/>
      <c r="E324" s="2"/>
      <c r="F324" s="25" t="str">
        <f t="shared" si="175"/>
        <v/>
      </c>
      <c r="G324" s="25"/>
      <c r="H324" s="2" t="str">
        <f t="shared" si="176"/>
        <v>[[""]]</v>
      </c>
      <c r="I324" s="2" t="str">
        <f t="shared" si="172"/>
        <v/>
      </c>
      <c r="J324" s="2"/>
      <c r="K324" s="2" t="str">
        <f t="shared" si="182"/>
        <v/>
      </c>
      <c r="L324" s="2"/>
      <c r="M324" s="36" t="str">
        <f t="shared" si="177"/>
        <v/>
      </c>
      <c r="N324" s="36" t="str">
        <f t="shared" si="178"/>
        <v/>
      </c>
      <c r="O324" s="36" t="str">
        <f t="shared" si="179"/>
        <v/>
      </c>
      <c r="P324" s="36" t="str">
        <f t="shared" si="180"/>
        <v/>
      </c>
      <c r="Q324" s="35" t="str">
        <f t="shared" si="181"/>
        <v/>
      </c>
      <c r="R324" s="2" t="s">
        <v>921</v>
      </c>
      <c r="S324" s="2"/>
      <c r="T324" s="2"/>
      <c r="U324" s="2"/>
      <c r="V324" s="2"/>
      <c r="W324" s="2"/>
      <c r="X324" s="2"/>
      <c r="Y324" s="2"/>
      <c r="Z324" s="2"/>
      <c r="AA324" s="2"/>
      <c r="AB324" s="23"/>
      <c r="AC324" s="2"/>
      <c r="AD324" s="23"/>
      <c r="AE324" s="2"/>
      <c r="AF324" s="23"/>
      <c r="AG324" s="2"/>
      <c r="AH324" s="23"/>
      <c r="AI324" s="2"/>
      <c r="AJ324" s="23"/>
      <c r="AK324" s="2"/>
      <c r="AL324" s="23"/>
      <c r="AM324" s="2"/>
      <c r="AN324" s="23"/>
      <c r="AO324" s="2"/>
      <c r="AP324" s="23"/>
      <c r="AQ324" s="2"/>
      <c r="AR324" s="23"/>
      <c r="AS324" s="2"/>
      <c r="AT324" s="23"/>
      <c r="AU324" s="2"/>
      <c r="AV324" s="23"/>
      <c r="AW324" s="2"/>
      <c r="AX324" s="23"/>
      <c r="AY324" s="2"/>
      <c r="AZ324" s="23"/>
      <c r="BA324" s="2"/>
      <c r="BB324" s="23"/>
      <c r="BC324" s="2"/>
      <c r="BD324" s="23"/>
      <c r="BE324" s="2"/>
      <c r="BF324" s="23"/>
      <c r="BG324" s="2"/>
      <c r="BH324" s="23"/>
      <c r="BI324" s="2"/>
      <c r="BJ324" s="23"/>
      <c r="BK324" s="2"/>
      <c r="BL324" s="23"/>
      <c r="BM324" s="2"/>
      <c r="BN324" s="23"/>
      <c r="BO324" s="2"/>
      <c r="BP324" s="23"/>
      <c r="BQ324" s="2"/>
      <c r="BR324" s="23"/>
      <c r="BS324" s="2"/>
      <c r="BT324" s="23"/>
      <c r="BU324" s="2"/>
      <c r="BV324" s="23"/>
      <c r="BW324" s="2"/>
      <c r="BX324" s="23"/>
      <c r="BY324" s="2"/>
      <c r="CA324" s="1" t="str">
        <f t="shared" si="183"/>
        <v/>
      </c>
    </row>
    <row r="325" spans="1:79" ht="16">
      <c r="A325" s="2"/>
      <c r="B325" s="2"/>
      <c r="C325" s="25" t="str">
        <f t="shared" si="171"/>
        <v/>
      </c>
      <c r="D325" s="2"/>
      <c r="E325" s="2"/>
      <c r="F325" s="25" t="str">
        <f t="shared" si="175"/>
        <v/>
      </c>
      <c r="G325" s="25"/>
      <c r="H325" s="2" t="str">
        <f t="shared" si="176"/>
        <v>[[""]]</v>
      </c>
      <c r="I325" s="2" t="str">
        <f t="shared" si="172"/>
        <v/>
      </c>
      <c r="J325" s="2"/>
      <c r="K325" s="2" t="str">
        <f t="shared" si="182"/>
        <v/>
      </c>
      <c r="L325" s="2"/>
      <c r="M325" s="36" t="str">
        <f t="shared" si="177"/>
        <v/>
      </c>
      <c r="N325" s="36" t="str">
        <f t="shared" si="178"/>
        <v/>
      </c>
      <c r="O325" s="36" t="str">
        <f t="shared" si="179"/>
        <v/>
      </c>
      <c r="P325" s="36" t="str">
        <f t="shared" si="180"/>
        <v/>
      </c>
      <c r="Q325" s="35" t="str">
        <f t="shared" si="181"/>
        <v/>
      </c>
      <c r="R325" s="2" t="s">
        <v>921</v>
      </c>
      <c r="S325" s="2"/>
      <c r="T325" s="2"/>
      <c r="U325" s="2"/>
      <c r="V325" s="2"/>
      <c r="W325" s="2"/>
      <c r="X325" s="2"/>
      <c r="Y325" s="2"/>
      <c r="Z325" s="2"/>
      <c r="AA325" s="2"/>
      <c r="AB325" s="23"/>
      <c r="AC325" s="2"/>
      <c r="AD325" s="23"/>
      <c r="AE325" s="2"/>
      <c r="AF325" s="23"/>
      <c r="AG325" s="2"/>
      <c r="AH325" s="23"/>
      <c r="AI325" s="2"/>
      <c r="AJ325" s="23"/>
      <c r="AK325" s="2"/>
      <c r="AL325" s="23"/>
      <c r="AM325" s="2"/>
      <c r="AN325" s="23"/>
      <c r="AO325" s="2"/>
      <c r="AP325" s="23"/>
      <c r="AQ325" s="2"/>
      <c r="AR325" s="23"/>
      <c r="AS325" s="2"/>
      <c r="AT325" s="23"/>
      <c r="AU325" s="2"/>
      <c r="AV325" s="23"/>
      <c r="AW325" s="2"/>
      <c r="AX325" s="23"/>
      <c r="AY325" s="2"/>
      <c r="AZ325" s="23"/>
      <c r="BA325" s="2"/>
      <c r="BB325" s="23"/>
      <c r="BC325" s="2"/>
      <c r="BD325" s="23"/>
      <c r="BE325" s="2"/>
      <c r="BF325" s="23"/>
      <c r="BG325" s="2"/>
      <c r="BH325" s="23"/>
      <c r="BI325" s="2"/>
      <c r="BJ325" s="23"/>
      <c r="BK325" s="2"/>
      <c r="BL325" s="23"/>
      <c r="BM325" s="2"/>
      <c r="BN325" s="23"/>
      <c r="BO325" s="2"/>
      <c r="BP325" s="23"/>
      <c r="BQ325" s="2"/>
      <c r="BR325" s="23"/>
      <c r="BS325" s="2"/>
      <c r="BT325" s="23"/>
      <c r="BU325" s="2"/>
      <c r="BV325" s="23"/>
      <c r="BW325" s="2"/>
      <c r="BX325" s="23"/>
      <c r="BY325" s="2"/>
      <c r="CA325" s="1" t="str">
        <f t="shared" si="183"/>
        <v/>
      </c>
    </row>
    <row r="326" spans="1:79" ht="16">
      <c r="A326" s="2"/>
      <c r="B326" s="2"/>
      <c r="C326" s="25" t="str">
        <f t="shared" ref="C326:C375" si="184">IF(E326="","","common")</f>
        <v/>
      </c>
      <c r="D326" s="2"/>
      <c r="E326" s="2"/>
      <c r="F326" s="25" t="str">
        <f t="shared" si="175"/>
        <v/>
      </c>
      <c r="G326" s="25"/>
      <c r="H326" s="2" t="str">
        <f t="shared" si="176"/>
        <v>[[""]]</v>
      </c>
      <c r="I326" s="2" t="str">
        <f t="shared" si="172"/>
        <v/>
      </c>
      <c r="J326" s="2"/>
      <c r="K326" s="2" t="str">
        <f t="shared" si="182"/>
        <v/>
      </c>
      <c r="L326" s="2"/>
      <c r="M326" s="36" t="str">
        <f t="shared" si="177"/>
        <v/>
      </c>
      <c r="N326" s="36" t="str">
        <f t="shared" si="178"/>
        <v/>
      </c>
      <c r="O326" s="36" t="str">
        <f t="shared" si="179"/>
        <v/>
      </c>
      <c r="P326" s="36" t="str">
        <f t="shared" si="180"/>
        <v/>
      </c>
      <c r="Q326" s="35" t="str">
        <f t="shared" si="181"/>
        <v/>
      </c>
      <c r="R326" s="2" t="s">
        <v>921</v>
      </c>
      <c r="S326" s="2"/>
      <c r="T326" s="2"/>
      <c r="U326" s="2"/>
      <c r="V326" s="2"/>
      <c r="W326" s="2"/>
      <c r="X326" s="2"/>
      <c r="Y326" s="2"/>
      <c r="Z326" s="2"/>
      <c r="AA326" s="2"/>
      <c r="AB326" s="23"/>
      <c r="AC326" s="2"/>
      <c r="AD326" s="23"/>
      <c r="AE326" s="2"/>
      <c r="AF326" s="23"/>
      <c r="AG326" s="2"/>
      <c r="AH326" s="23"/>
      <c r="AI326" s="2"/>
      <c r="AJ326" s="23"/>
      <c r="AK326" s="2"/>
      <c r="AL326" s="23"/>
      <c r="AM326" s="2"/>
      <c r="AN326" s="23"/>
      <c r="AO326" s="2"/>
      <c r="AP326" s="23"/>
      <c r="AQ326" s="2"/>
      <c r="AR326" s="23"/>
      <c r="AS326" s="2"/>
      <c r="AT326" s="23"/>
      <c r="AU326" s="2"/>
      <c r="AV326" s="23"/>
      <c r="AW326" s="2"/>
      <c r="AX326" s="23"/>
      <c r="AY326" s="2"/>
      <c r="AZ326" s="23"/>
      <c r="BA326" s="2"/>
      <c r="BB326" s="23"/>
      <c r="BC326" s="2"/>
      <c r="BD326" s="23"/>
      <c r="BE326" s="2"/>
      <c r="BF326" s="23"/>
      <c r="BG326" s="2"/>
      <c r="BH326" s="23"/>
      <c r="BI326" s="2"/>
      <c r="BJ326" s="23"/>
      <c r="BK326" s="2"/>
      <c r="BL326" s="23"/>
      <c r="BM326" s="2"/>
      <c r="BN326" s="23"/>
      <c r="BO326" s="2"/>
      <c r="BP326" s="23"/>
      <c r="BQ326" s="2"/>
      <c r="BR326" s="23"/>
      <c r="BS326" s="2"/>
      <c r="BT326" s="23"/>
      <c r="BU326" s="2"/>
      <c r="BV326" s="23"/>
      <c r="BW326" s="2"/>
      <c r="BX326" s="23"/>
      <c r="BY326" s="2"/>
      <c r="CA326" s="1" t="str">
        <f t="shared" si="183"/>
        <v/>
      </c>
    </row>
    <row r="327" spans="1:79" ht="16">
      <c r="A327" s="2"/>
      <c r="B327" s="2"/>
      <c r="C327" s="25" t="str">
        <f t="shared" si="184"/>
        <v/>
      </c>
      <c r="D327" s="2"/>
      <c r="E327" s="2"/>
      <c r="F327" s="25" t="str">
        <f t="shared" si="175"/>
        <v/>
      </c>
      <c r="G327" s="25"/>
      <c r="H327" s="2" t="str">
        <f t="shared" si="176"/>
        <v>[[""]]</v>
      </c>
      <c r="I327" s="2" t="str">
        <f t="shared" si="172"/>
        <v/>
      </c>
      <c r="J327" s="2"/>
      <c r="K327" s="2" t="str">
        <f t="shared" si="182"/>
        <v/>
      </c>
      <c r="L327" s="2"/>
      <c r="M327" s="36" t="str">
        <f t="shared" si="177"/>
        <v/>
      </c>
      <c r="N327" s="36" t="str">
        <f t="shared" si="178"/>
        <v/>
      </c>
      <c r="O327" s="36" t="str">
        <f t="shared" si="179"/>
        <v/>
      </c>
      <c r="P327" s="36" t="str">
        <f t="shared" si="180"/>
        <v/>
      </c>
      <c r="Q327" s="35" t="str">
        <f t="shared" si="181"/>
        <v/>
      </c>
      <c r="R327" s="2" t="s">
        <v>921</v>
      </c>
      <c r="S327" s="2"/>
      <c r="T327" s="2"/>
      <c r="U327" s="2"/>
      <c r="V327" s="2"/>
      <c r="W327" s="2"/>
      <c r="X327" s="2"/>
      <c r="Y327" s="2"/>
      <c r="Z327" s="2"/>
      <c r="AA327" s="2"/>
      <c r="AB327" s="23"/>
      <c r="AC327" s="2"/>
      <c r="AD327" s="23"/>
      <c r="AE327" s="2"/>
      <c r="AF327" s="23"/>
      <c r="AG327" s="2"/>
      <c r="AH327" s="23"/>
      <c r="AI327" s="2"/>
      <c r="AJ327" s="23"/>
      <c r="AK327" s="2"/>
      <c r="AL327" s="23"/>
      <c r="AM327" s="2"/>
      <c r="AN327" s="23"/>
      <c r="AO327" s="2"/>
      <c r="AP327" s="23"/>
      <c r="AQ327" s="2"/>
      <c r="AR327" s="23"/>
      <c r="AS327" s="2"/>
      <c r="AT327" s="23"/>
      <c r="AU327" s="2"/>
      <c r="AV327" s="23"/>
      <c r="AW327" s="2"/>
      <c r="AX327" s="23"/>
      <c r="AY327" s="2"/>
      <c r="AZ327" s="23"/>
      <c r="BA327" s="2"/>
      <c r="BB327" s="23"/>
      <c r="BC327" s="2"/>
      <c r="BD327" s="23"/>
      <c r="BE327" s="2"/>
      <c r="BF327" s="23"/>
      <c r="BG327" s="2"/>
      <c r="BH327" s="23"/>
      <c r="BI327" s="2"/>
      <c r="BJ327" s="23"/>
      <c r="BK327" s="2"/>
      <c r="BL327" s="23"/>
      <c r="BM327" s="2"/>
      <c r="BN327" s="23"/>
      <c r="BO327" s="2"/>
      <c r="BP327" s="23"/>
      <c r="BQ327" s="2"/>
      <c r="BR327" s="23"/>
      <c r="BS327" s="2"/>
      <c r="BT327" s="23"/>
      <c r="BU327" s="2"/>
      <c r="BV327" s="23"/>
      <c r="BW327" s="2"/>
      <c r="BX327" s="23"/>
      <c r="BY327" s="2"/>
      <c r="CA327" s="1" t="str">
        <f t="shared" si="183"/>
        <v/>
      </c>
    </row>
    <row r="328" spans="1:79" ht="16">
      <c r="A328" s="2"/>
      <c r="B328" s="2"/>
      <c r="C328" s="25" t="str">
        <f t="shared" si="184"/>
        <v/>
      </c>
      <c r="D328" s="2"/>
      <c r="E328" s="2"/>
      <c r="F328" s="25" t="str">
        <f t="shared" si="175"/>
        <v/>
      </c>
      <c r="G328" s="25"/>
      <c r="H328" s="2" t="str">
        <f t="shared" si="176"/>
        <v>[[""]]</v>
      </c>
      <c r="I328" s="2" t="str">
        <f t="shared" si="172"/>
        <v/>
      </c>
      <c r="J328" s="2"/>
      <c r="K328" s="2" t="str">
        <f t="shared" si="182"/>
        <v/>
      </c>
      <c r="L328" s="2"/>
      <c r="M328" s="36" t="str">
        <f t="shared" si="177"/>
        <v/>
      </c>
      <c r="N328" s="36" t="str">
        <f t="shared" si="178"/>
        <v/>
      </c>
      <c r="O328" s="36" t="str">
        <f t="shared" si="179"/>
        <v/>
      </c>
      <c r="P328" s="36" t="str">
        <f t="shared" si="180"/>
        <v/>
      </c>
      <c r="Q328" s="35" t="str">
        <f t="shared" si="181"/>
        <v/>
      </c>
      <c r="R328" s="2" t="s">
        <v>921</v>
      </c>
      <c r="S328" s="2"/>
      <c r="T328" s="2"/>
      <c r="U328" s="2"/>
      <c r="V328" s="2"/>
      <c r="W328" s="2"/>
      <c r="X328" s="2"/>
      <c r="Y328" s="2"/>
      <c r="Z328" s="2"/>
      <c r="AA328" s="2"/>
      <c r="AB328" s="23"/>
      <c r="AC328" s="2"/>
      <c r="AD328" s="23"/>
      <c r="AE328" s="2"/>
      <c r="AF328" s="23"/>
      <c r="AG328" s="2"/>
      <c r="AH328" s="23"/>
      <c r="AI328" s="2"/>
      <c r="AJ328" s="23"/>
      <c r="AK328" s="2"/>
      <c r="AL328" s="23"/>
      <c r="AM328" s="2"/>
      <c r="AN328" s="23"/>
      <c r="AO328" s="2"/>
      <c r="AP328" s="23"/>
      <c r="AQ328" s="2"/>
      <c r="AR328" s="23"/>
      <c r="AS328" s="2"/>
      <c r="AT328" s="23"/>
      <c r="AU328" s="2"/>
      <c r="AV328" s="23"/>
      <c r="AW328" s="2"/>
      <c r="AX328" s="23"/>
      <c r="AY328" s="2"/>
      <c r="AZ328" s="23"/>
      <c r="BA328" s="2"/>
      <c r="BB328" s="23"/>
      <c r="BC328" s="2"/>
      <c r="BD328" s="23"/>
      <c r="BE328" s="2"/>
      <c r="BF328" s="23"/>
      <c r="BG328" s="2"/>
      <c r="BH328" s="23"/>
      <c r="BI328" s="2"/>
      <c r="BJ328" s="23"/>
      <c r="BK328" s="2"/>
      <c r="BL328" s="23"/>
      <c r="BM328" s="2"/>
      <c r="BN328" s="23"/>
      <c r="BO328" s="2"/>
      <c r="BP328" s="23"/>
      <c r="BQ328" s="2"/>
      <c r="BR328" s="23"/>
      <c r="BS328" s="2"/>
      <c r="BT328" s="23"/>
      <c r="BU328" s="2"/>
      <c r="BV328" s="23"/>
      <c r="BW328" s="2"/>
      <c r="BX328" s="23"/>
      <c r="BY328" s="2"/>
      <c r="CA328" s="1" t="str">
        <f t="shared" si="183"/>
        <v/>
      </c>
    </row>
    <row r="329" spans="1:79" ht="16">
      <c r="A329" s="2"/>
      <c r="B329" s="2"/>
      <c r="C329" s="25" t="str">
        <f t="shared" si="184"/>
        <v/>
      </c>
      <c r="D329" s="2"/>
      <c r="E329" s="2"/>
      <c r="F329" s="25" t="str">
        <f t="shared" si="175"/>
        <v/>
      </c>
      <c r="G329" s="25"/>
      <c r="H329" s="2" t="str">
        <f t="shared" si="176"/>
        <v>[[""]]</v>
      </c>
      <c r="I329" s="2" t="str">
        <f t="shared" si="172"/>
        <v/>
      </c>
      <c r="J329" s="2"/>
      <c r="K329" s="2" t="str">
        <f t="shared" si="182"/>
        <v/>
      </c>
      <c r="L329" s="2"/>
      <c r="M329" s="36" t="str">
        <f t="shared" si="177"/>
        <v/>
      </c>
      <c r="N329" s="36" t="str">
        <f t="shared" si="178"/>
        <v/>
      </c>
      <c r="O329" s="36" t="str">
        <f t="shared" si="179"/>
        <v/>
      </c>
      <c r="P329" s="36" t="str">
        <f t="shared" si="180"/>
        <v/>
      </c>
      <c r="Q329" s="35" t="str">
        <f t="shared" si="181"/>
        <v/>
      </c>
      <c r="R329" s="2" t="s">
        <v>921</v>
      </c>
      <c r="S329" s="2"/>
      <c r="T329" s="2"/>
      <c r="U329" s="2"/>
      <c r="V329" s="2"/>
      <c r="W329" s="2"/>
      <c r="X329" s="2"/>
      <c r="Y329" s="2"/>
      <c r="Z329" s="2"/>
      <c r="AA329" s="2"/>
      <c r="AB329" s="23"/>
      <c r="AC329" s="2"/>
      <c r="AD329" s="23"/>
      <c r="AE329" s="2"/>
      <c r="AF329" s="23"/>
      <c r="AG329" s="2"/>
      <c r="AH329" s="23"/>
      <c r="AI329" s="2"/>
      <c r="AJ329" s="23"/>
      <c r="AK329" s="2"/>
      <c r="AL329" s="23"/>
      <c r="AM329" s="2"/>
      <c r="AN329" s="23"/>
      <c r="AO329" s="2"/>
      <c r="AP329" s="23"/>
      <c r="AQ329" s="2"/>
      <c r="AR329" s="23"/>
      <c r="AS329" s="2"/>
      <c r="AT329" s="23"/>
      <c r="AU329" s="2"/>
      <c r="AV329" s="23"/>
      <c r="AW329" s="2"/>
      <c r="AX329" s="23"/>
      <c r="AY329" s="2"/>
      <c r="AZ329" s="23"/>
      <c r="BA329" s="2"/>
      <c r="BB329" s="23"/>
      <c r="BC329" s="2"/>
      <c r="BD329" s="23"/>
      <c r="BE329" s="2"/>
      <c r="BF329" s="23"/>
      <c r="BG329" s="2"/>
      <c r="BH329" s="23"/>
      <c r="BI329" s="2"/>
      <c r="BJ329" s="23"/>
      <c r="BK329" s="2"/>
      <c r="BL329" s="23"/>
      <c r="BM329" s="2"/>
      <c r="BN329" s="23"/>
      <c r="BO329" s="2"/>
      <c r="BP329" s="23"/>
      <c r="BQ329" s="2"/>
      <c r="BR329" s="23"/>
      <c r="BS329" s="2"/>
      <c r="BT329" s="23"/>
      <c r="BU329" s="2"/>
      <c r="BV329" s="23"/>
      <c r="BW329" s="2"/>
      <c r="BX329" s="23"/>
      <c r="BY329" s="2"/>
      <c r="CA329" s="1" t="str">
        <f t="shared" si="183"/>
        <v/>
      </c>
    </row>
    <row r="330" spans="1:79" ht="16">
      <c r="A330" s="2"/>
      <c r="B330" s="2"/>
      <c r="C330" s="25" t="str">
        <f t="shared" si="184"/>
        <v/>
      </c>
      <c r="D330" s="2"/>
      <c r="E330" s="2"/>
      <c r="F330" s="25" t="str">
        <f t="shared" si="175"/>
        <v/>
      </c>
      <c r="G330" s="25"/>
      <c r="H330" s="2" t="str">
        <f t="shared" si="176"/>
        <v>[[""]]</v>
      </c>
      <c r="I330" s="2" t="str">
        <f t="shared" ref="I330:I375" si="185">IF(AB330="","",AB330&amp;":"&amp;AC330)&amp;
IF(AD330="",""," "&amp;AD330&amp;":"&amp;AE330)&amp;
IF(AF330="",""," "&amp;AF330&amp;":"&amp;AG330)&amp;
IF(AH330="",""," "&amp;AH330&amp;":"&amp;AI330)&amp;
IF(AJ330="",""," "&amp;AJ330&amp;":"&amp;AK330)&amp;
IF(AL330="",""," "&amp;AL330&amp;":"&amp;AM330)&amp;
IF(AN330="",""," "&amp;AN330&amp;":"&amp;AO330)&amp;
IF(AP330="",""," "&amp;AP330&amp;":"&amp;AQ330)&amp;
IF(AR330="",""," "&amp;AR330&amp;":"&amp;AS330)&amp;
IF(AT330="",""," "&amp;AT330&amp;":"&amp;AU330)&amp;
IF(AV330="",""," "&amp;AV330&amp;":"&amp;AW330)&amp;
IF(AX330="",""," "&amp;AX330&amp;":"&amp;AY330)&amp;
IF(AZ330="",""," "&amp;AZ330&amp;":"&amp;BA330)&amp;
IF(BB330="",""," "&amp;BB330&amp;":"&amp;BC330)&amp;
IF(BD330="",""," "&amp;BD330&amp;":"&amp;BE330)&amp;
IF(BF330="",""," "&amp;BF330&amp;":"&amp;BG330)&amp;
IF(BH330="",""," "&amp;BH330&amp;":"&amp;BI330)&amp;
IF(BJ330="",""," "&amp;BJ330&amp;":"&amp;BK330)&amp;
IF(BL330="",""," "&amp;BL330&amp;":"&amp;BM330)&amp;
IF(BN330="",""," "&amp;BN330&amp;":"&amp;BO330)&amp;
IF(BP330="",""," "&amp;BP330&amp;":"&amp;BS330)&amp;
IF(BZ330="",""," "&amp;BZ330&amp;":"&amp;CA330)</f>
        <v/>
      </c>
      <c r="J330" s="2"/>
      <c r="K330" s="2" t="str">
        <f t="shared" si="182"/>
        <v/>
      </c>
      <c r="L330" s="2"/>
      <c r="M330" s="36" t="str">
        <f t="shared" si="177"/>
        <v/>
      </c>
      <c r="N330" s="36" t="str">
        <f t="shared" si="178"/>
        <v/>
      </c>
      <c r="O330" s="36" t="str">
        <f t="shared" si="179"/>
        <v/>
      </c>
      <c r="P330" s="36" t="str">
        <f t="shared" si="180"/>
        <v/>
      </c>
      <c r="Q330" s="35" t="str">
        <f t="shared" si="181"/>
        <v/>
      </c>
      <c r="R330" s="2" t="s">
        <v>921</v>
      </c>
      <c r="S330" s="2"/>
      <c r="T330" s="2"/>
      <c r="U330" s="2"/>
      <c r="V330" s="2"/>
      <c r="W330" s="2"/>
      <c r="X330" s="2"/>
      <c r="Y330" s="2"/>
      <c r="Z330" s="2"/>
      <c r="AA330" s="2"/>
      <c r="AB330" s="23"/>
      <c r="AC330" s="2"/>
      <c r="AD330" s="23"/>
      <c r="AE330" s="2"/>
      <c r="AF330" s="23"/>
      <c r="AG330" s="2"/>
      <c r="AH330" s="23"/>
      <c r="AI330" s="2"/>
      <c r="AJ330" s="23"/>
      <c r="AK330" s="2"/>
      <c r="AL330" s="23"/>
      <c r="AM330" s="2"/>
      <c r="AN330" s="23"/>
      <c r="AO330" s="2"/>
      <c r="AP330" s="23"/>
      <c r="AQ330" s="2"/>
      <c r="AR330" s="23"/>
      <c r="AS330" s="2"/>
      <c r="AT330" s="23"/>
      <c r="AU330" s="2"/>
      <c r="AV330" s="23"/>
      <c r="AW330" s="2"/>
      <c r="AX330" s="23"/>
      <c r="AY330" s="2"/>
      <c r="AZ330" s="23"/>
      <c r="BA330" s="2"/>
      <c r="BB330" s="23"/>
      <c r="BC330" s="2"/>
      <c r="BD330" s="23"/>
      <c r="BE330" s="2"/>
      <c r="BF330" s="23"/>
      <c r="BG330" s="2"/>
      <c r="BH330" s="23"/>
      <c r="BI330" s="2"/>
      <c r="BJ330" s="23"/>
      <c r="BK330" s="2"/>
      <c r="BL330" s="23"/>
      <c r="BM330" s="2"/>
      <c r="BN330" s="23"/>
      <c r="BO330" s="2"/>
      <c r="BP330" s="23"/>
      <c r="BQ330" s="2"/>
      <c r="BR330" s="23"/>
      <c r="BS330" s="2"/>
      <c r="BT330" s="23"/>
      <c r="BU330" s="2"/>
      <c r="BV330" s="23"/>
      <c r="BW330" s="2"/>
      <c r="BX330" s="23"/>
      <c r="BY330" s="2"/>
      <c r="CA330" s="1" t="str">
        <f t="shared" si="183"/>
        <v/>
      </c>
    </row>
    <row r="331" spans="1:79" ht="16">
      <c r="A331" s="2"/>
      <c r="B331" s="2"/>
      <c r="C331" s="25" t="str">
        <f t="shared" si="184"/>
        <v/>
      </c>
      <c r="D331" s="2"/>
      <c r="E331" s="2"/>
      <c r="F331" s="25" t="str">
        <f t="shared" si="175"/>
        <v/>
      </c>
      <c r="G331" s="25"/>
      <c r="H331" s="2" t="str">
        <f t="shared" si="176"/>
        <v>[[""]]</v>
      </c>
      <c r="I331" s="2" t="str">
        <f t="shared" si="185"/>
        <v/>
      </c>
      <c r="J331" s="2"/>
      <c r="K331" s="2" t="str">
        <f t="shared" si="182"/>
        <v/>
      </c>
      <c r="L331" s="2"/>
      <c r="M331" s="36" t="str">
        <f t="shared" si="177"/>
        <v/>
      </c>
      <c r="N331" s="36" t="str">
        <f t="shared" si="178"/>
        <v/>
      </c>
      <c r="O331" s="36" t="str">
        <f t="shared" si="179"/>
        <v/>
      </c>
      <c r="P331" s="36" t="str">
        <f t="shared" si="180"/>
        <v/>
      </c>
      <c r="Q331" s="35" t="str">
        <f t="shared" si="181"/>
        <v/>
      </c>
      <c r="R331" s="2" t="s">
        <v>921</v>
      </c>
      <c r="S331" s="2"/>
      <c r="T331" s="2"/>
      <c r="U331" s="2"/>
      <c r="V331" s="2"/>
      <c r="W331" s="2"/>
      <c r="X331" s="2"/>
      <c r="Y331" s="2"/>
      <c r="Z331" s="2"/>
      <c r="AA331" s="2"/>
      <c r="AB331" s="23"/>
      <c r="AC331" s="2"/>
      <c r="AD331" s="23"/>
      <c r="AE331" s="2"/>
      <c r="AF331" s="23"/>
      <c r="AG331" s="2"/>
      <c r="AH331" s="23"/>
      <c r="AI331" s="2"/>
      <c r="AJ331" s="23"/>
      <c r="AK331" s="2"/>
      <c r="AL331" s="23"/>
      <c r="AM331" s="2"/>
      <c r="AN331" s="23"/>
      <c r="AO331" s="2"/>
      <c r="AP331" s="23"/>
      <c r="AQ331" s="2"/>
      <c r="AR331" s="23"/>
      <c r="AS331" s="2"/>
      <c r="AT331" s="23"/>
      <c r="AU331" s="2"/>
      <c r="AV331" s="23"/>
      <c r="AW331" s="2"/>
      <c r="AX331" s="23"/>
      <c r="AY331" s="2"/>
      <c r="AZ331" s="23"/>
      <c r="BA331" s="2"/>
      <c r="BB331" s="23"/>
      <c r="BC331" s="2"/>
      <c r="BD331" s="23"/>
      <c r="BE331" s="2"/>
      <c r="BF331" s="23"/>
      <c r="BG331" s="2"/>
      <c r="BH331" s="23"/>
      <c r="BI331" s="2"/>
      <c r="BJ331" s="23"/>
      <c r="BK331" s="2"/>
      <c r="BL331" s="23"/>
      <c r="BM331" s="2"/>
      <c r="BN331" s="23"/>
      <c r="BO331" s="2"/>
      <c r="BP331" s="23"/>
      <c r="BQ331" s="2"/>
      <c r="BR331" s="23"/>
      <c r="BS331" s="2"/>
      <c r="BT331" s="23"/>
      <c r="BU331" s="2"/>
      <c r="BV331" s="23"/>
      <c r="BW331" s="2"/>
      <c r="BX331" s="23"/>
      <c r="BY331" s="2"/>
      <c r="CA331" s="1" t="str">
        <f t="shared" si="183"/>
        <v/>
      </c>
    </row>
    <row r="332" spans="1:79" ht="16">
      <c r="A332" s="2"/>
      <c r="B332" s="2"/>
      <c r="C332" s="25" t="str">
        <f t="shared" si="184"/>
        <v/>
      </c>
      <c r="D332" s="2"/>
      <c r="E332" s="2"/>
      <c r="F332" s="25" t="str">
        <f t="shared" si="175"/>
        <v/>
      </c>
      <c r="G332" s="25"/>
      <c r="H332" s="2" t="str">
        <f t="shared" si="176"/>
        <v>[[""]]</v>
      </c>
      <c r="I332" s="2" t="str">
        <f t="shared" si="185"/>
        <v/>
      </c>
      <c r="J332" s="2"/>
      <c r="K332" s="2" t="str">
        <f t="shared" si="182"/>
        <v/>
      </c>
      <c r="L332" s="2"/>
      <c r="M332" s="36" t="str">
        <f t="shared" si="177"/>
        <v/>
      </c>
      <c r="N332" s="36" t="str">
        <f t="shared" si="178"/>
        <v/>
      </c>
      <c r="O332" s="36" t="str">
        <f t="shared" si="179"/>
        <v/>
      </c>
      <c r="P332" s="36" t="str">
        <f t="shared" si="180"/>
        <v/>
      </c>
      <c r="Q332" s="35" t="str">
        <f t="shared" si="181"/>
        <v/>
      </c>
      <c r="R332" s="2" t="s">
        <v>921</v>
      </c>
      <c r="S332" s="2"/>
      <c r="T332" s="2"/>
      <c r="U332" s="2"/>
      <c r="V332" s="2"/>
      <c r="W332" s="2"/>
      <c r="X332" s="2"/>
      <c r="Y332" s="2"/>
      <c r="Z332" s="2"/>
      <c r="AA332" s="2"/>
      <c r="AB332" s="23"/>
      <c r="AC332" s="2"/>
      <c r="AD332" s="23"/>
      <c r="AE332" s="2"/>
      <c r="AF332" s="23"/>
      <c r="AG332" s="2"/>
      <c r="AH332" s="23"/>
      <c r="AI332" s="2"/>
      <c r="AJ332" s="23"/>
      <c r="AK332" s="2"/>
      <c r="AL332" s="23"/>
      <c r="AM332" s="2"/>
      <c r="AN332" s="23"/>
      <c r="AO332" s="2"/>
      <c r="AP332" s="23"/>
      <c r="AQ332" s="2"/>
      <c r="AR332" s="23"/>
      <c r="AS332" s="2"/>
      <c r="AT332" s="23"/>
      <c r="AU332" s="2"/>
      <c r="AV332" s="23"/>
      <c r="AW332" s="2"/>
      <c r="AX332" s="23"/>
      <c r="AY332" s="2"/>
      <c r="AZ332" s="23"/>
      <c r="BA332" s="2"/>
      <c r="BB332" s="23"/>
      <c r="BC332" s="2"/>
      <c r="BD332" s="23"/>
      <c r="BE332" s="2"/>
      <c r="BF332" s="23"/>
      <c r="BG332" s="2"/>
      <c r="BH332" s="23"/>
      <c r="BI332" s="2"/>
      <c r="BJ332" s="23"/>
      <c r="BK332" s="2"/>
      <c r="BL332" s="23"/>
      <c r="BM332" s="2"/>
      <c r="BN332" s="23"/>
      <c r="BO332" s="2"/>
      <c r="BP332" s="23"/>
      <c r="BQ332" s="2"/>
      <c r="BR332" s="23"/>
      <c r="BS332" s="2"/>
      <c r="BT332" s="23"/>
      <c r="BU332" s="2"/>
      <c r="BV332" s="23"/>
      <c r="BW332" s="2"/>
      <c r="BX332" s="23"/>
      <c r="BY332" s="2"/>
      <c r="CA332" s="1" t="str">
        <f t="shared" si="183"/>
        <v/>
      </c>
    </row>
    <row r="333" spans="1:79" ht="16">
      <c r="A333" s="2"/>
      <c r="B333" s="2"/>
      <c r="C333" s="25" t="str">
        <f t="shared" si="184"/>
        <v/>
      </c>
      <c r="D333" s="2"/>
      <c r="E333" s="2"/>
      <c r="F333" s="25" t="str">
        <f t="shared" si="175"/>
        <v/>
      </c>
      <c r="G333" s="25"/>
      <c r="H333" s="2" t="str">
        <f t="shared" si="176"/>
        <v>[[""]]</v>
      </c>
      <c r="I333" s="2" t="str">
        <f t="shared" si="185"/>
        <v/>
      </c>
      <c r="J333" s="2"/>
      <c r="K333" s="2" t="str">
        <f t="shared" si="182"/>
        <v/>
      </c>
      <c r="L333" s="2"/>
      <c r="M333" s="36" t="str">
        <f t="shared" si="177"/>
        <v/>
      </c>
      <c r="N333" s="36" t="str">
        <f t="shared" si="178"/>
        <v/>
      </c>
      <c r="O333" s="36" t="str">
        <f t="shared" si="179"/>
        <v/>
      </c>
      <c r="P333" s="36" t="str">
        <f t="shared" si="180"/>
        <v/>
      </c>
      <c r="Q333" s="35" t="str">
        <f t="shared" si="181"/>
        <v/>
      </c>
      <c r="R333" s="2" t="s">
        <v>921</v>
      </c>
      <c r="S333" s="2"/>
      <c r="T333" s="2"/>
      <c r="U333" s="2"/>
      <c r="V333" s="2"/>
      <c r="W333" s="2"/>
      <c r="X333" s="2"/>
      <c r="Y333" s="2"/>
      <c r="Z333" s="2"/>
      <c r="AA333" s="2"/>
      <c r="AB333" s="23"/>
      <c r="AC333" s="2"/>
      <c r="AD333" s="23"/>
      <c r="AE333" s="2"/>
      <c r="AF333" s="23"/>
      <c r="AG333" s="2"/>
      <c r="AH333" s="23"/>
      <c r="AI333" s="2"/>
      <c r="AJ333" s="23"/>
      <c r="AK333" s="2"/>
      <c r="AL333" s="23"/>
      <c r="AM333" s="2"/>
      <c r="AN333" s="23"/>
      <c r="AO333" s="2"/>
      <c r="AP333" s="23"/>
      <c r="AQ333" s="2"/>
      <c r="AR333" s="23"/>
      <c r="AS333" s="2"/>
      <c r="AT333" s="23"/>
      <c r="AU333" s="2"/>
      <c r="AV333" s="23"/>
      <c r="AW333" s="2"/>
      <c r="AX333" s="23"/>
      <c r="AY333" s="2"/>
      <c r="AZ333" s="23"/>
      <c r="BA333" s="2"/>
      <c r="BB333" s="23"/>
      <c r="BC333" s="2"/>
      <c r="BD333" s="23"/>
      <c r="BE333" s="2"/>
      <c r="BF333" s="23"/>
      <c r="BG333" s="2"/>
      <c r="BH333" s="23"/>
      <c r="BI333" s="2"/>
      <c r="BJ333" s="23"/>
      <c r="BK333" s="2"/>
      <c r="BL333" s="23"/>
      <c r="BM333" s="2"/>
      <c r="BN333" s="23"/>
      <c r="BO333" s="2"/>
      <c r="BP333" s="23"/>
      <c r="BQ333" s="2"/>
      <c r="BR333" s="23"/>
      <c r="BS333" s="2"/>
      <c r="BT333" s="23"/>
      <c r="BU333" s="2"/>
      <c r="BV333" s="23"/>
      <c r="BW333" s="2"/>
      <c r="BX333" s="23"/>
      <c r="BY333" s="2"/>
      <c r="CA333" s="1" t="str">
        <f t="shared" si="183"/>
        <v/>
      </c>
    </row>
    <row r="334" spans="1:79" ht="16">
      <c r="A334" s="2"/>
      <c r="B334" s="2"/>
      <c r="C334" s="25" t="str">
        <f t="shared" si="184"/>
        <v/>
      </c>
      <c r="D334" s="2"/>
      <c r="E334" s="2"/>
      <c r="F334" s="25" t="str">
        <f t="shared" si="175"/>
        <v/>
      </c>
      <c r="G334" s="25"/>
      <c r="H334" s="2" t="str">
        <f t="shared" si="176"/>
        <v>[[""]]</v>
      </c>
      <c r="I334" s="2" t="str">
        <f t="shared" si="185"/>
        <v/>
      </c>
      <c r="J334" s="2"/>
      <c r="K334" s="2" t="str">
        <f t="shared" si="182"/>
        <v/>
      </c>
      <c r="L334" s="2"/>
      <c r="M334" s="36" t="str">
        <f t="shared" si="177"/>
        <v/>
      </c>
      <c r="N334" s="36" t="str">
        <f t="shared" si="178"/>
        <v/>
      </c>
      <c r="O334" s="36" t="str">
        <f t="shared" si="179"/>
        <v/>
      </c>
      <c r="P334" s="36" t="str">
        <f t="shared" si="180"/>
        <v/>
      </c>
      <c r="Q334" s="35" t="str">
        <f t="shared" si="181"/>
        <v/>
      </c>
      <c r="R334" s="2" t="s">
        <v>921</v>
      </c>
      <c r="S334" s="2"/>
      <c r="T334" s="2"/>
      <c r="U334" s="2"/>
      <c r="V334" s="2"/>
      <c r="W334" s="2"/>
      <c r="X334" s="2"/>
      <c r="Y334" s="2"/>
      <c r="Z334" s="2"/>
      <c r="AA334" s="2"/>
      <c r="AB334" s="23"/>
      <c r="AC334" s="2"/>
      <c r="AD334" s="23"/>
      <c r="AE334" s="2"/>
      <c r="AF334" s="23"/>
      <c r="AG334" s="2"/>
      <c r="AH334" s="23"/>
      <c r="AI334" s="2"/>
      <c r="AJ334" s="23"/>
      <c r="AK334" s="2"/>
      <c r="AL334" s="23"/>
      <c r="AM334" s="2"/>
      <c r="AN334" s="23"/>
      <c r="AO334" s="2"/>
      <c r="AP334" s="23"/>
      <c r="AQ334" s="2"/>
      <c r="AR334" s="23"/>
      <c r="AS334" s="2"/>
      <c r="AT334" s="23"/>
      <c r="AU334" s="2"/>
      <c r="AV334" s="23"/>
      <c r="AW334" s="2"/>
      <c r="AX334" s="23"/>
      <c r="AY334" s="2"/>
      <c r="AZ334" s="23"/>
      <c r="BA334" s="2"/>
      <c r="BB334" s="23"/>
      <c r="BC334" s="2"/>
      <c r="BD334" s="23"/>
      <c r="BE334" s="2"/>
      <c r="BF334" s="23"/>
      <c r="BG334" s="2"/>
      <c r="BH334" s="23"/>
      <c r="BI334" s="2"/>
      <c r="BJ334" s="23"/>
      <c r="BK334" s="2"/>
      <c r="BL334" s="23"/>
      <c r="BM334" s="2"/>
      <c r="BN334" s="23"/>
      <c r="BO334" s="2"/>
      <c r="BP334" s="23"/>
      <c r="BQ334" s="2"/>
      <c r="BR334" s="23"/>
      <c r="BS334" s="2"/>
      <c r="BT334" s="23"/>
      <c r="BU334" s="2"/>
      <c r="BV334" s="23"/>
      <c r="BW334" s="2"/>
      <c r="BX334" s="23"/>
      <c r="BY334" s="2"/>
      <c r="CA334" s="1" t="str">
        <f t="shared" si="183"/>
        <v/>
      </c>
    </row>
    <row r="335" spans="1:79" ht="16">
      <c r="A335" s="2"/>
      <c r="B335" s="2"/>
      <c r="C335" s="25" t="str">
        <f t="shared" si="184"/>
        <v/>
      </c>
      <c r="D335" s="2"/>
      <c r="E335" s="2"/>
      <c r="F335" s="25" t="str">
        <f t="shared" si="175"/>
        <v/>
      </c>
      <c r="G335" s="25"/>
      <c r="H335" s="2" t="str">
        <f t="shared" si="176"/>
        <v>[[""]]</v>
      </c>
      <c r="I335" s="2" t="str">
        <f t="shared" si="185"/>
        <v/>
      </c>
      <c r="J335" s="2"/>
      <c r="K335" s="2" t="str">
        <f t="shared" si="182"/>
        <v/>
      </c>
      <c r="L335" s="2"/>
      <c r="M335" s="36" t="str">
        <f t="shared" si="177"/>
        <v/>
      </c>
      <c r="N335" s="36" t="str">
        <f t="shared" si="178"/>
        <v/>
      </c>
      <c r="O335" s="36" t="str">
        <f t="shared" si="179"/>
        <v/>
      </c>
      <c r="P335" s="36" t="str">
        <f t="shared" si="180"/>
        <v/>
      </c>
      <c r="Q335" s="35" t="str">
        <f t="shared" si="181"/>
        <v/>
      </c>
      <c r="R335" s="2" t="s">
        <v>921</v>
      </c>
      <c r="S335" s="2"/>
      <c r="T335" s="2"/>
      <c r="U335" s="2"/>
      <c r="V335" s="2"/>
      <c r="W335" s="2"/>
      <c r="X335" s="2"/>
      <c r="Y335" s="2"/>
      <c r="Z335" s="2"/>
      <c r="AA335" s="2"/>
      <c r="AB335" s="23"/>
      <c r="AC335" s="2"/>
      <c r="AD335" s="23"/>
      <c r="AE335" s="2"/>
      <c r="AF335" s="23"/>
      <c r="AG335" s="2"/>
      <c r="AH335" s="23"/>
      <c r="AI335" s="2"/>
      <c r="AJ335" s="23"/>
      <c r="AK335" s="2"/>
      <c r="AL335" s="23"/>
      <c r="AM335" s="2"/>
      <c r="AN335" s="23"/>
      <c r="AO335" s="2"/>
      <c r="AP335" s="23"/>
      <c r="AQ335" s="2"/>
      <c r="AR335" s="23"/>
      <c r="AS335" s="2"/>
      <c r="AT335" s="23"/>
      <c r="AU335" s="2"/>
      <c r="AV335" s="23"/>
      <c r="AW335" s="2"/>
      <c r="AX335" s="23"/>
      <c r="AY335" s="2"/>
      <c r="AZ335" s="23"/>
      <c r="BA335" s="2"/>
      <c r="BB335" s="23"/>
      <c r="BC335" s="2"/>
      <c r="BD335" s="23"/>
      <c r="BE335" s="2"/>
      <c r="BF335" s="23"/>
      <c r="BG335" s="2"/>
      <c r="BH335" s="23"/>
      <c r="BI335" s="2"/>
      <c r="BJ335" s="23"/>
      <c r="BK335" s="2"/>
      <c r="BL335" s="23"/>
      <c r="BM335" s="2"/>
      <c r="BN335" s="23"/>
      <c r="BO335" s="2"/>
      <c r="BP335" s="23"/>
      <c r="BQ335" s="2"/>
      <c r="BR335" s="23"/>
      <c r="BS335" s="2"/>
      <c r="BT335" s="23"/>
      <c r="BU335" s="2"/>
      <c r="BV335" s="23"/>
      <c r="BW335" s="2"/>
      <c r="BX335" s="23"/>
      <c r="BY335" s="2"/>
      <c r="CA335" s="1" t="str">
        <f t="shared" si="183"/>
        <v/>
      </c>
    </row>
    <row r="336" spans="1:79" ht="16">
      <c r="A336" s="2"/>
      <c r="B336" s="2"/>
      <c r="C336" s="25" t="str">
        <f t="shared" si="184"/>
        <v/>
      </c>
      <c r="D336" s="2"/>
      <c r="E336" s="2"/>
      <c r="F336" s="25" t="str">
        <f t="shared" si="175"/>
        <v/>
      </c>
      <c r="G336" s="25"/>
      <c r="H336" s="2" t="str">
        <f t="shared" si="176"/>
        <v>[[""]]</v>
      </c>
      <c r="I336" s="2" t="str">
        <f t="shared" si="185"/>
        <v/>
      </c>
      <c r="J336" s="2"/>
      <c r="K336" s="2" t="str">
        <f t="shared" si="182"/>
        <v/>
      </c>
      <c r="L336" s="2"/>
      <c r="M336" s="36" t="str">
        <f t="shared" si="177"/>
        <v/>
      </c>
      <c r="N336" s="36" t="str">
        <f t="shared" si="178"/>
        <v/>
      </c>
      <c r="O336" s="36" t="str">
        <f t="shared" si="179"/>
        <v/>
      </c>
      <c r="P336" s="36" t="str">
        <f t="shared" si="180"/>
        <v/>
      </c>
      <c r="Q336" s="35" t="str">
        <f t="shared" si="181"/>
        <v/>
      </c>
      <c r="R336" s="2" t="s">
        <v>921</v>
      </c>
      <c r="S336" s="2"/>
      <c r="T336" s="2"/>
      <c r="U336" s="2"/>
      <c r="V336" s="2"/>
      <c r="W336" s="2"/>
      <c r="X336" s="2"/>
      <c r="Y336" s="2"/>
      <c r="Z336" s="2"/>
      <c r="AA336" s="2"/>
      <c r="AB336" s="23"/>
      <c r="AC336" s="2"/>
      <c r="AD336" s="23"/>
      <c r="AE336" s="2"/>
      <c r="AF336" s="23"/>
      <c r="AG336" s="2"/>
      <c r="AH336" s="23"/>
      <c r="AI336" s="2"/>
      <c r="AJ336" s="23"/>
      <c r="AK336" s="2"/>
      <c r="AL336" s="23"/>
      <c r="AM336" s="2"/>
      <c r="AN336" s="23"/>
      <c r="AO336" s="2"/>
      <c r="AP336" s="23"/>
      <c r="AQ336" s="2"/>
      <c r="AR336" s="23"/>
      <c r="AS336" s="2"/>
      <c r="AT336" s="23"/>
      <c r="AU336" s="2"/>
      <c r="AV336" s="23"/>
      <c r="AW336" s="2"/>
      <c r="AX336" s="23"/>
      <c r="AY336" s="2"/>
      <c r="AZ336" s="23"/>
      <c r="BA336" s="2"/>
      <c r="BB336" s="23"/>
      <c r="BC336" s="2"/>
      <c r="BD336" s="23"/>
      <c r="BE336" s="2"/>
      <c r="BF336" s="23"/>
      <c r="BG336" s="2"/>
      <c r="BH336" s="23"/>
      <c r="BI336" s="2"/>
      <c r="BJ336" s="23"/>
      <c r="BK336" s="2"/>
      <c r="BL336" s="23"/>
      <c r="BM336" s="2"/>
      <c r="BN336" s="23"/>
      <c r="BO336" s="2"/>
      <c r="BP336" s="23"/>
      <c r="BQ336" s="2"/>
      <c r="BR336" s="23"/>
      <c r="BS336" s="2"/>
      <c r="BT336" s="23"/>
      <c r="BU336" s="2"/>
      <c r="BV336" s="23"/>
      <c r="BW336" s="2"/>
      <c r="BX336" s="23"/>
      <c r="BY336" s="2"/>
      <c r="CA336" s="1" t="str">
        <f t="shared" si="183"/>
        <v/>
      </c>
    </row>
    <row r="337" spans="1:79" ht="16">
      <c r="A337" s="2"/>
      <c r="B337" s="2"/>
      <c r="C337" s="25" t="str">
        <f t="shared" si="184"/>
        <v/>
      </c>
      <c r="D337" s="2"/>
      <c r="E337" s="2"/>
      <c r="F337" s="25" t="str">
        <f t="shared" si="175"/>
        <v/>
      </c>
      <c r="G337" s="25"/>
      <c r="H337" s="2" t="str">
        <f t="shared" si="176"/>
        <v>[[""]]</v>
      </c>
      <c r="I337" s="2" t="str">
        <f t="shared" si="185"/>
        <v/>
      </c>
      <c r="J337" s="2"/>
      <c r="K337" s="2" t="str">
        <f t="shared" si="182"/>
        <v/>
      </c>
      <c r="L337" s="2"/>
      <c r="M337" s="36" t="str">
        <f t="shared" si="177"/>
        <v/>
      </c>
      <c r="N337" s="36" t="str">
        <f t="shared" si="178"/>
        <v/>
      </c>
      <c r="O337" s="36" t="str">
        <f t="shared" si="179"/>
        <v/>
      </c>
      <c r="P337" s="36" t="str">
        <f t="shared" si="180"/>
        <v/>
      </c>
      <c r="Q337" s="35" t="str">
        <f t="shared" si="181"/>
        <v/>
      </c>
      <c r="R337" s="2" t="s">
        <v>921</v>
      </c>
      <c r="S337" s="2"/>
      <c r="T337" s="2"/>
      <c r="U337" s="2"/>
      <c r="V337" s="2"/>
      <c r="W337" s="2"/>
      <c r="X337" s="2"/>
      <c r="Y337" s="2"/>
      <c r="Z337" s="2"/>
      <c r="AA337" s="2"/>
      <c r="AB337" s="23"/>
      <c r="AC337" s="2"/>
      <c r="AD337" s="23"/>
      <c r="AE337" s="2"/>
      <c r="AF337" s="23"/>
      <c r="AG337" s="2"/>
      <c r="AH337" s="23"/>
      <c r="AI337" s="2"/>
      <c r="AJ337" s="23"/>
      <c r="AK337" s="2"/>
      <c r="AL337" s="23"/>
      <c r="AM337" s="2"/>
      <c r="AN337" s="23"/>
      <c r="AO337" s="2"/>
      <c r="AP337" s="23"/>
      <c r="AQ337" s="2"/>
      <c r="AR337" s="23"/>
      <c r="AS337" s="2"/>
      <c r="AT337" s="23"/>
      <c r="AU337" s="2"/>
      <c r="AV337" s="23"/>
      <c r="AW337" s="2"/>
      <c r="AX337" s="23"/>
      <c r="AY337" s="2"/>
      <c r="AZ337" s="23"/>
      <c r="BA337" s="2"/>
      <c r="BB337" s="23"/>
      <c r="BC337" s="2"/>
      <c r="BD337" s="23"/>
      <c r="BE337" s="2"/>
      <c r="BF337" s="23"/>
      <c r="BG337" s="2"/>
      <c r="BH337" s="23"/>
      <c r="BI337" s="2"/>
      <c r="BJ337" s="23"/>
      <c r="BK337" s="2"/>
      <c r="BL337" s="23"/>
      <c r="BM337" s="2"/>
      <c r="BN337" s="23"/>
      <c r="BO337" s="2"/>
      <c r="BP337" s="23"/>
      <c r="BQ337" s="2"/>
      <c r="BR337" s="23"/>
      <c r="BS337" s="2"/>
      <c r="BT337" s="23"/>
      <c r="BU337" s="2"/>
      <c r="BV337" s="23"/>
      <c r="BW337" s="2"/>
      <c r="BX337" s="23"/>
      <c r="BY337" s="2"/>
      <c r="CA337" s="1" t="str">
        <f t="shared" si="183"/>
        <v/>
      </c>
    </row>
    <row r="338" spans="1:79" ht="16">
      <c r="A338" s="2"/>
      <c r="B338" s="2"/>
      <c r="C338" s="25" t="str">
        <f t="shared" si="184"/>
        <v/>
      </c>
      <c r="D338" s="2"/>
      <c r="E338" s="2"/>
      <c r="F338" s="25" t="str">
        <f t="shared" si="175"/>
        <v/>
      </c>
      <c r="G338" s="25"/>
      <c r="H338" s="2" t="str">
        <f t="shared" si="176"/>
        <v>[[""]]</v>
      </c>
      <c r="I338" s="2" t="str">
        <f t="shared" si="185"/>
        <v/>
      </c>
      <c r="J338" s="2"/>
      <c r="K338" s="2" t="str">
        <f t="shared" si="182"/>
        <v/>
      </c>
      <c r="L338" s="2"/>
      <c r="M338" s="36" t="str">
        <f t="shared" si="177"/>
        <v/>
      </c>
      <c r="N338" s="36" t="str">
        <f t="shared" si="178"/>
        <v/>
      </c>
      <c r="O338" s="36" t="str">
        <f t="shared" si="179"/>
        <v/>
      </c>
      <c r="P338" s="36" t="str">
        <f t="shared" si="180"/>
        <v/>
      </c>
      <c r="Q338" s="35" t="str">
        <f t="shared" si="181"/>
        <v/>
      </c>
      <c r="R338" s="2" t="s">
        <v>921</v>
      </c>
      <c r="S338" s="2"/>
      <c r="T338" s="2"/>
      <c r="U338" s="2"/>
      <c r="V338" s="2"/>
      <c r="W338" s="2"/>
      <c r="X338" s="2"/>
      <c r="Y338" s="2"/>
      <c r="Z338" s="2"/>
      <c r="AA338" s="2"/>
      <c r="AB338" s="23"/>
      <c r="AC338" s="2"/>
      <c r="AD338" s="23"/>
      <c r="AE338" s="2"/>
      <c r="AF338" s="23"/>
      <c r="AG338" s="2"/>
      <c r="AH338" s="23"/>
      <c r="AI338" s="2"/>
      <c r="AJ338" s="23"/>
      <c r="AK338" s="2"/>
      <c r="AL338" s="23"/>
      <c r="AM338" s="2"/>
      <c r="AN338" s="23"/>
      <c r="AO338" s="2"/>
      <c r="AP338" s="23"/>
      <c r="AQ338" s="2"/>
      <c r="AR338" s="23"/>
      <c r="AS338" s="2"/>
      <c r="AT338" s="23"/>
      <c r="AU338" s="2"/>
      <c r="AV338" s="23"/>
      <c r="AW338" s="2"/>
      <c r="AX338" s="23"/>
      <c r="AY338" s="2"/>
      <c r="AZ338" s="23"/>
      <c r="BA338" s="2"/>
      <c r="BB338" s="23"/>
      <c r="BC338" s="2"/>
      <c r="BD338" s="23"/>
      <c r="BE338" s="2"/>
      <c r="BF338" s="23"/>
      <c r="BG338" s="2"/>
      <c r="BH338" s="23"/>
      <c r="BI338" s="2"/>
      <c r="BJ338" s="23"/>
      <c r="BK338" s="2"/>
      <c r="BL338" s="23"/>
      <c r="BM338" s="2"/>
      <c r="BN338" s="23"/>
      <c r="BO338" s="2"/>
      <c r="BP338" s="23"/>
      <c r="BQ338" s="2"/>
      <c r="BR338" s="23"/>
      <c r="BS338" s="2"/>
      <c r="BT338" s="23"/>
      <c r="BU338" s="2"/>
      <c r="BV338" s="23"/>
      <c r="BW338" s="2"/>
      <c r="BX338" s="23"/>
      <c r="BY338" s="2"/>
      <c r="CA338" s="1" t="str">
        <f t="shared" si="183"/>
        <v/>
      </c>
    </row>
    <row r="339" spans="1:79" ht="16">
      <c r="A339" s="2"/>
      <c r="B339" s="2"/>
      <c r="C339" s="25" t="str">
        <f t="shared" si="184"/>
        <v/>
      </c>
      <c r="D339" s="2"/>
      <c r="E339" s="2"/>
      <c r="F339" s="25" t="str">
        <f t="shared" si="175"/>
        <v/>
      </c>
      <c r="G339" s="25"/>
      <c r="H339" s="2" t="str">
        <f t="shared" si="176"/>
        <v>[[""]]</v>
      </c>
      <c r="I339" s="2" t="str">
        <f t="shared" si="185"/>
        <v/>
      </c>
      <c r="J339" s="2"/>
      <c r="K339" s="2" t="str">
        <f t="shared" si="182"/>
        <v/>
      </c>
      <c r="L339" s="2"/>
      <c r="M339" s="36" t="str">
        <f t="shared" si="177"/>
        <v/>
      </c>
      <c r="N339" s="36" t="str">
        <f t="shared" si="178"/>
        <v/>
      </c>
      <c r="O339" s="36" t="str">
        <f t="shared" si="179"/>
        <v/>
      </c>
      <c r="P339" s="36" t="str">
        <f t="shared" si="180"/>
        <v/>
      </c>
      <c r="Q339" s="35" t="str">
        <f t="shared" si="181"/>
        <v/>
      </c>
      <c r="R339" s="2" t="s">
        <v>921</v>
      </c>
      <c r="S339" s="2"/>
      <c r="T339" s="2"/>
      <c r="U339" s="2"/>
      <c r="V339" s="2"/>
      <c r="W339" s="2"/>
      <c r="X339" s="2"/>
      <c r="Y339" s="2"/>
      <c r="Z339" s="2"/>
      <c r="AA339" s="2"/>
      <c r="AB339" s="23"/>
      <c r="AC339" s="2"/>
      <c r="AD339" s="23"/>
      <c r="AE339" s="2"/>
      <c r="AF339" s="23"/>
      <c r="AG339" s="2"/>
      <c r="AH339" s="23"/>
      <c r="AI339" s="2"/>
      <c r="AJ339" s="23"/>
      <c r="AK339" s="2"/>
      <c r="AL339" s="23"/>
      <c r="AM339" s="2"/>
      <c r="AN339" s="23"/>
      <c r="AO339" s="2"/>
      <c r="AP339" s="23"/>
      <c r="AQ339" s="2"/>
      <c r="AR339" s="23"/>
      <c r="AS339" s="2"/>
      <c r="AT339" s="23"/>
      <c r="AU339" s="2"/>
      <c r="AV339" s="23"/>
      <c r="AW339" s="2"/>
      <c r="AX339" s="23"/>
      <c r="AY339" s="2"/>
      <c r="AZ339" s="23"/>
      <c r="BA339" s="2"/>
      <c r="BB339" s="23"/>
      <c r="BC339" s="2"/>
      <c r="BD339" s="23"/>
      <c r="BE339" s="2"/>
      <c r="BF339" s="23"/>
      <c r="BG339" s="2"/>
      <c r="BH339" s="23"/>
      <c r="BI339" s="2"/>
      <c r="BJ339" s="23"/>
      <c r="BK339" s="2"/>
      <c r="BL339" s="23"/>
      <c r="BM339" s="2"/>
      <c r="BN339" s="23"/>
      <c r="BO339" s="2"/>
      <c r="BP339" s="23"/>
      <c r="BQ339" s="2"/>
      <c r="BR339" s="23"/>
      <c r="BS339" s="2"/>
      <c r="BT339" s="23"/>
      <c r="BU339" s="2"/>
      <c r="BV339" s="23"/>
      <c r="BW339" s="2"/>
      <c r="BX339" s="23"/>
      <c r="BY339" s="2"/>
      <c r="CA339" s="1" t="str">
        <f t="shared" si="183"/>
        <v/>
      </c>
    </row>
    <row r="340" spans="1:79" ht="16">
      <c r="A340" s="2"/>
      <c r="B340" s="2"/>
      <c r="C340" s="25" t="str">
        <f t="shared" si="184"/>
        <v/>
      </c>
      <c r="D340" s="2"/>
      <c r="E340" s="2"/>
      <c r="F340" s="25" t="str">
        <f t="shared" si="175"/>
        <v/>
      </c>
      <c r="G340" s="25"/>
      <c r="H340" s="2" t="str">
        <f t="shared" si="176"/>
        <v>[[""]]</v>
      </c>
      <c r="I340" s="2" t="str">
        <f t="shared" si="185"/>
        <v/>
      </c>
      <c r="J340" s="2"/>
      <c r="K340" s="2" t="str">
        <f t="shared" si="182"/>
        <v/>
      </c>
      <c r="L340" s="2"/>
      <c r="M340" s="36" t="str">
        <f t="shared" si="177"/>
        <v/>
      </c>
      <c r="N340" s="36" t="str">
        <f t="shared" si="178"/>
        <v/>
      </c>
      <c r="O340" s="36" t="str">
        <f t="shared" si="179"/>
        <v/>
      </c>
      <c r="P340" s="36" t="str">
        <f t="shared" si="180"/>
        <v/>
      </c>
      <c r="Q340" s="35" t="str">
        <f t="shared" si="181"/>
        <v/>
      </c>
      <c r="R340" s="2" t="s">
        <v>921</v>
      </c>
      <c r="S340" s="2"/>
      <c r="T340" s="2"/>
      <c r="U340" s="2"/>
      <c r="V340" s="2"/>
      <c r="W340" s="2"/>
      <c r="X340" s="2"/>
      <c r="Y340" s="2"/>
      <c r="Z340" s="2"/>
      <c r="AA340" s="2"/>
      <c r="AB340" s="23"/>
      <c r="AC340" s="2"/>
      <c r="AD340" s="23"/>
      <c r="AE340" s="2"/>
      <c r="AF340" s="23"/>
      <c r="AG340" s="2"/>
      <c r="AH340" s="23"/>
      <c r="AI340" s="2"/>
      <c r="AJ340" s="23"/>
      <c r="AK340" s="2"/>
      <c r="AL340" s="23"/>
      <c r="AM340" s="2"/>
      <c r="AN340" s="23"/>
      <c r="AO340" s="2"/>
      <c r="AP340" s="23"/>
      <c r="AQ340" s="2"/>
      <c r="AR340" s="23"/>
      <c r="AS340" s="2"/>
      <c r="AT340" s="23"/>
      <c r="AU340" s="2"/>
      <c r="AV340" s="23"/>
      <c r="AW340" s="2"/>
      <c r="AX340" s="23"/>
      <c r="AY340" s="2"/>
      <c r="AZ340" s="23"/>
      <c r="BA340" s="2"/>
      <c r="BB340" s="23"/>
      <c r="BC340" s="2"/>
      <c r="BD340" s="23"/>
      <c r="BE340" s="2"/>
      <c r="BF340" s="23"/>
      <c r="BG340" s="2"/>
      <c r="BH340" s="23"/>
      <c r="BI340" s="2"/>
      <c r="BJ340" s="23"/>
      <c r="BK340" s="2"/>
      <c r="BL340" s="23"/>
      <c r="BM340" s="2"/>
      <c r="BN340" s="23"/>
      <c r="BO340" s="2"/>
      <c r="BP340" s="23"/>
      <c r="BQ340" s="2"/>
      <c r="BR340" s="23"/>
      <c r="BS340" s="2"/>
      <c r="BT340" s="23"/>
      <c r="BU340" s="2"/>
      <c r="BV340" s="23"/>
      <c r="BW340" s="2"/>
      <c r="BX340" s="23"/>
      <c r="BY340" s="2"/>
      <c r="CA340" s="1" t="str">
        <f t="shared" si="183"/>
        <v/>
      </c>
    </row>
    <row r="341" spans="1:79" ht="16">
      <c r="A341" s="2"/>
      <c r="B341" s="2"/>
      <c r="C341" s="25" t="str">
        <f t="shared" si="184"/>
        <v/>
      </c>
      <c r="D341" s="2"/>
      <c r="E341" s="2"/>
      <c r="F341" s="25" t="str">
        <f t="shared" si="175"/>
        <v/>
      </c>
      <c r="G341" s="25"/>
      <c r="H341" s="2" t="str">
        <f t="shared" si="176"/>
        <v>[[""]]</v>
      </c>
      <c r="I341" s="2" t="str">
        <f t="shared" si="185"/>
        <v/>
      </c>
      <c r="J341" s="2"/>
      <c r="K341" s="2" t="str">
        <f t="shared" si="182"/>
        <v/>
      </c>
      <c r="L341" s="2"/>
      <c r="M341" s="36" t="str">
        <f t="shared" si="177"/>
        <v/>
      </c>
      <c r="N341" s="36" t="str">
        <f t="shared" si="178"/>
        <v/>
      </c>
      <c r="O341" s="36" t="str">
        <f t="shared" si="179"/>
        <v/>
      </c>
      <c r="P341" s="36" t="str">
        <f t="shared" si="180"/>
        <v/>
      </c>
      <c r="Q341" s="35" t="str">
        <f t="shared" si="181"/>
        <v/>
      </c>
      <c r="R341" s="2" t="s">
        <v>921</v>
      </c>
      <c r="S341" s="2"/>
      <c r="T341" s="2"/>
      <c r="U341" s="2"/>
      <c r="V341" s="2"/>
      <c r="W341" s="2"/>
      <c r="X341" s="2"/>
      <c r="Y341" s="2"/>
      <c r="Z341" s="2"/>
      <c r="AA341" s="2"/>
      <c r="AB341" s="23"/>
      <c r="AC341" s="2"/>
      <c r="AD341" s="23"/>
      <c r="AE341" s="2"/>
      <c r="AF341" s="23"/>
      <c r="AG341" s="2"/>
      <c r="AH341" s="23"/>
      <c r="AI341" s="2"/>
      <c r="AJ341" s="23"/>
      <c r="AK341" s="2"/>
      <c r="AL341" s="23"/>
      <c r="AM341" s="2"/>
      <c r="AN341" s="23"/>
      <c r="AO341" s="2"/>
      <c r="AP341" s="23"/>
      <c r="AQ341" s="2"/>
      <c r="AR341" s="23"/>
      <c r="AS341" s="2"/>
      <c r="AT341" s="23"/>
      <c r="AU341" s="2"/>
      <c r="AV341" s="23"/>
      <c r="AW341" s="2"/>
      <c r="AX341" s="23"/>
      <c r="AY341" s="2"/>
      <c r="AZ341" s="23"/>
      <c r="BA341" s="2"/>
      <c r="BB341" s="23"/>
      <c r="BC341" s="2"/>
      <c r="BD341" s="23"/>
      <c r="BE341" s="2"/>
      <c r="BF341" s="23"/>
      <c r="BG341" s="2"/>
      <c r="BH341" s="23"/>
      <c r="BI341" s="2"/>
      <c r="BJ341" s="23"/>
      <c r="BK341" s="2"/>
      <c r="BL341" s="23"/>
      <c r="BM341" s="2"/>
      <c r="BN341" s="23"/>
      <c r="BO341" s="2"/>
      <c r="BP341" s="23"/>
      <c r="BQ341" s="2"/>
      <c r="BR341" s="23"/>
      <c r="BS341" s="2"/>
      <c r="BT341" s="23"/>
      <c r="BU341" s="2"/>
      <c r="BV341" s="23"/>
      <c r="BW341" s="2"/>
      <c r="BX341" s="23"/>
      <c r="BY341" s="2"/>
      <c r="CA341" s="1" t="str">
        <f t="shared" si="183"/>
        <v/>
      </c>
    </row>
    <row r="342" spans="1:79" ht="16">
      <c r="A342" s="2"/>
      <c r="B342" s="2"/>
      <c r="C342" s="25" t="str">
        <f t="shared" si="184"/>
        <v/>
      </c>
      <c r="D342" s="2"/>
      <c r="E342" s="2"/>
      <c r="F342" s="25" t="str">
        <f t="shared" si="175"/>
        <v/>
      </c>
      <c r="G342" s="25"/>
      <c r="H342" s="2" t="str">
        <f t="shared" si="176"/>
        <v>[[""]]</v>
      </c>
      <c r="I342" s="2" t="str">
        <f t="shared" si="185"/>
        <v/>
      </c>
      <c r="J342" s="2"/>
      <c r="K342" s="2" t="str">
        <f t="shared" ref="K342:K375" si="186">IF(AB342="","",AB342&amp;"="&amp;AC342)&amp;
IF(AD342="","","|"&amp;AD342&amp;"="&amp;AE342)&amp;
IF(AF342="","","|"&amp;AF342&amp;"="&amp;AG342)&amp;
IF(AH342="","","|"&amp;AH342&amp;"="&amp;AI342)&amp;
IF(AJ342="","","|"&amp;AJ342&amp;"="&amp;AK342)&amp;
IF(AL342="","","|"&amp;AL342&amp;"="&amp;AM342)&amp;
IF(AN342="","","|"&amp;AN342&amp;"="&amp;AO342)&amp;
IF(AP342="","","|"&amp;AP342&amp;"="&amp;AQ342)&amp;
IF(AR342="","","|"&amp;AR342&amp;"="&amp;AS342)&amp;
IF(AT342="","","|"&amp;AT342&amp;"="&amp;AU342)&amp;
IF(AV342="","","|"&amp;AV342&amp;"="&amp;AW342)&amp;
IF(AX342="","","|"&amp;AX342&amp;"="&amp;AY342)&amp;
IF(AZ342="","","|"&amp;AZ342&amp;"="&amp;BA342)&amp;
IF(BB342="","","|"&amp;BB342&amp;"="&amp;BC342)&amp;
IF(BD342="","","|"&amp;BD342&amp;"="&amp;BE342)&amp;
IF(BF342="","","|"&amp;BF342&amp;"="&amp;BG342)&amp;
IF(BH342="","","|"&amp;BH342&amp;"="&amp;BI342)&amp;
IF(BJ342="","","|"&amp;BJ342&amp;"="&amp;BK342)&amp;
IF(BL342="","","|"&amp;BL342&amp;"="&amp;BM342)&amp;
IF(BN342="","","|"&amp;BN342&amp;"="&amp;BO342)&amp;
IF(BP342="","","|"&amp;BP342&amp;"="&amp;BS342)&amp;
IF(BZ342="","","|"&amp;BZ342&amp;"="&amp;CA342)</f>
        <v/>
      </c>
      <c r="L342" s="2"/>
      <c r="M342" s="36" t="str">
        <f t="shared" si="177"/>
        <v/>
      </c>
      <c r="N342" s="36" t="str">
        <f t="shared" si="178"/>
        <v/>
      </c>
      <c r="O342" s="36" t="str">
        <f t="shared" si="179"/>
        <v/>
      </c>
      <c r="P342" s="36" t="str">
        <f t="shared" si="180"/>
        <v/>
      </c>
      <c r="Q342" s="35" t="str">
        <f t="shared" si="181"/>
        <v/>
      </c>
      <c r="R342" s="2" t="s">
        <v>921</v>
      </c>
      <c r="S342" s="2"/>
      <c r="T342" s="2"/>
      <c r="U342" s="2"/>
      <c r="V342" s="2"/>
      <c r="W342" s="2"/>
      <c r="X342" s="2"/>
      <c r="Y342" s="2"/>
      <c r="Z342" s="2"/>
      <c r="AA342" s="2"/>
      <c r="AB342" s="23"/>
      <c r="AC342" s="2"/>
      <c r="AD342" s="23"/>
      <c r="AE342" s="2"/>
      <c r="AF342" s="23"/>
      <c r="AG342" s="2"/>
      <c r="AH342" s="23"/>
      <c r="AI342" s="2"/>
      <c r="AJ342" s="23"/>
      <c r="AK342" s="2"/>
      <c r="AL342" s="23"/>
      <c r="AM342" s="2"/>
      <c r="AN342" s="23"/>
      <c r="AO342" s="2"/>
      <c r="AP342" s="23"/>
      <c r="AQ342" s="2"/>
      <c r="AR342" s="23"/>
      <c r="AS342" s="2"/>
      <c r="AT342" s="23"/>
      <c r="AU342" s="2"/>
      <c r="AV342" s="23"/>
      <c r="AW342" s="2"/>
      <c r="AX342" s="23"/>
      <c r="AY342" s="2"/>
      <c r="AZ342" s="23"/>
      <c r="BA342" s="2"/>
      <c r="BB342" s="23"/>
      <c r="BC342" s="2"/>
      <c r="BD342" s="23"/>
      <c r="BE342" s="2"/>
      <c r="BF342" s="23"/>
      <c r="BG342" s="2"/>
      <c r="BH342" s="23"/>
      <c r="BI342" s="2"/>
      <c r="BJ342" s="23"/>
      <c r="BK342" s="2"/>
      <c r="BL342" s="23"/>
      <c r="BM342" s="2"/>
      <c r="BN342" s="23"/>
      <c r="BO342" s="2"/>
      <c r="BP342" s="23"/>
      <c r="BQ342" s="2"/>
      <c r="BR342" s="23"/>
      <c r="BS342" s="2"/>
      <c r="BT342" s="23"/>
      <c r="BU342" s="2"/>
      <c r="BV342" s="23"/>
      <c r="BW342" s="2"/>
      <c r="BX342" s="23"/>
      <c r="BY342" s="2"/>
      <c r="CA342" s="1" t="str">
        <f t="shared" ref="CA342:CA375" si="187">IF(A342="","","delete from sscd_mast where sscd_idcd = '"&amp;A342&amp;"';")</f>
        <v/>
      </c>
    </row>
    <row r="343" spans="1:79" ht="16">
      <c r="A343" s="2"/>
      <c r="B343" s="2"/>
      <c r="C343" s="25" t="str">
        <f t="shared" si="184"/>
        <v/>
      </c>
      <c r="D343" s="2"/>
      <c r="E343" s="2"/>
      <c r="F343" s="25" t="str">
        <f t="shared" si="175"/>
        <v/>
      </c>
      <c r="G343" s="25"/>
      <c r="H343" s="2" t="str">
        <f t="shared" si="176"/>
        <v>[[""]]</v>
      </c>
      <c r="I343" s="2" t="str">
        <f t="shared" si="185"/>
        <v/>
      </c>
      <c r="J343" s="2"/>
      <c r="K343" s="2" t="str">
        <f t="shared" si="186"/>
        <v/>
      </c>
      <c r="L343" s="2"/>
      <c r="M343" s="36" t="str">
        <f t="shared" si="177"/>
        <v/>
      </c>
      <c r="N343" s="36" t="str">
        <f t="shared" si="178"/>
        <v/>
      </c>
      <c r="O343" s="36" t="str">
        <f t="shared" si="179"/>
        <v/>
      </c>
      <c r="P343" s="36" t="str">
        <f t="shared" si="180"/>
        <v/>
      </c>
      <c r="Q343" s="35" t="str">
        <f t="shared" si="181"/>
        <v/>
      </c>
      <c r="R343" s="2" t="s">
        <v>921</v>
      </c>
      <c r="S343" s="2"/>
      <c r="T343" s="2"/>
      <c r="U343" s="2"/>
      <c r="V343" s="2"/>
      <c r="W343" s="2"/>
      <c r="X343" s="2"/>
      <c r="Y343" s="2"/>
      <c r="Z343" s="2"/>
      <c r="AA343" s="2"/>
      <c r="AB343" s="23"/>
      <c r="AC343" s="2"/>
      <c r="AD343" s="23"/>
      <c r="AE343" s="2"/>
      <c r="AF343" s="23"/>
      <c r="AG343" s="2"/>
      <c r="AH343" s="23"/>
      <c r="AI343" s="2"/>
      <c r="AJ343" s="23"/>
      <c r="AK343" s="2"/>
      <c r="AL343" s="23"/>
      <c r="AM343" s="2"/>
      <c r="AN343" s="23"/>
      <c r="AO343" s="2"/>
      <c r="AP343" s="23"/>
      <c r="AQ343" s="2"/>
      <c r="AR343" s="23"/>
      <c r="AS343" s="2"/>
      <c r="AT343" s="23"/>
      <c r="AU343" s="2"/>
      <c r="AV343" s="23"/>
      <c r="AW343" s="2"/>
      <c r="AX343" s="23"/>
      <c r="AY343" s="2"/>
      <c r="AZ343" s="23"/>
      <c r="BA343" s="2"/>
      <c r="BB343" s="23"/>
      <c r="BC343" s="2"/>
      <c r="BD343" s="23"/>
      <c r="BE343" s="2"/>
      <c r="BF343" s="23"/>
      <c r="BG343" s="2"/>
      <c r="BH343" s="23"/>
      <c r="BI343" s="2"/>
      <c r="BJ343" s="23"/>
      <c r="BK343" s="2"/>
      <c r="BL343" s="23"/>
      <c r="BM343" s="2"/>
      <c r="BN343" s="23"/>
      <c r="BO343" s="2"/>
      <c r="BP343" s="23"/>
      <c r="BQ343" s="2"/>
      <c r="BR343" s="23"/>
      <c r="BS343" s="2"/>
      <c r="BT343" s="23"/>
      <c r="BU343" s="2"/>
      <c r="BV343" s="23"/>
      <c r="BW343" s="2"/>
      <c r="BX343" s="23"/>
      <c r="BY343" s="2"/>
      <c r="CA343" s="1" t="str">
        <f t="shared" si="187"/>
        <v/>
      </c>
    </row>
    <row r="344" spans="1:79" ht="16">
      <c r="A344" s="2"/>
      <c r="B344" s="2"/>
      <c r="C344" s="25" t="str">
        <f t="shared" si="184"/>
        <v/>
      </c>
      <c r="D344" s="2"/>
      <c r="E344" s="2"/>
      <c r="F344" s="25" t="str">
        <f t="shared" si="175"/>
        <v/>
      </c>
      <c r="G344" s="25"/>
      <c r="H344" s="2" t="str">
        <f t="shared" si="176"/>
        <v>[[""]]</v>
      </c>
      <c r="I344" s="2" t="str">
        <f t="shared" si="185"/>
        <v/>
      </c>
      <c r="J344" s="2"/>
      <c r="K344" s="2" t="str">
        <f t="shared" si="186"/>
        <v/>
      </c>
      <c r="L344" s="2"/>
      <c r="M344" s="36" t="str">
        <f t="shared" si="177"/>
        <v/>
      </c>
      <c r="N344" s="36" t="str">
        <f t="shared" si="178"/>
        <v/>
      </c>
      <c r="O344" s="36" t="str">
        <f t="shared" si="179"/>
        <v/>
      </c>
      <c r="P344" s="36" t="str">
        <f t="shared" si="180"/>
        <v/>
      </c>
      <c r="Q344" s="35" t="str">
        <f t="shared" si="181"/>
        <v/>
      </c>
      <c r="R344" s="2" t="s">
        <v>921</v>
      </c>
      <c r="S344" s="2"/>
      <c r="T344" s="2"/>
      <c r="U344" s="2"/>
      <c r="V344" s="2"/>
      <c r="W344" s="2"/>
      <c r="X344" s="2"/>
      <c r="Y344" s="2"/>
      <c r="Z344" s="2"/>
      <c r="AA344" s="2"/>
      <c r="AB344" s="23"/>
      <c r="AC344" s="2"/>
      <c r="AD344" s="23"/>
      <c r="AE344" s="2"/>
      <c r="AF344" s="23"/>
      <c r="AG344" s="2"/>
      <c r="AH344" s="23"/>
      <c r="AI344" s="2"/>
      <c r="AJ344" s="23"/>
      <c r="AK344" s="2"/>
      <c r="AL344" s="23"/>
      <c r="AM344" s="2"/>
      <c r="AN344" s="23"/>
      <c r="AO344" s="2"/>
      <c r="AP344" s="23"/>
      <c r="AQ344" s="2"/>
      <c r="AR344" s="23"/>
      <c r="AS344" s="2"/>
      <c r="AT344" s="23"/>
      <c r="AU344" s="2"/>
      <c r="AV344" s="23"/>
      <c r="AW344" s="2"/>
      <c r="AX344" s="23"/>
      <c r="AY344" s="2"/>
      <c r="AZ344" s="23"/>
      <c r="BA344" s="2"/>
      <c r="BB344" s="23"/>
      <c r="BC344" s="2"/>
      <c r="BD344" s="23"/>
      <c r="BE344" s="2"/>
      <c r="BF344" s="23"/>
      <c r="BG344" s="2"/>
      <c r="BH344" s="23"/>
      <c r="BI344" s="2"/>
      <c r="BJ344" s="23"/>
      <c r="BK344" s="2"/>
      <c r="BL344" s="23"/>
      <c r="BM344" s="2"/>
      <c r="BN344" s="23"/>
      <c r="BO344" s="2"/>
      <c r="BP344" s="23"/>
      <c r="BQ344" s="2"/>
      <c r="BR344" s="23"/>
      <c r="BS344" s="2"/>
      <c r="BT344" s="23"/>
      <c r="BU344" s="2"/>
      <c r="BV344" s="23"/>
      <c r="BW344" s="2"/>
      <c r="BX344" s="23"/>
      <c r="BY344" s="2"/>
      <c r="CA344" s="1" t="str">
        <f t="shared" si="187"/>
        <v/>
      </c>
    </row>
    <row r="345" spans="1:79" ht="16">
      <c r="A345" s="2"/>
      <c r="B345" s="2"/>
      <c r="C345" s="25" t="str">
        <f t="shared" si="184"/>
        <v/>
      </c>
      <c r="D345" s="2"/>
      <c r="E345" s="2"/>
      <c r="F345" s="25" t="str">
        <f t="shared" si="175"/>
        <v/>
      </c>
      <c r="G345" s="25"/>
      <c r="H345" s="2" t="str">
        <f t="shared" si="176"/>
        <v>[[""]]</v>
      </c>
      <c r="I345" s="2" t="str">
        <f t="shared" si="185"/>
        <v/>
      </c>
      <c r="J345" s="2"/>
      <c r="K345" s="2" t="str">
        <f t="shared" si="186"/>
        <v/>
      </c>
      <c r="L345" s="2"/>
      <c r="M345" s="36" t="str">
        <f t="shared" si="177"/>
        <v/>
      </c>
      <c r="N345" s="36" t="str">
        <f t="shared" si="178"/>
        <v/>
      </c>
      <c r="O345" s="36" t="str">
        <f t="shared" si="179"/>
        <v/>
      </c>
      <c r="P345" s="36" t="str">
        <f t="shared" si="180"/>
        <v/>
      </c>
      <c r="Q345" s="35" t="str">
        <f t="shared" si="181"/>
        <v/>
      </c>
      <c r="R345" s="2" t="s">
        <v>921</v>
      </c>
      <c r="S345" s="2"/>
      <c r="T345" s="2"/>
      <c r="U345" s="2"/>
      <c r="V345" s="2"/>
      <c r="W345" s="2"/>
      <c r="X345" s="2"/>
      <c r="Y345" s="2"/>
      <c r="Z345" s="2"/>
      <c r="AA345" s="2"/>
      <c r="AB345" s="23"/>
      <c r="AC345" s="2"/>
      <c r="AD345" s="23"/>
      <c r="AE345" s="2"/>
      <c r="AF345" s="23"/>
      <c r="AG345" s="2"/>
      <c r="AH345" s="23"/>
      <c r="AI345" s="2"/>
      <c r="AJ345" s="23"/>
      <c r="AK345" s="2"/>
      <c r="AL345" s="23"/>
      <c r="AM345" s="2"/>
      <c r="AN345" s="23"/>
      <c r="AO345" s="2"/>
      <c r="AP345" s="23"/>
      <c r="AQ345" s="2"/>
      <c r="AR345" s="23"/>
      <c r="AS345" s="2"/>
      <c r="AT345" s="23"/>
      <c r="AU345" s="2"/>
      <c r="AV345" s="23"/>
      <c r="AW345" s="2"/>
      <c r="AX345" s="23"/>
      <c r="AY345" s="2"/>
      <c r="AZ345" s="23"/>
      <c r="BA345" s="2"/>
      <c r="BB345" s="23"/>
      <c r="BC345" s="2"/>
      <c r="BD345" s="23"/>
      <c r="BE345" s="2"/>
      <c r="BF345" s="23"/>
      <c r="BG345" s="2"/>
      <c r="BH345" s="23"/>
      <c r="BI345" s="2"/>
      <c r="BJ345" s="23"/>
      <c r="BK345" s="2"/>
      <c r="BL345" s="23"/>
      <c r="BM345" s="2"/>
      <c r="BN345" s="23"/>
      <c r="BO345" s="2"/>
      <c r="BP345" s="23"/>
      <c r="BQ345" s="2"/>
      <c r="BR345" s="23"/>
      <c r="BS345" s="2"/>
      <c r="BT345" s="23"/>
      <c r="BU345" s="2"/>
      <c r="BV345" s="23"/>
      <c r="BW345" s="2"/>
      <c r="BX345" s="23"/>
      <c r="BY345" s="2"/>
      <c r="CA345" s="1" t="str">
        <f t="shared" si="187"/>
        <v/>
      </c>
    </row>
    <row r="346" spans="1:79" ht="16">
      <c r="A346" s="2"/>
      <c r="B346" s="2"/>
      <c r="C346" s="25" t="str">
        <f t="shared" si="184"/>
        <v/>
      </c>
      <c r="D346" s="2"/>
      <c r="E346" s="2"/>
      <c r="F346" s="25" t="str">
        <f t="shared" si="175"/>
        <v/>
      </c>
      <c r="G346" s="25"/>
      <c r="H346" s="2" t="str">
        <f t="shared" si="176"/>
        <v>[[""]]</v>
      </c>
      <c r="I346" s="2" t="str">
        <f t="shared" si="185"/>
        <v/>
      </c>
      <c r="J346" s="2"/>
      <c r="K346" s="2" t="str">
        <f t="shared" si="186"/>
        <v/>
      </c>
      <c r="L346" s="2"/>
      <c r="M346" s="36" t="str">
        <f t="shared" si="177"/>
        <v/>
      </c>
      <c r="N346" s="36" t="str">
        <f t="shared" si="178"/>
        <v/>
      </c>
      <c r="O346" s="36" t="str">
        <f t="shared" si="179"/>
        <v/>
      </c>
      <c r="P346" s="36" t="str">
        <f t="shared" si="180"/>
        <v/>
      </c>
      <c r="Q346" s="35" t="str">
        <f t="shared" si="181"/>
        <v/>
      </c>
      <c r="R346" s="2" t="s">
        <v>921</v>
      </c>
      <c r="S346" s="2"/>
      <c r="T346" s="2"/>
      <c r="U346" s="2"/>
      <c r="V346" s="2"/>
      <c r="W346" s="2"/>
      <c r="X346" s="2"/>
      <c r="Y346" s="2"/>
      <c r="Z346" s="2"/>
      <c r="AA346" s="2"/>
      <c r="AB346" s="23"/>
      <c r="AC346" s="2"/>
      <c r="AD346" s="23"/>
      <c r="AE346" s="2"/>
      <c r="AF346" s="23"/>
      <c r="AG346" s="2"/>
      <c r="AH346" s="23"/>
      <c r="AI346" s="2"/>
      <c r="AJ346" s="23"/>
      <c r="AK346" s="2"/>
      <c r="AL346" s="23"/>
      <c r="AM346" s="2"/>
      <c r="AN346" s="23"/>
      <c r="AO346" s="2"/>
      <c r="AP346" s="23"/>
      <c r="AQ346" s="2"/>
      <c r="AR346" s="23"/>
      <c r="AS346" s="2"/>
      <c r="AT346" s="23"/>
      <c r="AU346" s="2"/>
      <c r="AV346" s="23"/>
      <c r="AW346" s="2"/>
      <c r="AX346" s="23"/>
      <c r="AY346" s="2"/>
      <c r="AZ346" s="23"/>
      <c r="BA346" s="2"/>
      <c r="BB346" s="23"/>
      <c r="BC346" s="2"/>
      <c r="BD346" s="23"/>
      <c r="BE346" s="2"/>
      <c r="BF346" s="23"/>
      <c r="BG346" s="2"/>
      <c r="BH346" s="23"/>
      <c r="BI346" s="2"/>
      <c r="BJ346" s="23"/>
      <c r="BK346" s="2"/>
      <c r="BL346" s="23"/>
      <c r="BM346" s="2"/>
      <c r="BN346" s="23"/>
      <c r="BO346" s="2"/>
      <c r="BP346" s="23"/>
      <c r="BQ346" s="2"/>
      <c r="BR346" s="23"/>
      <c r="BS346" s="2"/>
      <c r="BT346" s="23"/>
      <c r="BU346" s="2"/>
      <c r="BV346" s="23"/>
      <c r="BW346" s="2"/>
      <c r="BX346" s="23"/>
      <c r="BY346" s="2"/>
      <c r="CA346" s="1" t="str">
        <f t="shared" si="187"/>
        <v/>
      </c>
    </row>
    <row r="347" spans="1:79" ht="16">
      <c r="A347" s="2"/>
      <c r="B347" s="2"/>
      <c r="C347" s="25" t="str">
        <f t="shared" si="184"/>
        <v/>
      </c>
      <c r="D347" s="2"/>
      <c r="E347" s="2"/>
      <c r="F347" s="25" t="str">
        <f t="shared" si="175"/>
        <v/>
      </c>
      <c r="G347" s="25"/>
      <c r="H347" s="2" t="str">
        <f t="shared" si="176"/>
        <v>[[""]]</v>
      </c>
      <c r="I347" s="2" t="str">
        <f t="shared" si="185"/>
        <v/>
      </c>
      <c r="J347" s="2"/>
      <c r="K347" s="2" t="str">
        <f t="shared" si="186"/>
        <v/>
      </c>
      <c r="L347" s="2"/>
      <c r="M347" s="36" t="str">
        <f t="shared" si="177"/>
        <v/>
      </c>
      <c r="N347" s="36" t="str">
        <f t="shared" si="178"/>
        <v/>
      </c>
      <c r="O347" s="36" t="str">
        <f t="shared" si="179"/>
        <v/>
      </c>
      <c r="P347" s="36" t="str">
        <f t="shared" si="180"/>
        <v/>
      </c>
      <c r="Q347" s="35" t="str">
        <f t="shared" si="181"/>
        <v/>
      </c>
      <c r="R347" s="2" t="s">
        <v>921</v>
      </c>
      <c r="S347" s="2"/>
      <c r="T347" s="2"/>
      <c r="U347" s="2"/>
      <c r="V347" s="2"/>
      <c r="W347" s="2"/>
      <c r="X347" s="2"/>
      <c r="Y347" s="2"/>
      <c r="Z347" s="2"/>
      <c r="AA347" s="2"/>
      <c r="AB347" s="23"/>
      <c r="AC347" s="2"/>
      <c r="AD347" s="23"/>
      <c r="AE347" s="2"/>
      <c r="AF347" s="23"/>
      <c r="AG347" s="2"/>
      <c r="AH347" s="23"/>
      <c r="AI347" s="2"/>
      <c r="AJ347" s="23"/>
      <c r="AK347" s="2"/>
      <c r="AL347" s="23"/>
      <c r="AM347" s="2"/>
      <c r="AN347" s="23"/>
      <c r="AO347" s="2"/>
      <c r="AP347" s="23"/>
      <c r="AQ347" s="2"/>
      <c r="AR347" s="23"/>
      <c r="AS347" s="2"/>
      <c r="AT347" s="23"/>
      <c r="AU347" s="2"/>
      <c r="AV347" s="23"/>
      <c r="AW347" s="2"/>
      <c r="AX347" s="23"/>
      <c r="AY347" s="2"/>
      <c r="AZ347" s="23"/>
      <c r="BA347" s="2"/>
      <c r="BB347" s="23"/>
      <c r="BC347" s="2"/>
      <c r="BD347" s="23"/>
      <c r="BE347" s="2"/>
      <c r="BF347" s="23"/>
      <c r="BG347" s="2"/>
      <c r="BH347" s="23"/>
      <c r="BI347" s="2"/>
      <c r="BJ347" s="23"/>
      <c r="BK347" s="2"/>
      <c r="BL347" s="23"/>
      <c r="BM347" s="2"/>
      <c r="BN347" s="23"/>
      <c r="BO347" s="2"/>
      <c r="BP347" s="23"/>
      <c r="BQ347" s="2"/>
      <c r="BR347" s="23"/>
      <c r="BS347" s="2"/>
      <c r="BT347" s="23"/>
      <c r="BU347" s="2"/>
      <c r="BV347" s="23"/>
      <c r="BW347" s="2"/>
      <c r="BX347" s="23"/>
      <c r="BY347" s="2"/>
      <c r="CA347" s="1" t="str">
        <f t="shared" si="187"/>
        <v/>
      </c>
    </row>
    <row r="348" spans="1:79" ht="16">
      <c r="A348" s="2"/>
      <c r="B348" s="2"/>
      <c r="C348" s="25" t="str">
        <f t="shared" si="184"/>
        <v/>
      </c>
      <c r="D348" s="2"/>
      <c r="E348" s="2"/>
      <c r="F348" s="25" t="str">
        <f t="shared" si="175"/>
        <v/>
      </c>
      <c r="G348" s="25"/>
      <c r="H348" s="2" t="str">
        <f t="shared" si="176"/>
        <v>[[""]]</v>
      </c>
      <c r="I348" s="2" t="str">
        <f t="shared" si="185"/>
        <v/>
      </c>
      <c r="J348" s="2"/>
      <c r="K348" s="2" t="str">
        <f t="shared" si="186"/>
        <v/>
      </c>
      <c r="L348" s="2"/>
      <c r="M348" s="36" t="str">
        <f t="shared" si="177"/>
        <v/>
      </c>
      <c r="N348" s="36" t="str">
        <f t="shared" si="178"/>
        <v/>
      </c>
      <c r="O348" s="36" t="str">
        <f t="shared" si="179"/>
        <v/>
      </c>
      <c r="P348" s="36" t="str">
        <f t="shared" si="180"/>
        <v/>
      </c>
      <c r="Q348" s="35" t="str">
        <f t="shared" si="181"/>
        <v/>
      </c>
      <c r="R348" s="2" t="s">
        <v>921</v>
      </c>
      <c r="S348" s="2"/>
      <c r="T348" s="2"/>
      <c r="U348" s="2"/>
      <c r="V348" s="2"/>
      <c r="W348" s="2"/>
      <c r="X348" s="2"/>
      <c r="Y348" s="2"/>
      <c r="Z348" s="2"/>
      <c r="AA348" s="2"/>
      <c r="AB348" s="23"/>
      <c r="AC348" s="2"/>
      <c r="AD348" s="23"/>
      <c r="AE348" s="2"/>
      <c r="AF348" s="23"/>
      <c r="AG348" s="2"/>
      <c r="AH348" s="23"/>
      <c r="AI348" s="2"/>
      <c r="AJ348" s="23"/>
      <c r="AK348" s="2"/>
      <c r="AL348" s="23"/>
      <c r="AM348" s="2"/>
      <c r="AN348" s="23"/>
      <c r="AO348" s="2"/>
      <c r="AP348" s="23"/>
      <c r="AQ348" s="2"/>
      <c r="AR348" s="23"/>
      <c r="AS348" s="2"/>
      <c r="AT348" s="23"/>
      <c r="AU348" s="2"/>
      <c r="AV348" s="23"/>
      <c r="AW348" s="2"/>
      <c r="AX348" s="23"/>
      <c r="AY348" s="2"/>
      <c r="AZ348" s="23"/>
      <c r="BA348" s="2"/>
      <c r="BB348" s="23"/>
      <c r="BC348" s="2"/>
      <c r="BD348" s="23"/>
      <c r="BE348" s="2"/>
      <c r="BF348" s="23"/>
      <c r="BG348" s="2"/>
      <c r="BH348" s="23"/>
      <c r="BI348" s="2"/>
      <c r="BJ348" s="23"/>
      <c r="BK348" s="2"/>
      <c r="BL348" s="23"/>
      <c r="BM348" s="2"/>
      <c r="BN348" s="23"/>
      <c r="BO348" s="2"/>
      <c r="BP348" s="23"/>
      <c r="BQ348" s="2"/>
      <c r="BR348" s="23"/>
      <c r="BS348" s="2"/>
      <c r="BT348" s="23"/>
      <c r="BU348" s="2"/>
      <c r="BV348" s="23"/>
      <c r="BW348" s="2"/>
      <c r="BX348" s="23"/>
      <c r="BY348" s="2"/>
      <c r="CA348" s="1" t="str">
        <f t="shared" si="187"/>
        <v/>
      </c>
    </row>
    <row r="349" spans="1:79" ht="16">
      <c r="A349" s="2"/>
      <c r="B349" s="2"/>
      <c r="C349" s="25" t="str">
        <f t="shared" si="184"/>
        <v/>
      </c>
      <c r="D349" s="2"/>
      <c r="E349" s="2"/>
      <c r="F349" s="25" t="str">
        <f t="shared" si="175"/>
        <v/>
      </c>
      <c r="G349" s="25"/>
      <c r="H349" s="2" t="str">
        <f t="shared" si="176"/>
        <v>[[""]]</v>
      </c>
      <c r="I349" s="2" t="str">
        <f t="shared" si="185"/>
        <v/>
      </c>
      <c r="J349" s="2"/>
      <c r="K349" s="2" t="str">
        <f t="shared" si="186"/>
        <v/>
      </c>
      <c r="L349" s="2"/>
      <c r="M349" s="36" t="str">
        <f t="shared" si="177"/>
        <v/>
      </c>
      <c r="N349" s="36" t="str">
        <f t="shared" si="178"/>
        <v/>
      </c>
      <c r="O349" s="36" t="str">
        <f t="shared" si="179"/>
        <v/>
      </c>
      <c r="P349" s="36" t="str">
        <f t="shared" si="180"/>
        <v/>
      </c>
      <c r="Q349" s="35" t="str">
        <f t="shared" si="181"/>
        <v/>
      </c>
      <c r="R349" s="2" t="s">
        <v>921</v>
      </c>
      <c r="S349" s="2"/>
      <c r="T349" s="2"/>
      <c r="U349" s="2"/>
      <c r="V349" s="2"/>
      <c r="W349" s="2"/>
      <c r="X349" s="2"/>
      <c r="Y349" s="2"/>
      <c r="Z349" s="2"/>
      <c r="AA349" s="2"/>
      <c r="AB349" s="23"/>
      <c r="AC349" s="2"/>
      <c r="AD349" s="23"/>
      <c r="AE349" s="2"/>
      <c r="AF349" s="23"/>
      <c r="AG349" s="2"/>
      <c r="AH349" s="23"/>
      <c r="AI349" s="2"/>
      <c r="AJ349" s="23"/>
      <c r="AK349" s="2"/>
      <c r="AL349" s="23"/>
      <c r="AM349" s="2"/>
      <c r="AN349" s="23"/>
      <c r="AO349" s="2"/>
      <c r="AP349" s="23"/>
      <c r="AQ349" s="2"/>
      <c r="AR349" s="23"/>
      <c r="AS349" s="2"/>
      <c r="AT349" s="23"/>
      <c r="AU349" s="2"/>
      <c r="AV349" s="23"/>
      <c r="AW349" s="2"/>
      <c r="AX349" s="23"/>
      <c r="AY349" s="2"/>
      <c r="AZ349" s="23"/>
      <c r="BA349" s="2"/>
      <c r="BB349" s="23"/>
      <c r="BC349" s="2"/>
      <c r="BD349" s="23"/>
      <c r="BE349" s="2"/>
      <c r="BF349" s="23"/>
      <c r="BG349" s="2"/>
      <c r="BH349" s="23"/>
      <c r="BI349" s="2"/>
      <c r="BJ349" s="23"/>
      <c r="BK349" s="2"/>
      <c r="BL349" s="23"/>
      <c r="BM349" s="2"/>
      <c r="BN349" s="23"/>
      <c r="BO349" s="2"/>
      <c r="BP349" s="23"/>
      <c r="BQ349" s="2"/>
      <c r="BR349" s="23"/>
      <c r="BS349" s="2"/>
      <c r="BT349" s="23"/>
      <c r="BU349" s="2"/>
      <c r="BV349" s="23"/>
      <c r="BW349" s="2"/>
      <c r="BX349" s="23"/>
      <c r="BY349" s="2"/>
      <c r="CA349" s="1" t="str">
        <f t="shared" si="187"/>
        <v/>
      </c>
    </row>
    <row r="350" spans="1:79" ht="16">
      <c r="A350" s="2"/>
      <c r="B350" s="2"/>
      <c r="C350" s="25" t="str">
        <f t="shared" si="184"/>
        <v/>
      </c>
      <c r="D350" s="2"/>
      <c r="E350" s="2"/>
      <c r="F350" s="25" t="str">
        <f t="shared" si="175"/>
        <v/>
      </c>
      <c r="G350" s="25"/>
      <c r="H350" s="2" t="str">
        <f t="shared" si="176"/>
        <v>[[""]]</v>
      </c>
      <c r="I350" s="2" t="str">
        <f t="shared" si="185"/>
        <v/>
      </c>
      <c r="J350" s="2"/>
      <c r="K350" s="2" t="str">
        <f t="shared" si="186"/>
        <v/>
      </c>
      <c r="L350" s="2"/>
      <c r="M350" s="36" t="str">
        <f t="shared" si="177"/>
        <v/>
      </c>
      <c r="N350" s="36" t="str">
        <f t="shared" si="178"/>
        <v/>
      </c>
      <c r="O350" s="36" t="str">
        <f t="shared" si="179"/>
        <v/>
      </c>
      <c r="P350" s="36" t="str">
        <f t="shared" si="180"/>
        <v/>
      </c>
      <c r="Q350" s="35" t="str">
        <f t="shared" si="181"/>
        <v/>
      </c>
      <c r="R350" s="2" t="s">
        <v>921</v>
      </c>
      <c r="S350" s="2"/>
      <c r="T350" s="2"/>
      <c r="U350" s="2"/>
      <c r="V350" s="2"/>
      <c r="W350" s="2"/>
      <c r="X350" s="2"/>
      <c r="Y350" s="2"/>
      <c r="Z350" s="2"/>
      <c r="AA350" s="2"/>
      <c r="AB350" s="23"/>
      <c r="AC350" s="2"/>
      <c r="AD350" s="23"/>
      <c r="AE350" s="2"/>
      <c r="AF350" s="23"/>
      <c r="AG350" s="2"/>
      <c r="AH350" s="23"/>
      <c r="AI350" s="2"/>
      <c r="AJ350" s="23"/>
      <c r="AK350" s="2"/>
      <c r="AL350" s="23"/>
      <c r="AM350" s="2"/>
      <c r="AN350" s="23"/>
      <c r="AO350" s="2"/>
      <c r="AP350" s="23"/>
      <c r="AQ350" s="2"/>
      <c r="AR350" s="23"/>
      <c r="AS350" s="2"/>
      <c r="AT350" s="23"/>
      <c r="AU350" s="2"/>
      <c r="AV350" s="23"/>
      <c r="AW350" s="2"/>
      <c r="AX350" s="23"/>
      <c r="AY350" s="2"/>
      <c r="AZ350" s="23"/>
      <c r="BA350" s="2"/>
      <c r="BB350" s="23"/>
      <c r="BC350" s="2"/>
      <c r="BD350" s="23"/>
      <c r="BE350" s="2"/>
      <c r="BF350" s="23"/>
      <c r="BG350" s="2"/>
      <c r="BH350" s="23"/>
      <c r="BI350" s="2"/>
      <c r="BJ350" s="23"/>
      <c r="BK350" s="2"/>
      <c r="BL350" s="23"/>
      <c r="BM350" s="2"/>
      <c r="BN350" s="23"/>
      <c r="BO350" s="2"/>
      <c r="BP350" s="23"/>
      <c r="BQ350" s="2"/>
      <c r="BR350" s="23"/>
      <c r="BS350" s="2"/>
      <c r="BT350" s="23"/>
      <c r="BU350" s="2"/>
      <c r="BV350" s="23"/>
      <c r="BW350" s="2"/>
      <c r="BX350" s="23"/>
      <c r="BY350" s="2"/>
      <c r="CA350" s="1" t="str">
        <f t="shared" si="187"/>
        <v/>
      </c>
    </row>
    <row r="351" spans="1:79" ht="16">
      <c r="A351" s="2"/>
      <c r="B351" s="2"/>
      <c r="C351" s="25" t="str">
        <f t="shared" si="184"/>
        <v/>
      </c>
      <c r="D351" s="2"/>
      <c r="E351" s="2"/>
      <c r="F351" s="25" t="str">
        <f t="shared" si="175"/>
        <v/>
      </c>
      <c r="G351" s="25"/>
      <c r="H351" s="2" t="str">
        <f t="shared" si="176"/>
        <v>[[""]]</v>
      </c>
      <c r="I351" s="2" t="str">
        <f t="shared" si="185"/>
        <v/>
      </c>
      <c r="J351" s="2"/>
      <c r="K351" s="2" t="str">
        <f t="shared" si="186"/>
        <v/>
      </c>
      <c r="L351" s="2"/>
      <c r="M351" s="36" t="str">
        <f t="shared" si="177"/>
        <v/>
      </c>
      <c r="N351" s="36" t="str">
        <f t="shared" si="178"/>
        <v/>
      </c>
      <c r="O351" s="36" t="str">
        <f t="shared" si="179"/>
        <v/>
      </c>
      <c r="P351" s="36" t="str">
        <f t="shared" si="180"/>
        <v/>
      </c>
      <c r="Q351" s="35" t="str">
        <f t="shared" si="181"/>
        <v/>
      </c>
      <c r="R351" s="2" t="s">
        <v>921</v>
      </c>
      <c r="S351" s="2"/>
      <c r="T351" s="2"/>
      <c r="U351" s="2"/>
      <c r="V351" s="2"/>
      <c r="W351" s="2"/>
      <c r="X351" s="2"/>
      <c r="Y351" s="2"/>
      <c r="Z351" s="2"/>
      <c r="AA351" s="2"/>
      <c r="AB351" s="23"/>
      <c r="AC351" s="2"/>
      <c r="AD351" s="23"/>
      <c r="AE351" s="2"/>
      <c r="AF351" s="23"/>
      <c r="AG351" s="2"/>
      <c r="AH351" s="23"/>
      <c r="AI351" s="2"/>
      <c r="AJ351" s="23"/>
      <c r="AK351" s="2"/>
      <c r="AL351" s="23"/>
      <c r="AM351" s="2"/>
      <c r="AN351" s="23"/>
      <c r="AO351" s="2"/>
      <c r="AP351" s="23"/>
      <c r="AQ351" s="2"/>
      <c r="AR351" s="23"/>
      <c r="AS351" s="2"/>
      <c r="AT351" s="23"/>
      <c r="AU351" s="2"/>
      <c r="AV351" s="23"/>
      <c r="AW351" s="2"/>
      <c r="AX351" s="23"/>
      <c r="AY351" s="2"/>
      <c r="AZ351" s="23"/>
      <c r="BA351" s="2"/>
      <c r="BB351" s="23"/>
      <c r="BC351" s="2"/>
      <c r="BD351" s="23"/>
      <c r="BE351" s="2"/>
      <c r="BF351" s="23"/>
      <c r="BG351" s="2"/>
      <c r="BH351" s="23"/>
      <c r="BI351" s="2"/>
      <c r="BJ351" s="23"/>
      <c r="BK351" s="2"/>
      <c r="BL351" s="23"/>
      <c r="BM351" s="2"/>
      <c r="BN351" s="23"/>
      <c r="BO351" s="2"/>
      <c r="BP351" s="23"/>
      <c r="BQ351" s="2"/>
      <c r="BR351" s="23"/>
      <c r="BS351" s="2"/>
      <c r="BT351" s="23"/>
      <c r="BU351" s="2"/>
      <c r="BV351" s="23"/>
      <c r="BW351" s="2"/>
      <c r="BX351" s="23"/>
      <c r="BY351" s="2"/>
      <c r="CA351" s="1" t="str">
        <f t="shared" si="187"/>
        <v/>
      </c>
    </row>
    <row r="352" spans="1:79" ht="16">
      <c r="A352" s="2"/>
      <c r="B352" s="2"/>
      <c r="C352" s="25" t="str">
        <f t="shared" si="184"/>
        <v/>
      </c>
      <c r="D352" s="2"/>
      <c r="E352" s="2"/>
      <c r="F352" s="25" t="str">
        <f t="shared" si="175"/>
        <v/>
      </c>
      <c r="G352" s="25"/>
      <c r="H352" s="2" t="str">
        <f t="shared" si="176"/>
        <v>[[""]]</v>
      </c>
      <c r="I352" s="2" t="str">
        <f t="shared" si="185"/>
        <v/>
      </c>
      <c r="J352" s="2"/>
      <c r="K352" s="2" t="str">
        <f t="shared" si="186"/>
        <v/>
      </c>
      <c r="L352" s="2"/>
      <c r="M352" s="36" t="str">
        <f t="shared" si="177"/>
        <v/>
      </c>
      <c r="N352" s="36" t="str">
        <f t="shared" si="178"/>
        <v/>
      </c>
      <c r="O352" s="36" t="str">
        <f t="shared" si="179"/>
        <v/>
      </c>
      <c r="P352" s="36" t="str">
        <f t="shared" si="180"/>
        <v/>
      </c>
      <c r="Q352" s="35" t="str">
        <f t="shared" si="181"/>
        <v/>
      </c>
      <c r="R352" s="2" t="s">
        <v>921</v>
      </c>
      <c r="S352" s="2"/>
      <c r="T352" s="2"/>
      <c r="U352" s="2"/>
      <c r="V352" s="2"/>
      <c r="W352" s="2"/>
      <c r="X352" s="2"/>
      <c r="Y352" s="2"/>
      <c r="Z352" s="2"/>
      <c r="AA352" s="2"/>
      <c r="AB352" s="23"/>
      <c r="AC352" s="2"/>
      <c r="AD352" s="23"/>
      <c r="AE352" s="2"/>
      <c r="AF352" s="23"/>
      <c r="AG352" s="2"/>
      <c r="AH352" s="23"/>
      <c r="AI352" s="2"/>
      <c r="AJ352" s="23"/>
      <c r="AK352" s="2"/>
      <c r="AL352" s="23"/>
      <c r="AM352" s="2"/>
      <c r="AN352" s="23"/>
      <c r="AO352" s="2"/>
      <c r="AP352" s="23"/>
      <c r="AQ352" s="2"/>
      <c r="AR352" s="23"/>
      <c r="AS352" s="2"/>
      <c r="AT352" s="23"/>
      <c r="AU352" s="2"/>
      <c r="AV352" s="23"/>
      <c r="AW352" s="2"/>
      <c r="AX352" s="23"/>
      <c r="AY352" s="2"/>
      <c r="AZ352" s="23"/>
      <c r="BA352" s="2"/>
      <c r="BB352" s="23"/>
      <c r="BC352" s="2"/>
      <c r="BD352" s="23"/>
      <c r="BE352" s="2"/>
      <c r="BF352" s="23"/>
      <c r="BG352" s="2"/>
      <c r="BH352" s="23"/>
      <c r="BI352" s="2"/>
      <c r="BJ352" s="23"/>
      <c r="BK352" s="2"/>
      <c r="BL352" s="23"/>
      <c r="BM352" s="2"/>
      <c r="BN352" s="23"/>
      <c r="BO352" s="2"/>
      <c r="BP352" s="23"/>
      <c r="BQ352" s="2"/>
      <c r="BR352" s="23"/>
      <c r="BS352" s="2"/>
      <c r="BT352" s="23"/>
      <c r="BU352" s="2"/>
      <c r="BV352" s="23"/>
      <c r="BW352" s="2"/>
      <c r="BX352" s="23"/>
      <c r="BY352" s="2"/>
      <c r="CA352" s="1" t="str">
        <f t="shared" si="187"/>
        <v/>
      </c>
    </row>
    <row r="353" spans="1:79" ht="16">
      <c r="A353" s="2"/>
      <c r="B353" s="2"/>
      <c r="C353" s="25" t="str">
        <f t="shared" si="184"/>
        <v/>
      </c>
      <c r="D353" s="2"/>
      <c r="E353" s="2"/>
      <c r="F353" s="25" t="str">
        <f t="shared" si="175"/>
        <v/>
      </c>
      <c r="G353" s="25"/>
      <c r="H353" s="2" t="str">
        <f t="shared" si="176"/>
        <v>[[""]]</v>
      </c>
      <c r="I353" s="2" t="str">
        <f t="shared" si="185"/>
        <v/>
      </c>
      <c r="J353" s="2"/>
      <c r="K353" s="2" t="str">
        <f t="shared" si="186"/>
        <v/>
      </c>
      <c r="L353" s="2"/>
      <c r="M353" s="36" t="str">
        <f t="shared" si="177"/>
        <v/>
      </c>
      <c r="N353" s="36" t="str">
        <f t="shared" si="178"/>
        <v/>
      </c>
      <c r="O353" s="36" t="str">
        <f t="shared" si="179"/>
        <v/>
      </c>
      <c r="P353" s="36" t="str">
        <f t="shared" si="180"/>
        <v/>
      </c>
      <c r="Q353" s="35" t="str">
        <f t="shared" si="181"/>
        <v/>
      </c>
      <c r="R353" s="2" t="s">
        <v>921</v>
      </c>
      <c r="S353" s="2"/>
      <c r="T353" s="2"/>
      <c r="U353" s="2"/>
      <c r="V353" s="2"/>
      <c r="W353" s="2"/>
      <c r="X353" s="2"/>
      <c r="Y353" s="2"/>
      <c r="Z353" s="2"/>
      <c r="AA353" s="2"/>
      <c r="AB353" s="23"/>
      <c r="AC353" s="2"/>
      <c r="AD353" s="23"/>
      <c r="AE353" s="2"/>
      <c r="AF353" s="23"/>
      <c r="AG353" s="2"/>
      <c r="AH353" s="23"/>
      <c r="AI353" s="2"/>
      <c r="AJ353" s="23"/>
      <c r="AK353" s="2"/>
      <c r="AL353" s="23"/>
      <c r="AM353" s="2"/>
      <c r="AN353" s="23"/>
      <c r="AO353" s="2"/>
      <c r="AP353" s="23"/>
      <c r="AQ353" s="2"/>
      <c r="AR353" s="23"/>
      <c r="AS353" s="2"/>
      <c r="AT353" s="23"/>
      <c r="AU353" s="2"/>
      <c r="AV353" s="23"/>
      <c r="AW353" s="2"/>
      <c r="AX353" s="23"/>
      <c r="AY353" s="2"/>
      <c r="AZ353" s="23"/>
      <c r="BA353" s="2"/>
      <c r="BB353" s="23"/>
      <c r="BC353" s="2"/>
      <c r="BD353" s="23"/>
      <c r="BE353" s="2"/>
      <c r="BF353" s="23"/>
      <c r="BG353" s="2"/>
      <c r="BH353" s="23"/>
      <c r="BI353" s="2"/>
      <c r="BJ353" s="23"/>
      <c r="BK353" s="2"/>
      <c r="BL353" s="23"/>
      <c r="BM353" s="2"/>
      <c r="BN353" s="23"/>
      <c r="BO353" s="2"/>
      <c r="BP353" s="23"/>
      <c r="BQ353" s="2"/>
      <c r="BR353" s="23"/>
      <c r="BS353" s="2"/>
      <c r="BT353" s="23"/>
      <c r="BU353" s="2"/>
      <c r="BV353" s="23"/>
      <c r="BW353" s="2"/>
      <c r="BX353" s="23"/>
      <c r="BY353" s="2"/>
      <c r="CA353" s="1" t="str">
        <f t="shared" si="187"/>
        <v/>
      </c>
    </row>
    <row r="354" spans="1:79" ht="16">
      <c r="A354" s="2"/>
      <c r="B354" s="2"/>
      <c r="C354" s="25" t="str">
        <f t="shared" si="184"/>
        <v/>
      </c>
      <c r="D354" s="2"/>
      <c r="E354" s="2"/>
      <c r="F354" s="25" t="str">
        <f t="shared" si="175"/>
        <v/>
      </c>
      <c r="G354" s="25"/>
      <c r="H354" s="2" t="str">
        <f t="shared" si="176"/>
        <v>[[""]]</v>
      </c>
      <c r="I354" s="2" t="str">
        <f t="shared" si="185"/>
        <v/>
      </c>
      <c r="J354" s="2"/>
      <c r="K354" s="2" t="str">
        <f t="shared" si="186"/>
        <v/>
      </c>
      <c r="L354" s="2"/>
      <c r="M354" s="36" t="str">
        <f t="shared" si="177"/>
        <v/>
      </c>
      <c r="N354" s="36" t="str">
        <f t="shared" si="178"/>
        <v/>
      </c>
      <c r="O354" s="36" t="str">
        <f t="shared" si="179"/>
        <v/>
      </c>
      <c r="P354" s="36" t="str">
        <f t="shared" si="180"/>
        <v/>
      </c>
      <c r="Q354" s="35" t="str">
        <f t="shared" si="181"/>
        <v/>
      </c>
      <c r="R354" s="2" t="s">
        <v>921</v>
      </c>
      <c r="S354" s="2"/>
      <c r="T354" s="2"/>
      <c r="U354" s="2"/>
      <c r="V354" s="2"/>
      <c r="W354" s="2"/>
      <c r="X354" s="2"/>
      <c r="Y354" s="2"/>
      <c r="Z354" s="2"/>
      <c r="AA354" s="2"/>
      <c r="AB354" s="23"/>
      <c r="AC354" s="2"/>
      <c r="AD354" s="23"/>
      <c r="AE354" s="2"/>
      <c r="AF354" s="23"/>
      <c r="AG354" s="2"/>
      <c r="AH354" s="23"/>
      <c r="AI354" s="2"/>
      <c r="AJ354" s="23"/>
      <c r="AK354" s="2"/>
      <c r="AL354" s="23"/>
      <c r="AM354" s="2"/>
      <c r="AN354" s="23"/>
      <c r="AO354" s="2"/>
      <c r="AP354" s="23"/>
      <c r="AQ354" s="2"/>
      <c r="AR354" s="23"/>
      <c r="AS354" s="2"/>
      <c r="AT354" s="23"/>
      <c r="AU354" s="2"/>
      <c r="AV354" s="23"/>
      <c r="AW354" s="2"/>
      <c r="AX354" s="23"/>
      <c r="AY354" s="2"/>
      <c r="AZ354" s="23"/>
      <c r="BA354" s="2"/>
      <c r="BB354" s="23"/>
      <c r="BC354" s="2"/>
      <c r="BD354" s="23"/>
      <c r="BE354" s="2"/>
      <c r="BF354" s="23"/>
      <c r="BG354" s="2"/>
      <c r="BH354" s="23"/>
      <c r="BI354" s="2"/>
      <c r="BJ354" s="23"/>
      <c r="BK354" s="2"/>
      <c r="BL354" s="23"/>
      <c r="BM354" s="2"/>
      <c r="BN354" s="23"/>
      <c r="BO354" s="2"/>
      <c r="BP354" s="23"/>
      <c r="BQ354" s="2"/>
      <c r="BR354" s="23"/>
      <c r="BS354" s="2"/>
      <c r="BT354" s="23"/>
      <c r="BU354" s="2"/>
      <c r="BV354" s="23"/>
      <c r="BW354" s="2"/>
      <c r="BX354" s="23"/>
      <c r="BY354" s="2"/>
      <c r="CA354" s="1" t="str">
        <f t="shared" si="187"/>
        <v/>
      </c>
    </row>
    <row r="355" spans="1:79" ht="16">
      <c r="A355" s="2"/>
      <c r="B355" s="2"/>
      <c r="C355" s="25" t="str">
        <f t="shared" si="184"/>
        <v/>
      </c>
      <c r="D355" s="2"/>
      <c r="E355" s="2"/>
      <c r="F355" s="25" t="str">
        <f t="shared" si="175"/>
        <v/>
      </c>
      <c r="G355" s="25"/>
      <c r="H355" s="2" t="str">
        <f t="shared" si="176"/>
        <v>[[""]]</v>
      </c>
      <c r="I355" s="2" t="str">
        <f t="shared" si="185"/>
        <v/>
      </c>
      <c r="J355" s="2"/>
      <c r="K355" s="2" t="str">
        <f t="shared" si="186"/>
        <v/>
      </c>
      <c r="L355" s="2"/>
      <c r="M355" s="36" t="str">
        <f t="shared" si="177"/>
        <v/>
      </c>
      <c r="N355" s="36" t="str">
        <f t="shared" si="178"/>
        <v/>
      </c>
      <c r="O355" s="36" t="str">
        <f t="shared" si="179"/>
        <v/>
      </c>
      <c r="P355" s="36" t="str">
        <f t="shared" si="180"/>
        <v/>
      </c>
      <c r="Q355" s="35" t="str">
        <f t="shared" si="181"/>
        <v/>
      </c>
      <c r="R355" s="2" t="s">
        <v>921</v>
      </c>
      <c r="S355" s="2"/>
      <c r="T355" s="2"/>
      <c r="U355" s="2"/>
      <c r="V355" s="2"/>
      <c r="W355" s="2"/>
      <c r="X355" s="2"/>
      <c r="Y355" s="2"/>
      <c r="Z355" s="2"/>
      <c r="AA355" s="2"/>
      <c r="AB355" s="23"/>
      <c r="AC355" s="2"/>
      <c r="AD355" s="23"/>
      <c r="AE355" s="2"/>
      <c r="AF355" s="23"/>
      <c r="AG355" s="2"/>
      <c r="AH355" s="23"/>
      <c r="AI355" s="2"/>
      <c r="AJ355" s="23"/>
      <c r="AK355" s="2"/>
      <c r="AL355" s="23"/>
      <c r="AM355" s="2"/>
      <c r="AN355" s="23"/>
      <c r="AO355" s="2"/>
      <c r="AP355" s="23"/>
      <c r="AQ355" s="2"/>
      <c r="AR355" s="23"/>
      <c r="AS355" s="2"/>
      <c r="AT355" s="23"/>
      <c r="AU355" s="2"/>
      <c r="AV355" s="23"/>
      <c r="AW355" s="2"/>
      <c r="AX355" s="23"/>
      <c r="AY355" s="2"/>
      <c r="AZ355" s="23"/>
      <c r="BA355" s="2"/>
      <c r="BB355" s="23"/>
      <c r="BC355" s="2"/>
      <c r="BD355" s="23"/>
      <c r="BE355" s="2"/>
      <c r="BF355" s="23"/>
      <c r="BG355" s="2"/>
      <c r="BH355" s="23"/>
      <c r="BI355" s="2"/>
      <c r="BJ355" s="23"/>
      <c r="BK355" s="2"/>
      <c r="BL355" s="23"/>
      <c r="BM355" s="2"/>
      <c r="BN355" s="23"/>
      <c r="BO355" s="2"/>
      <c r="BP355" s="23"/>
      <c r="BQ355" s="2"/>
      <c r="BR355" s="23"/>
      <c r="BS355" s="2"/>
      <c r="BT355" s="23"/>
      <c r="BU355" s="2"/>
      <c r="BV355" s="23"/>
      <c r="BW355" s="2"/>
      <c r="BX355" s="23"/>
      <c r="BY355" s="2"/>
      <c r="CA355" s="1" t="str">
        <f t="shared" si="187"/>
        <v/>
      </c>
    </row>
    <row r="356" spans="1:79" ht="16">
      <c r="A356" s="2"/>
      <c r="B356" s="2"/>
      <c r="C356" s="25" t="str">
        <f t="shared" si="184"/>
        <v/>
      </c>
      <c r="D356" s="2"/>
      <c r="E356" s="2"/>
      <c r="F356" s="25" t="str">
        <f t="shared" si="175"/>
        <v/>
      </c>
      <c r="G356" s="25"/>
      <c r="H356" s="2" t="str">
        <f t="shared" si="176"/>
        <v>[[""]]</v>
      </c>
      <c r="I356" s="2" t="str">
        <f t="shared" si="185"/>
        <v/>
      </c>
      <c r="J356" s="2"/>
      <c r="K356" s="2" t="str">
        <f t="shared" si="186"/>
        <v/>
      </c>
      <c r="L356" s="2"/>
      <c r="M356" s="36" t="str">
        <f t="shared" si="177"/>
        <v/>
      </c>
      <c r="N356" s="36" t="str">
        <f t="shared" si="178"/>
        <v/>
      </c>
      <c r="O356" s="36" t="str">
        <f t="shared" si="179"/>
        <v/>
      </c>
      <c r="P356" s="36" t="str">
        <f t="shared" si="180"/>
        <v/>
      </c>
      <c r="Q356" s="35" t="str">
        <f t="shared" si="181"/>
        <v/>
      </c>
      <c r="R356" s="2" t="s">
        <v>921</v>
      </c>
      <c r="S356" s="2"/>
      <c r="T356" s="2"/>
      <c r="U356" s="2"/>
      <c r="V356" s="2"/>
      <c r="W356" s="2"/>
      <c r="X356" s="2"/>
      <c r="Y356" s="2"/>
      <c r="Z356" s="2"/>
      <c r="AA356" s="2"/>
      <c r="AB356" s="23"/>
      <c r="AC356" s="2"/>
      <c r="AD356" s="23"/>
      <c r="AE356" s="2"/>
      <c r="AF356" s="23"/>
      <c r="AG356" s="2"/>
      <c r="AH356" s="23"/>
      <c r="AI356" s="2"/>
      <c r="AJ356" s="23"/>
      <c r="AK356" s="2"/>
      <c r="AL356" s="23"/>
      <c r="AM356" s="2"/>
      <c r="AN356" s="23"/>
      <c r="AO356" s="2"/>
      <c r="AP356" s="23"/>
      <c r="AQ356" s="2"/>
      <c r="AR356" s="23"/>
      <c r="AS356" s="2"/>
      <c r="AT356" s="23"/>
      <c r="AU356" s="2"/>
      <c r="AV356" s="23"/>
      <c r="AW356" s="2"/>
      <c r="AX356" s="23"/>
      <c r="AY356" s="2"/>
      <c r="AZ356" s="23"/>
      <c r="BA356" s="2"/>
      <c r="BB356" s="23"/>
      <c r="BC356" s="2"/>
      <c r="BD356" s="23"/>
      <c r="BE356" s="2"/>
      <c r="BF356" s="23"/>
      <c r="BG356" s="2"/>
      <c r="BH356" s="23"/>
      <c r="BI356" s="2"/>
      <c r="BJ356" s="23"/>
      <c r="BK356" s="2"/>
      <c r="BL356" s="23"/>
      <c r="BM356" s="2"/>
      <c r="BN356" s="23"/>
      <c r="BO356" s="2"/>
      <c r="BP356" s="23"/>
      <c r="BQ356" s="2"/>
      <c r="BR356" s="23"/>
      <c r="BS356" s="2"/>
      <c r="BT356" s="23"/>
      <c r="BU356" s="2"/>
      <c r="BV356" s="23"/>
      <c r="BW356" s="2"/>
      <c r="BX356" s="23"/>
      <c r="BY356" s="2"/>
      <c r="CA356" s="1" t="str">
        <f t="shared" si="187"/>
        <v/>
      </c>
    </row>
    <row r="357" spans="1:79" ht="16">
      <c r="A357" s="2"/>
      <c r="B357" s="2"/>
      <c r="C357" s="25" t="str">
        <f t="shared" si="184"/>
        <v/>
      </c>
      <c r="D357" s="2"/>
      <c r="E357" s="2"/>
      <c r="F357" s="25" t="str">
        <f t="shared" si="175"/>
        <v/>
      </c>
      <c r="G357" s="25"/>
      <c r="H357" s="2" t="str">
        <f t="shared" si="176"/>
        <v>[[""]]</v>
      </c>
      <c r="I357" s="2" t="str">
        <f t="shared" si="185"/>
        <v/>
      </c>
      <c r="J357" s="2"/>
      <c r="K357" s="2" t="str">
        <f t="shared" si="186"/>
        <v/>
      </c>
      <c r="L357" s="2"/>
      <c r="M357" s="36" t="str">
        <f t="shared" si="177"/>
        <v/>
      </c>
      <c r="N357" s="36" t="str">
        <f t="shared" si="178"/>
        <v/>
      </c>
      <c r="O357" s="36" t="str">
        <f t="shared" si="179"/>
        <v/>
      </c>
      <c r="P357" s="36" t="str">
        <f t="shared" si="180"/>
        <v/>
      </c>
      <c r="Q357" s="35" t="str">
        <f t="shared" si="181"/>
        <v/>
      </c>
      <c r="R357" s="2" t="s">
        <v>921</v>
      </c>
      <c r="S357" s="2"/>
      <c r="T357" s="2"/>
      <c r="U357" s="2"/>
      <c r="V357" s="2"/>
      <c r="W357" s="2"/>
      <c r="X357" s="2"/>
      <c r="Y357" s="2"/>
      <c r="Z357" s="2"/>
      <c r="AA357" s="2"/>
      <c r="AB357" s="23"/>
      <c r="AC357" s="2"/>
      <c r="AD357" s="23"/>
      <c r="AE357" s="2"/>
      <c r="AF357" s="23"/>
      <c r="AG357" s="2"/>
      <c r="AH357" s="23"/>
      <c r="AI357" s="2"/>
      <c r="AJ357" s="23"/>
      <c r="AK357" s="2"/>
      <c r="AL357" s="23"/>
      <c r="AM357" s="2"/>
      <c r="AN357" s="23"/>
      <c r="AO357" s="2"/>
      <c r="AP357" s="23"/>
      <c r="AQ357" s="2"/>
      <c r="AR357" s="23"/>
      <c r="AS357" s="2"/>
      <c r="AT357" s="23"/>
      <c r="AU357" s="2"/>
      <c r="AV357" s="23"/>
      <c r="AW357" s="2"/>
      <c r="AX357" s="23"/>
      <c r="AY357" s="2"/>
      <c r="AZ357" s="23"/>
      <c r="BA357" s="2"/>
      <c r="BB357" s="23"/>
      <c r="BC357" s="2"/>
      <c r="BD357" s="23"/>
      <c r="BE357" s="2"/>
      <c r="BF357" s="23"/>
      <c r="BG357" s="2"/>
      <c r="BH357" s="23"/>
      <c r="BI357" s="2"/>
      <c r="BJ357" s="23"/>
      <c r="BK357" s="2"/>
      <c r="BL357" s="23"/>
      <c r="BM357" s="2"/>
      <c r="BN357" s="23"/>
      <c r="BO357" s="2"/>
      <c r="BP357" s="23"/>
      <c r="BQ357" s="2"/>
      <c r="BR357" s="23"/>
      <c r="BS357" s="2"/>
      <c r="BT357" s="23"/>
      <c r="BU357" s="2"/>
      <c r="BV357" s="23"/>
      <c r="BW357" s="2"/>
      <c r="BX357" s="23"/>
      <c r="BY357" s="2"/>
      <c r="CA357" s="1" t="str">
        <f t="shared" si="187"/>
        <v/>
      </c>
    </row>
    <row r="358" spans="1:79" ht="16">
      <c r="A358" s="2"/>
      <c r="B358" s="2"/>
      <c r="C358" s="25" t="str">
        <f t="shared" si="184"/>
        <v/>
      </c>
      <c r="D358" s="2"/>
      <c r="E358" s="2"/>
      <c r="F358" s="25" t="str">
        <f t="shared" si="175"/>
        <v/>
      </c>
      <c r="G358" s="25"/>
      <c r="H358" s="2" t="str">
        <f t="shared" si="176"/>
        <v>[[""]]</v>
      </c>
      <c r="I358" s="2" t="str">
        <f t="shared" si="185"/>
        <v/>
      </c>
      <c r="J358" s="2"/>
      <c r="K358" s="2" t="str">
        <f t="shared" si="186"/>
        <v/>
      </c>
      <c r="L358" s="2"/>
      <c r="M358" s="36" t="str">
        <f t="shared" si="177"/>
        <v/>
      </c>
      <c r="N358" s="36" t="str">
        <f t="shared" si="178"/>
        <v/>
      </c>
      <c r="O358" s="36" t="str">
        <f t="shared" si="179"/>
        <v/>
      </c>
      <c r="P358" s="36" t="str">
        <f t="shared" si="180"/>
        <v/>
      </c>
      <c r="Q358" s="35" t="str">
        <f t="shared" si="181"/>
        <v/>
      </c>
      <c r="R358" s="2" t="s">
        <v>921</v>
      </c>
      <c r="S358" s="2"/>
      <c r="T358" s="2"/>
      <c r="U358" s="2"/>
      <c r="V358" s="2"/>
      <c r="W358" s="2"/>
      <c r="X358" s="2"/>
      <c r="Y358" s="2"/>
      <c r="Z358" s="2"/>
      <c r="AA358" s="2"/>
      <c r="AB358" s="23"/>
      <c r="AC358" s="2"/>
      <c r="AD358" s="23"/>
      <c r="AE358" s="2"/>
      <c r="AF358" s="23"/>
      <c r="AG358" s="2"/>
      <c r="AH358" s="23"/>
      <c r="AI358" s="2"/>
      <c r="AJ358" s="23"/>
      <c r="AK358" s="2"/>
      <c r="AL358" s="23"/>
      <c r="AM358" s="2"/>
      <c r="AN358" s="23"/>
      <c r="AO358" s="2"/>
      <c r="AP358" s="23"/>
      <c r="AQ358" s="2"/>
      <c r="AR358" s="23"/>
      <c r="AS358" s="2"/>
      <c r="AT358" s="23"/>
      <c r="AU358" s="2"/>
      <c r="AV358" s="23"/>
      <c r="AW358" s="2"/>
      <c r="AX358" s="23"/>
      <c r="AY358" s="2"/>
      <c r="AZ358" s="23"/>
      <c r="BA358" s="2"/>
      <c r="BB358" s="23"/>
      <c r="BC358" s="2"/>
      <c r="BD358" s="23"/>
      <c r="BE358" s="2"/>
      <c r="BF358" s="23"/>
      <c r="BG358" s="2"/>
      <c r="BH358" s="23"/>
      <c r="BI358" s="2"/>
      <c r="BJ358" s="23"/>
      <c r="BK358" s="2"/>
      <c r="BL358" s="23"/>
      <c r="BM358" s="2"/>
      <c r="BN358" s="23"/>
      <c r="BO358" s="2"/>
      <c r="BP358" s="23"/>
      <c r="BQ358" s="2"/>
      <c r="BR358" s="23"/>
      <c r="BS358" s="2"/>
      <c r="BT358" s="23"/>
      <c r="BU358" s="2"/>
      <c r="BV358" s="23"/>
      <c r="BW358" s="2"/>
      <c r="BX358" s="23"/>
      <c r="BY358" s="2"/>
      <c r="CA358" s="1" t="str">
        <f t="shared" si="187"/>
        <v/>
      </c>
    </row>
    <row r="359" spans="1:79" ht="16">
      <c r="A359" s="2"/>
      <c r="B359" s="2"/>
      <c r="C359" s="25" t="str">
        <f t="shared" si="184"/>
        <v/>
      </c>
      <c r="D359" s="2"/>
      <c r="E359" s="2"/>
      <c r="F359" s="25" t="str">
        <f t="shared" si="175"/>
        <v/>
      </c>
      <c r="G359" s="25"/>
      <c r="H359" s="2" t="str">
        <f t="shared" si="176"/>
        <v>[[""]]</v>
      </c>
      <c r="I359" s="2" t="str">
        <f t="shared" si="185"/>
        <v/>
      </c>
      <c r="J359" s="2"/>
      <c r="K359" s="2" t="str">
        <f t="shared" si="186"/>
        <v/>
      </c>
      <c r="L359" s="2"/>
      <c r="M359" s="36" t="str">
        <f t="shared" si="177"/>
        <v/>
      </c>
      <c r="N359" s="36" t="str">
        <f t="shared" si="178"/>
        <v/>
      </c>
      <c r="O359" s="36" t="str">
        <f t="shared" si="179"/>
        <v/>
      </c>
      <c r="P359" s="36" t="str">
        <f t="shared" si="180"/>
        <v/>
      </c>
      <c r="Q359" s="35" t="str">
        <f t="shared" si="181"/>
        <v/>
      </c>
      <c r="R359" s="2" t="s">
        <v>921</v>
      </c>
      <c r="S359" s="2"/>
      <c r="T359" s="2"/>
      <c r="U359" s="2"/>
      <c r="V359" s="2"/>
      <c r="W359" s="2"/>
      <c r="X359" s="2"/>
      <c r="Y359" s="2"/>
      <c r="Z359" s="2"/>
      <c r="AA359" s="2"/>
      <c r="AB359" s="23"/>
      <c r="AC359" s="2"/>
      <c r="AD359" s="23"/>
      <c r="AE359" s="2"/>
      <c r="AF359" s="23"/>
      <c r="AG359" s="2"/>
      <c r="AH359" s="23"/>
      <c r="AI359" s="2"/>
      <c r="AJ359" s="23"/>
      <c r="AK359" s="2"/>
      <c r="AL359" s="23"/>
      <c r="AM359" s="2"/>
      <c r="AN359" s="23"/>
      <c r="AO359" s="2"/>
      <c r="AP359" s="23"/>
      <c r="AQ359" s="2"/>
      <c r="AR359" s="23"/>
      <c r="AS359" s="2"/>
      <c r="AT359" s="23"/>
      <c r="AU359" s="2"/>
      <c r="AV359" s="23"/>
      <c r="AW359" s="2"/>
      <c r="AX359" s="23"/>
      <c r="AY359" s="2"/>
      <c r="AZ359" s="23"/>
      <c r="BA359" s="2"/>
      <c r="BB359" s="23"/>
      <c r="BC359" s="2"/>
      <c r="BD359" s="23"/>
      <c r="BE359" s="2"/>
      <c r="BF359" s="23"/>
      <c r="BG359" s="2"/>
      <c r="BH359" s="23"/>
      <c r="BI359" s="2"/>
      <c r="BJ359" s="23"/>
      <c r="BK359" s="2"/>
      <c r="BL359" s="23"/>
      <c r="BM359" s="2"/>
      <c r="BN359" s="23"/>
      <c r="BO359" s="2"/>
      <c r="BP359" s="23"/>
      <c r="BQ359" s="2"/>
      <c r="BR359" s="23"/>
      <c r="BS359" s="2"/>
      <c r="BT359" s="23"/>
      <c r="BU359" s="2"/>
      <c r="BV359" s="23"/>
      <c r="BW359" s="2"/>
      <c r="BX359" s="23"/>
      <c r="BY359" s="2"/>
      <c r="CA359" s="1" t="str">
        <f t="shared" si="187"/>
        <v/>
      </c>
    </row>
    <row r="360" spans="1:79" ht="16">
      <c r="A360" s="2"/>
      <c r="B360" s="2"/>
      <c r="C360" s="25" t="str">
        <f t="shared" si="184"/>
        <v/>
      </c>
      <c r="D360" s="2"/>
      <c r="E360" s="2"/>
      <c r="F360" s="25" t="str">
        <f t="shared" si="175"/>
        <v/>
      </c>
      <c r="G360" s="25"/>
      <c r="H360" s="2" t="str">
        <f t="shared" si="176"/>
        <v>[[""]]</v>
      </c>
      <c r="I360" s="2" t="str">
        <f t="shared" si="185"/>
        <v/>
      </c>
      <c r="J360" s="2"/>
      <c r="K360" s="2" t="str">
        <f t="shared" si="186"/>
        <v/>
      </c>
      <c r="L360" s="2"/>
      <c r="M360" s="36" t="str">
        <f t="shared" si="177"/>
        <v/>
      </c>
      <c r="N360" s="36" t="str">
        <f t="shared" si="178"/>
        <v/>
      </c>
      <c r="O360" s="36" t="str">
        <f t="shared" si="179"/>
        <v/>
      </c>
      <c r="P360" s="36" t="str">
        <f t="shared" si="180"/>
        <v/>
      </c>
      <c r="Q360" s="35" t="str">
        <f t="shared" si="181"/>
        <v/>
      </c>
      <c r="R360" s="2" t="s">
        <v>921</v>
      </c>
      <c r="S360" s="2"/>
      <c r="T360" s="2"/>
      <c r="U360" s="2"/>
      <c r="V360" s="2"/>
      <c r="W360" s="2"/>
      <c r="X360" s="2"/>
      <c r="Y360" s="2"/>
      <c r="Z360" s="2"/>
      <c r="AA360" s="2"/>
      <c r="AB360" s="23"/>
      <c r="AC360" s="2"/>
      <c r="AD360" s="23"/>
      <c r="AE360" s="2"/>
      <c r="AF360" s="23"/>
      <c r="AG360" s="2"/>
      <c r="AH360" s="23"/>
      <c r="AI360" s="2"/>
      <c r="AJ360" s="23"/>
      <c r="AK360" s="2"/>
      <c r="AL360" s="23"/>
      <c r="AM360" s="2"/>
      <c r="AN360" s="23"/>
      <c r="AO360" s="2"/>
      <c r="AP360" s="23"/>
      <c r="AQ360" s="2"/>
      <c r="AR360" s="23"/>
      <c r="AS360" s="2"/>
      <c r="AT360" s="23"/>
      <c r="AU360" s="2"/>
      <c r="AV360" s="23"/>
      <c r="AW360" s="2"/>
      <c r="AX360" s="23"/>
      <c r="AY360" s="2"/>
      <c r="AZ360" s="23"/>
      <c r="BA360" s="2"/>
      <c r="BB360" s="23"/>
      <c r="BC360" s="2"/>
      <c r="BD360" s="23"/>
      <c r="BE360" s="2"/>
      <c r="BF360" s="23"/>
      <c r="BG360" s="2"/>
      <c r="BH360" s="23"/>
      <c r="BI360" s="2"/>
      <c r="BJ360" s="23"/>
      <c r="BK360" s="2"/>
      <c r="BL360" s="23"/>
      <c r="BM360" s="2"/>
      <c r="BN360" s="23"/>
      <c r="BO360" s="2"/>
      <c r="BP360" s="23"/>
      <c r="BQ360" s="2"/>
      <c r="BR360" s="23"/>
      <c r="BS360" s="2"/>
      <c r="BT360" s="23"/>
      <c r="BU360" s="2"/>
      <c r="BV360" s="23"/>
      <c r="BW360" s="2"/>
      <c r="BX360" s="23"/>
      <c r="BY360" s="2"/>
      <c r="CA360" s="1" t="str">
        <f t="shared" si="187"/>
        <v/>
      </c>
    </row>
    <row r="361" spans="1:79" ht="16">
      <c r="A361" s="2"/>
      <c r="B361" s="2"/>
      <c r="C361" s="25" t="str">
        <f t="shared" si="184"/>
        <v/>
      </c>
      <c r="D361" s="2"/>
      <c r="E361" s="2"/>
      <c r="F361" s="25" t="str">
        <f t="shared" ref="F361:F375" si="188">IF(A361="","","gb")</f>
        <v/>
      </c>
      <c r="G361" s="25"/>
      <c r="H361" s="2" t="str">
        <f t="shared" ref="H361:H375" si="189">"[["""&amp;
SUBSTITUTE(SUBSTITUTE(I361,":",""",""")," ","""],[""")
&amp;"""]]"</f>
        <v>[[""]]</v>
      </c>
      <c r="I361" s="2" t="str">
        <f t="shared" si="185"/>
        <v/>
      </c>
      <c r="J361" s="2"/>
      <c r="K361" s="2" t="str">
        <f t="shared" si="186"/>
        <v/>
      </c>
      <c r="L361" s="2"/>
      <c r="M361" s="36" t="str">
        <f t="shared" ref="M361:M375" si="190">IF(A361="","","0")</f>
        <v/>
      </c>
      <c r="N361" s="36" t="str">
        <f t="shared" ref="N361:N375" si="191">IF(B361="","","0")</f>
        <v/>
      </c>
      <c r="O361" s="36" t="str">
        <f t="shared" ref="O361:O375" si="192">IF(C361="","","0")</f>
        <v/>
      </c>
      <c r="P361" s="36" t="str">
        <f t="shared" ref="P361:P375" si="193">IF(D361="","","0")</f>
        <v/>
      </c>
      <c r="Q361" s="35" t="str">
        <f t="shared" ref="Q361:Q375" si="194">IF(D361="","",D361&amp;" "&amp;E361&amp;" "&amp;H361)</f>
        <v/>
      </c>
      <c r="R361" s="2" t="s">
        <v>921</v>
      </c>
      <c r="S361" s="2"/>
      <c r="T361" s="2"/>
      <c r="U361" s="2"/>
      <c r="V361" s="2"/>
      <c r="W361" s="2"/>
      <c r="X361" s="2"/>
      <c r="Y361" s="2"/>
      <c r="Z361" s="2"/>
      <c r="AA361" s="2"/>
      <c r="AB361" s="23"/>
      <c r="AC361" s="2"/>
      <c r="AD361" s="23"/>
      <c r="AE361" s="2"/>
      <c r="AF361" s="23"/>
      <c r="AG361" s="2"/>
      <c r="AH361" s="23"/>
      <c r="AI361" s="2"/>
      <c r="AJ361" s="23"/>
      <c r="AK361" s="2"/>
      <c r="AL361" s="23"/>
      <c r="AM361" s="2"/>
      <c r="AN361" s="23"/>
      <c r="AO361" s="2"/>
      <c r="AP361" s="23"/>
      <c r="AQ361" s="2"/>
      <c r="AR361" s="23"/>
      <c r="AS361" s="2"/>
      <c r="AT361" s="23"/>
      <c r="AU361" s="2"/>
      <c r="AV361" s="23"/>
      <c r="AW361" s="2"/>
      <c r="AX361" s="23"/>
      <c r="AY361" s="2"/>
      <c r="AZ361" s="23"/>
      <c r="BA361" s="2"/>
      <c r="BB361" s="23"/>
      <c r="BC361" s="2"/>
      <c r="BD361" s="23"/>
      <c r="BE361" s="2"/>
      <c r="BF361" s="23"/>
      <c r="BG361" s="2"/>
      <c r="BH361" s="23"/>
      <c r="BI361" s="2"/>
      <c r="BJ361" s="23"/>
      <c r="BK361" s="2"/>
      <c r="BL361" s="23"/>
      <c r="BM361" s="2"/>
      <c r="BN361" s="23"/>
      <c r="BO361" s="2"/>
      <c r="BP361" s="23"/>
      <c r="BQ361" s="2"/>
      <c r="BR361" s="23"/>
      <c r="BS361" s="2"/>
      <c r="BT361" s="23"/>
      <c r="BU361" s="2"/>
      <c r="BV361" s="23"/>
      <c r="BW361" s="2"/>
      <c r="BX361" s="23"/>
      <c r="BY361" s="2"/>
      <c r="CA361" s="1" t="str">
        <f t="shared" si="187"/>
        <v/>
      </c>
    </row>
    <row r="362" spans="1:79" ht="16">
      <c r="A362" s="2"/>
      <c r="B362" s="2"/>
      <c r="C362" s="25" t="str">
        <f t="shared" si="184"/>
        <v/>
      </c>
      <c r="D362" s="2"/>
      <c r="E362" s="2"/>
      <c r="F362" s="25" t="str">
        <f t="shared" si="188"/>
        <v/>
      </c>
      <c r="G362" s="25"/>
      <c r="H362" s="2" t="str">
        <f t="shared" si="189"/>
        <v>[[""]]</v>
      </c>
      <c r="I362" s="2" t="str">
        <f t="shared" si="185"/>
        <v/>
      </c>
      <c r="J362" s="2"/>
      <c r="K362" s="2" t="str">
        <f t="shared" si="186"/>
        <v/>
      </c>
      <c r="L362" s="2"/>
      <c r="M362" s="36" t="str">
        <f t="shared" si="190"/>
        <v/>
      </c>
      <c r="N362" s="36" t="str">
        <f t="shared" si="191"/>
        <v/>
      </c>
      <c r="O362" s="36" t="str">
        <f t="shared" si="192"/>
        <v/>
      </c>
      <c r="P362" s="36" t="str">
        <f t="shared" si="193"/>
        <v/>
      </c>
      <c r="Q362" s="35" t="str">
        <f t="shared" si="194"/>
        <v/>
      </c>
      <c r="R362" s="2" t="s">
        <v>921</v>
      </c>
      <c r="S362" s="2"/>
      <c r="T362" s="2"/>
      <c r="U362" s="2"/>
      <c r="V362" s="2"/>
      <c r="W362" s="2"/>
      <c r="X362" s="2"/>
      <c r="Y362" s="2"/>
      <c r="Z362" s="2"/>
      <c r="AA362" s="2"/>
      <c r="AB362" s="23"/>
      <c r="AC362" s="2"/>
      <c r="AD362" s="23"/>
      <c r="AE362" s="2"/>
      <c r="AF362" s="23"/>
      <c r="AG362" s="2"/>
      <c r="AH362" s="23"/>
      <c r="AI362" s="2"/>
      <c r="AJ362" s="23"/>
      <c r="AK362" s="2"/>
      <c r="AL362" s="23"/>
      <c r="AM362" s="2"/>
      <c r="AN362" s="23"/>
      <c r="AO362" s="2"/>
      <c r="AP362" s="23"/>
      <c r="AQ362" s="2"/>
      <c r="AR362" s="23"/>
      <c r="AS362" s="2"/>
      <c r="AT362" s="23"/>
      <c r="AU362" s="2"/>
      <c r="AV362" s="23"/>
      <c r="AW362" s="2"/>
      <c r="AX362" s="23"/>
      <c r="AY362" s="2"/>
      <c r="AZ362" s="23"/>
      <c r="BA362" s="2"/>
      <c r="BB362" s="23"/>
      <c r="BC362" s="2"/>
      <c r="BD362" s="23"/>
      <c r="BE362" s="2"/>
      <c r="BF362" s="23"/>
      <c r="BG362" s="2"/>
      <c r="BH362" s="23"/>
      <c r="BI362" s="2"/>
      <c r="BJ362" s="23"/>
      <c r="BK362" s="2"/>
      <c r="BL362" s="23"/>
      <c r="BM362" s="2"/>
      <c r="BN362" s="23"/>
      <c r="BO362" s="2"/>
      <c r="BP362" s="23"/>
      <c r="BQ362" s="2"/>
      <c r="BR362" s="23"/>
      <c r="BS362" s="2"/>
      <c r="BT362" s="23"/>
      <c r="BU362" s="2"/>
      <c r="BV362" s="23"/>
      <c r="BW362" s="2"/>
      <c r="BX362" s="23"/>
      <c r="BY362" s="2"/>
      <c r="CA362" s="1" t="str">
        <f t="shared" si="187"/>
        <v/>
      </c>
    </row>
    <row r="363" spans="1:79" ht="16">
      <c r="A363" s="2"/>
      <c r="B363" s="2"/>
      <c r="C363" s="25" t="str">
        <f t="shared" si="184"/>
        <v/>
      </c>
      <c r="D363" s="2"/>
      <c r="E363" s="2"/>
      <c r="F363" s="25" t="str">
        <f t="shared" si="188"/>
        <v/>
      </c>
      <c r="G363" s="25"/>
      <c r="H363" s="2" t="str">
        <f t="shared" si="189"/>
        <v>[[""]]</v>
      </c>
      <c r="I363" s="2" t="str">
        <f t="shared" si="185"/>
        <v/>
      </c>
      <c r="J363" s="2"/>
      <c r="K363" s="2" t="str">
        <f t="shared" si="186"/>
        <v/>
      </c>
      <c r="L363" s="2"/>
      <c r="M363" s="36" t="str">
        <f t="shared" si="190"/>
        <v/>
      </c>
      <c r="N363" s="36" t="str">
        <f t="shared" si="191"/>
        <v/>
      </c>
      <c r="O363" s="36" t="str">
        <f t="shared" si="192"/>
        <v/>
      </c>
      <c r="P363" s="36" t="str">
        <f t="shared" si="193"/>
        <v/>
      </c>
      <c r="Q363" s="35" t="str">
        <f t="shared" si="194"/>
        <v/>
      </c>
      <c r="R363" s="2" t="s">
        <v>921</v>
      </c>
      <c r="S363" s="2"/>
      <c r="T363" s="2"/>
      <c r="U363" s="2"/>
      <c r="V363" s="2"/>
      <c r="W363" s="2"/>
      <c r="X363" s="2"/>
      <c r="Y363" s="2"/>
      <c r="Z363" s="2"/>
      <c r="AA363" s="2"/>
      <c r="AB363" s="23"/>
      <c r="AC363" s="2"/>
      <c r="AD363" s="23"/>
      <c r="AE363" s="2"/>
      <c r="AF363" s="23"/>
      <c r="AG363" s="2"/>
      <c r="AH363" s="23"/>
      <c r="AI363" s="2"/>
      <c r="AJ363" s="23"/>
      <c r="AK363" s="2"/>
      <c r="AL363" s="23"/>
      <c r="AM363" s="2"/>
      <c r="AN363" s="23"/>
      <c r="AO363" s="2"/>
      <c r="AP363" s="23"/>
      <c r="AQ363" s="2"/>
      <c r="AR363" s="23"/>
      <c r="AS363" s="2"/>
      <c r="AT363" s="23"/>
      <c r="AU363" s="2"/>
      <c r="AV363" s="23"/>
      <c r="AW363" s="2"/>
      <c r="AX363" s="23"/>
      <c r="AY363" s="2"/>
      <c r="AZ363" s="23"/>
      <c r="BA363" s="2"/>
      <c r="BB363" s="23"/>
      <c r="BC363" s="2"/>
      <c r="BD363" s="23"/>
      <c r="BE363" s="2"/>
      <c r="BF363" s="23"/>
      <c r="BG363" s="2"/>
      <c r="BH363" s="23"/>
      <c r="BI363" s="2"/>
      <c r="BJ363" s="23"/>
      <c r="BK363" s="2"/>
      <c r="BL363" s="23"/>
      <c r="BM363" s="2"/>
      <c r="BN363" s="23"/>
      <c r="BO363" s="2"/>
      <c r="BP363" s="23"/>
      <c r="BQ363" s="2"/>
      <c r="BR363" s="23"/>
      <c r="BS363" s="2"/>
      <c r="BT363" s="23"/>
      <c r="BU363" s="2"/>
      <c r="BV363" s="23"/>
      <c r="BW363" s="2"/>
      <c r="BX363" s="23"/>
      <c r="BY363" s="2"/>
      <c r="CA363" s="1" t="str">
        <f t="shared" si="187"/>
        <v/>
      </c>
    </row>
    <row r="364" spans="1:79" ht="16">
      <c r="A364" s="2"/>
      <c r="B364" s="2"/>
      <c r="C364" s="25" t="str">
        <f t="shared" si="184"/>
        <v/>
      </c>
      <c r="D364" s="2"/>
      <c r="E364" s="2"/>
      <c r="F364" s="25" t="str">
        <f t="shared" si="188"/>
        <v/>
      </c>
      <c r="G364" s="25"/>
      <c r="H364" s="2" t="str">
        <f t="shared" si="189"/>
        <v>[[""]]</v>
      </c>
      <c r="I364" s="2" t="str">
        <f t="shared" si="185"/>
        <v/>
      </c>
      <c r="J364" s="2"/>
      <c r="K364" s="2" t="str">
        <f t="shared" si="186"/>
        <v/>
      </c>
      <c r="L364" s="2"/>
      <c r="M364" s="36" t="str">
        <f t="shared" si="190"/>
        <v/>
      </c>
      <c r="N364" s="36" t="str">
        <f t="shared" si="191"/>
        <v/>
      </c>
      <c r="O364" s="36" t="str">
        <f t="shared" si="192"/>
        <v/>
      </c>
      <c r="P364" s="36" t="str">
        <f t="shared" si="193"/>
        <v/>
      </c>
      <c r="Q364" s="35" t="str">
        <f t="shared" si="194"/>
        <v/>
      </c>
      <c r="R364" s="2" t="s">
        <v>921</v>
      </c>
      <c r="S364" s="2"/>
      <c r="T364" s="2"/>
      <c r="U364" s="2"/>
      <c r="V364" s="2"/>
      <c r="W364" s="2"/>
      <c r="X364" s="2"/>
      <c r="Y364" s="2"/>
      <c r="Z364" s="2"/>
      <c r="AA364" s="2"/>
      <c r="AB364" s="23"/>
      <c r="AC364" s="2"/>
      <c r="AD364" s="23"/>
      <c r="AE364" s="2"/>
      <c r="AF364" s="23"/>
      <c r="AG364" s="2"/>
      <c r="AH364" s="23"/>
      <c r="AI364" s="2"/>
      <c r="AJ364" s="23"/>
      <c r="AK364" s="2"/>
      <c r="AL364" s="23"/>
      <c r="AM364" s="2"/>
      <c r="AN364" s="23"/>
      <c r="AO364" s="2"/>
      <c r="AP364" s="23"/>
      <c r="AQ364" s="2"/>
      <c r="AR364" s="23"/>
      <c r="AS364" s="2"/>
      <c r="AT364" s="23"/>
      <c r="AU364" s="2"/>
      <c r="AV364" s="23"/>
      <c r="AW364" s="2"/>
      <c r="AX364" s="23"/>
      <c r="AY364" s="2"/>
      <c r="AZ364" s="23"/>
      <c r="BA364" s="2"/>
      <c r="BB364" s="23"/>
      <c r="BC364" s="2"/>
      <c r="BD364" s="23"/>
      <c r="BE364" s="2"/>
      <c r="BF364" s="23"/>
      <c r="BG364" s="2"/>
      <c r="BH364" s="23"/>
      <c r="BI364" s="2"/>
      <c r="BJ364" s="23"/>
      <c r="BK364" s="2"/>
      <c r="BL364" s="23"/>
      <c r="BM364" s="2"/>
      <c r="BN364" s="23"/>
      <c r="BO364" s="2"/>
      <c r="BP364" s="23"/>
      <c r="BQ364" s="2"/>
      <c r="BR364" s="23"/>
      <c r="BS364" s="2"/>
      <c r="BT364" s="23"/>
      <c r="BU364" s="2"/>
      <c r="BV364" s="23"/>
      <c r="BW364" s="2"/>
      <c r="BX364" s="23"/>
      <c r="BY364" s="2"/>
      <c r="CA364" s="1" t="str">
        <f t="shared" si="187"/>
        <v/>
      </c>
    </row>
    <row r="365" spans="1:79" ht="16">
      <c r="A365" s="2"/>
      <c r="B365" s="2"/>
      <c r="C365" s="25" t="str">
        <f t="shared" si="184"/>
        <v/>
      </c>
      <c r="D365" s="2"/>
      <c r="E365" s="2"/>
      <c r="F365" s="25" t="str">
        <f t="shared" si="188"/>
        <v/>
      </c>
      <c r="G365" s="25"/>
      <c r="H365" s="2" t="str">
        <f t="shared" si="189"/>
        <v>[[""]]</v>
      </c>
      <c r="I365" s="2" t="str">
        <f t="shared" si="185"/>
        <v/>
      </c>
      <c r="J365" s="2"/>
      <c r="K365" s="2" t="str">
        <f t="shared" si="186"/>
        <v/>
      </c>
      <c r="L365" s="2"/>
      <c r="M365" s="36" t="str">
        <f t="shared" si="190"/>
        <v/>
      </c>
      <c r="N365" s="36" t="str">
        <f t="shared" si="191"/>
        <v/>
      </c>
      <c r="O365" s="36" t="str">
        <f t="shared" si="192"/>
        <v/>
      </c>
      <c r="P365" s="36" t="str">
        <f t="shared" si="193"/>
        <v/>
      </c>
      <c r="Q365" s="35" t="str">
        <f t="shared" si="194"/>
        <v/>
      </c>
      <c r="R365" s="2" t="s">
        <v>921</v>
      </c>
      <c r="S365" s="2"/>
      <c r="T365" s="2"/>
      <c r="U365" s="2"/>
      <c r="V365" s="2"/>
      <c r="W365" s="2"/>
      <c r="X365" s="2"/>
      <c r="Y365" s="2"/>
      <c r="Z365" s="2"/>
      <c r="AA365" s="2"/>
      <c r="AB365" s="23"/>
      <c r="AC365" s="2"/>
      <c r="AD365" s="23"/>
      <c r="AE365" s="2"/>
      <c r="AF365" s="23"/>
      <c r="AG365" s="2"/>
      <c r="AH365" s="23"/>
      <c r="AI365" s="2"/>
      <c r="AJ365" s="23"/>
      <c r="AK365" s="2"/>
      <c r="AL365" s="23"/>
      <c r="AM365" s="2"/>
      <c r="AN365" s="23"/>
      <c r="AO365" s="2"/>
      <c r="AP365" s="23"/>
      <c r="AQ365" s="2"/>
      <c r="AR365" s="23"/>
      <c r="AS365" s="2"/>
      <c r="AT365" s="23"/>
      <c r="AU365" s="2"/>
      <c r="AV365" s="23"/>
      <c r="AW365" s="2"/>
      <c r="AX365" s="23"/>
      <c r="AY365" s="2"/>
      <c r="AZ365" s="23"/>
      <c r="BA365" s="2"/>
      <c r="BB365" s="23"/>
      <c r="BC365" s="2"/>
      <c r="BD365" s="23"/>
      <c r="BE365" s="2"/>
      <c r="BF365" s="23"/>
      <c r="BG365" s="2"/>
      <c r="BH365" s="23"/>
      <c r="BI365" s="2"/>
      <c r="BJ365" s="23"/>
      <c r="BK365" s="2"/>
      <c r="BL365" s="23"/>
      <c r="BM365" s="2"/>
      <c r="BN365" s="23"/>
      <c r="BO365" s="2"/>
      <c r="BP365" s="23"/>
      <c r="BQ365" s="2"/>
      <c r="BR365" s="23"/>
      <c r="BS365" s="2"/>
      <c r="BT365" s="23"/>
      <c r="BU365" s="2"/>
      <c r="BV365" s="23"/>
      <c r="BW365" s="2"/>
      <c r="BX365" s="23"/>
      <c r="BY365" s="2"/>
      <c r="CA365" s="1" t="str">
        <f t="shared" si="187"/>
        <v/>
      </c>
    </row>
    <row r="366" spans="1:79" ht="16">
      <c r="A366" s="2"/>
      <c r="B366" s="2"/>
      <c r="C366" s="25" t="str">
        <f t="shared" si="184"/>
        <v/>
      </c>
      <c r="D366" s="2"/>
      <c r="E366" s="2"/>
      <c r="F366" s="25" t="str">
        <f t="shared" si="188"/>
        <v/>
      </c>
      <c r="G366" s="25"/>
      <c r="H366" s="2" t="str">
        <f t="shared" si="189"/>
        <v>[[""]]</v>
      </c>
      <c r="I366" s="2" t="str">
        <f t="shared" si="185"/>
        <v/>
      </c>
      <c r="J366" s="2"/>
      <c r="K366" s="2" t="str">
        <f t="shared" si="186"/>
        <v/>
      </c>
      <c r="L366" s="2"/>
      <c r="M366" s="36" t="str">
        <f t="shared" si="190"/>
        <v/>
      </c>
      <c r="N366" s="36" t="str">
        <f t="shared" si="191"/>
        <v/>
      </c>
      <c r="O366" s="36" t="str">
        <f t="shared" si="192"/>
        <v/>
      </c>
      <c r="P366" s="36" t="str">
        <f t="shared" si="193"/>
        <v/>
      </c>
      <c r="Q366" s="35" t="str">
        <f t="shared" si="194"/>
        <v/>
      </c>
      <c r="R366" s="2" t="s">
        <v>921</v>
      </c>
      <c r="S366" s="2"/>
      <c r="T366" s="2"/>
      <c r="U366" s="2"/>
      <c r="V366" s="2"/>
      <c r="W366" s="2"/>
      <c r="X366" s="2"/>
      <c r="Y366" s="2"/>
      <c r="Z366" s="2"/>
      <c r="AA366" s="2"/>
      <c r="AB366" s="23"/>
      <c r="AC366" s="2"/>
      <c r="AD366" s="23"/>
      <c r="AE366" s="2"/>
      <c r="AF366" s="23"/>
      <c r="AG366" s="2"/>
      <c r="AH366" s="23"/>
      <c r="AI366" s="2"/>
      <c r="AJ366" s="23"/>
      <c r="AK366" s="2"/>
      <c r="AL366" s="23"/>
      <c r="AM366" s="2"/>
      <c r="AN366" s="23"/>
      <c r="AO366" s="2"/>
      <c r="AP366" s="23"/>
      <c r="AQ366" s="2"/>
      <c r="AR366" s="23"/>
      <c r="AS366" s="2"/>
      <c r="AT366" s="23"/>
      <c r="AU366" s="2"/>
      <c r="AV366" s="23"/>
      <c r="AW366" s="2"/>
      <c r="AX366" s="23"/>
      <c r="AY366" s="2"/>
      <c r="AZ366" s="23"/>
      <c r="BA366" s="2"/>
      <c r="BB366" s="23"/>
      <c r="BC366" s="2"/>
      <c r="BD366" s="23"/>
      <c r="BE366" s="2"/>
      <c r="BF366" s="23"/>
      <c r="BG366" s="2"/>
      <c r="BH366" s="23"/>
      <c r="BI366" s="2"/>
      <c r="BJ366" s="23"/>
      <c r="BK366" s="2"/>
      <c r="BL366" s="23"/>
      <c r="BM366" s="2"/>
      <c r="BN366" s="23"/>
      <c r="BO366" s="2"/>
      <c r="BP366" s="23"/>
      <c r="BQ366" s="2"/>
      <c r="BR366" s="23"/>
      <c r="BS366" s="2"/>
      <c r="BT366" s="23"/>
      <c r="BU366" s="2"/>
      <c r="BV366" s="23"/>
      <c r="BW366" s="2"/>
      <c r="BX366" s="23"/>
      <c r="BY366" s="2"/>
      <c r="CA366" s="1" t="str">
        <f t="shared" si="187"/>
        <v/>
      </c>
    </row>
    <row r="367" spans="1:79" ht="16">
      <c r="A367" s="2"/>
      <c r="B367" s="2"/>
      <c r="C367" s="25" t="str">
        <f t="shared" si="184"/>
        <v/>
      </c>
      <c r="D367" s="2"/>
      <c r="E367" s="2"/>
      <c r="F367" s="25" t="str">
        <f t="shared" si="188"/>
        <v/>
      </c>
      <c r="G367" s="25"/>
      <c r="H367" s="2" t="str">
        <f t="shared" si="189"/>
        <v>[[""]]</v>
      </c>
      <c r="I367" s="2" t="str">
        <f t="shared" si="185"/>
        <v/>
      </c>
      <c r="J367" s="2"/>
      <c r="K367" s="2" t="str">
        <f t="shared" si="186"/>
        <v/>
      </c>
      <c r="L367" s="2"/>
      <c r="M367" s="36" t="str">
        <f t="shared" si="190"/>
        <v/>
      </c>
      <c r="N367" s="36" t="str">
        <f t="shared" si="191"/>
        <v/>
      </c>
      <c r="O367" s="36" t="str">
        <f t="shared" si="192"/>
        <v/>
      </c>
      <c r="P367" s="36" t="str">
        <f t="shared" si="193"/>
        <v/>
      </c>
      <c r="Q367" s="35" t="str">
        <f t="shared" si="194"/>
        <v/>
      </c>
      <c r="R367" s="2" t="s">
        <v>921</v>
      </c>
      <c r="S367" s="2"/>
      <c r="T367" s="2"/>
      <c r="U367" s="2"/>
      <c r="V367" s="2"/>
      <c r="W367" s="2"/>
      <c r="X367" s="2"/>
      <c r="Y367" s="2"/>
      <c r="Z367" s="2"/>
      <c r="AA367" s="2"/>
      <c r="AB367" s="23"/>
      <c r="AC367" s="2"/>
      <c r="AD367" s="23"/>
      <c r="AE367" s="2"/>
      <c r="AF367" s="23"/>
      <c r="AG367" s="2"/>
      <c r="AH367" s="23"/>
      <c r="AI367" s="2"/>
      <c r="AJ367" s="23"/>
      <c r="AK367" s="2"/>
      <c r="AL367" s="23"/>
      <c r="AM367" s="2"/>
      <c r="AN367" s="23"/>
      <c r="AO367" s="2"/>
      <c r="AP367" s="23"/>
      <c r="AQ367" s="2"/>
      <c r="AR367" s="23"/>
      <c r="AS367" s="2"/>
      <c r="AT367" s="23"/>
      <c r="AU367" s="2"/>
      <c r="AV367" s="23"/>
      <c r="AW367" s="2"/>
      <c r="AX367" s="23"/>
      <c r="AY367" s="2"/>
      <c r="AZ367" s="23"/>
      <c r="BA367" s="2"/>
      <c r="BB367" s="23"/>
      <c r="BC367" s="2"/>
      <c r="BD367" s="23"/>
      <c r="BE367" s="2"/>
      <c r="BF367" s="23"/>
      <c r="BG367" s="2"/>
      <c r="BH367" s="23"/>
      <c r="BI367" s="2"/>
      <c r="BJ367" s="23"/>
      <c r="BK367" s="2"/>
      <c r="BL367" s="23"/>
      <c r="BM367" s="2"/>
      <c r="BN367" s="23"/>
      <c r="BO367" s="2"/>
      <c r="BP367" s="23"/>
      <c r="BQ367" s="2"/>
      <c r="BR367" s="23"/>
      <c r="BS367" s="2"/>
      <c r="BT367" s="23"/>
      <c r="BU367" s="2"/>
      <c r="BV367" s="23"/>
      <c r="BW367" s="2"/>
      <c r="BX367" s="23"/>
      <c r="BY367" s="2"/>
      <c r="CA367" s="1" t="str">
        <f t="shared" si="187"/>
        <v/>
      </c>
    </row>
    <row r="368" spans="1:79" ht="16">
      <c r="A368" s="2"/>
      <c r="B368" s="2"/>
      <c r="C368" s="25" t="str">
        <f t="shared" si="184"/>
        <v/>
      </c>
      <c r="D368" s="2"/>
      <c r="E368" s="2"/>
      <c r="F368" s="25" t="str">
        <f t="shared" si="188"/>
        <v/>
      </c>
      <c r="G368" s="25"/>
      <c r="H368" s="2" t="str">
        <f t="shared" si="189"/>
        <v>[[""]]</v>
      </c>
      <c r="I368" s="2" t="str">
        <f t="shared" si="185"/>
        <v/>
      </c>
      <c r="J368" s="2"/>
      <c r="K368" s="2" t="str">
        <f t="shared" si="186"/>
        <v/>
      </c>
      <c r="L368" s="2"/>
      <c r="M368" s="36" t="str">
        <f t="shared" si="190"/>
        <v/>
      </c>
      <c r="N368" s="36" t="str">
        <f t="shared" si="191"/>
        <v/>
      </c>
      <c r="O368" s="36" t="str">
        <f t="shared" si="192"/>
        <v/>
      </c>
      <c r="P368" s="36" t="str">
        <f t="shared" si="193"/>
        <v/>
      </c>
      <c r="Q368" s="35" t="str">
        <f t="shared" si="194"/>
        <v/>
      </c>
      <c r="R368" s="2" t="s">
        <v>921</v>
      </c>
      <c r="S368" s="2"/>
      <c r="T368" s="2"/>
      <c r="U368" s="2"/>
      <c r="V368" s="2"/>
      <c r="W368" s="2"/>
      <c r="X368" s="2"/>
      <c r="Y368" s="2"/>
      <c r="Z368" s="2"/>
      <c r="AA368" s="2"/>
      <c r="AB368" s="23"/>
      <c r="AC368" s="2"/>
      <c r="AD368" s="23"/>
      <c r="AE368" s="2"/>
      <c r="AF368" s="23"/>
      <c r="AG368" s="2"/>
      <c r="AH368" s="23"/>
      <c r="AI368" s="2"/>
      <c r="AJ368" s="23"/>
      <c r="AK368" s="2"/>
      <c r="AL368" s="23"/>
      <c r="AM368" s="2"/>
      <c r="AN368" s="23"/>
      <c r="AO368" s="2"/>
      <c r="AP368" s="23"/>
      <c r="AQ368" s="2"/>
      <c r="AR368" s="23"/>
      <c r="AS368" s="2"/>
      <c r="AT368" s="23"/>
      <c r="AU368" s="2"/>
      <c r="AV368" s="23"/>
      <c r="AW368" s="2"/>
      <c r="AX368" s="23"/>
      <c r="AY368" s="2"/>
      <c r="AZ368" s="23"/>
      <c r="BA368" s="2"/>
      <c r="BB368" s="23"/>
      <c r="BC368" s="2"/>
      <c r="BD368" s="23"/>
      <c r="BE368" s="2"/>
      <c r="BF368" s="23"/>
      <c r="BG368" s="2"/>
      <c r="BH368" s="23"/>
      <c r="BI368" s="2"/>
      <c r="BJ368" s="23"/>
      <c r="BK368" s="2"/>
      <c r="BL368" s="23"/>
      <c r="BM368" s="2"/>
      <c r="BN368" s="23"/>
      <c r="BO368" s="2"/>
      <c r="BP368" s="23"/>
      <c r="BQ368" s="2"/>
      <c r="BR368" s="23"/>
      <c r="BS368" s="2"/>
      <c r="BT368" s="23"/>
      <c r="BU368" s="2"/>
      <c r="BV368" s="23"/>
      <c r="BW368" s="2"/>
      <c r="BX368" s="23"/>
      <c r="BY368" s="2"/>
      <c r="CA368" s="1" t="str">
        <f t="shared" si="187"/>
        <v/>
      </c>
    </row>
    <row r="369" spans="1:79" ht="16">
      <c r="A369" s="2"/>
      <c r="B369" s="2"/>
      <c r="C369" s="25" t="str">
        <f t="shared" si="184"/>
        <v/>
      </c>
      <c r="D369" s="2"/>
      <c r="E369" s="2"/>
      <c r="F369" s="25" t="str">
        <f t="shared" si="188"/>
        <v/>
      </c>
      <c r="G369" s="25"/>
      <c r="H369" s="2" t="str">
        <f t="shared" si="189"/>
        <v>[[""]]</v>
      </c>
      <c r="I369" s="2" t="str">
        <f t="shared" si="185"/>
        <v/>
      </c>
      <c r="J369" s="2"/>
      <c r="K369" s="2" t="str">
        <f t="shared" si="186"/>
        <v/>
      </c>
      <c r="L369" s="2"/>
      <c r="M369" s="36" t="str">
        <f t="shared" si="190"/>
        <v/>
      </c>
      <c r="N369" s="36" t="str">
        <f t="shared" si="191"/>
        <v/>
      </c>
      <c r="O369" s="36" t="str">
        <f t="shared" si="192"/>
        <v/>
      </c>
      <c r="P369" s="36" t="str">
        <f t="shared" si="193"/>
        <v/>
      </c>
      <c r="Q369" s="35" t="str">
        <f t="shared" si="194"/>
        <v/>
      </c>
      <c r="R369" s="2" t="s">
        <v>921</v>
      </c>
      <c r="S369" s="2"/>
      <c r="T369" s="2"/>
      <c r="U369" s="2"/>
      <c r="V369" s="2"/>
      <c r="W369" s="2"/>
      <c r="X369" s="2"/>
      <c r="Y369" s="2"/>
      <c r="Z369" s="2"/>
      <c r="AA369" s="2"/>
      <c r="AB369" s="23"/>
      <c r="AC369" s="2"/>
      <c r="AD369" s="23"/>
      <c r="AE369" s="2"/>
      <c r="AF369" s="23"/>
      <c r="AG369" s="2"/>
      <c r="AH369" s="23"/>
      <c r="AI369" s="2"/>
      <c r="AJ369" s="23"/>
      <c r="AK369" s="2"/>
      <c r="AL369" s="23"/>
      <c r="AM369" s="2"/>
      <c r="AN369" s="23"/>
      <c r="AO369" s="2"/>
      <c r="AP369" s="23"/>
      <c r="AQ369" s="2"/>
      <c r="AR369" s="23"/>
      <c r="AS369" s="2"/>
      <c r="AT369" s="23"/>
      <c r="AU369" s="2"/>
      <c r="AV369" s="23"/>
      <c r="AW369" s="2"/>
      <c r="AX369" s="23"/>
      <c r="AY369" s="2"/>
      <c r="AZ369" s="23"/>
      <c r="BA369" s="2"/>
      <c r="BB369" s="23"/>
      <c r="BC369" s="2"/>
      <c r="BD369" s="23"/>
      <c r="BE369" s="2"/>
      <c r="BF369" s="23"/>
      <c r="BG369" s="2"/>
      <c r="BH369" s="23"/>
      <c r="BI369" s="2"/>
      <c r="BJ369" s="23"/>
      <c r="BK369" s="2"/>
      <c r="BL369" s="23"/>
      <c r="BM369" s="2"/>
      <c r="BN369" s="23"/>
      <c r="BO369" s="2"/>
      <c r="BP369" s="23"/>
      <c r="BQ369" s="2"/>
      <c r="BR369" s="23"/>
      <c r="BS369" s="2"/>
      <c r="BT369" s="23"/>
      <c r="BU369" s="2"/>
      <c r="BV369" s="23"/>
      <c r="BW369" s="2"/>
      <c r="BX369" s="23"/>
      <c r="BY369" s="2"/>
      <c r="CA369" s="1" t="str">
        <f t="shared" si="187"/>
        <v/>
      </c>
    </row>
    <row r="370" spans="1:79" ht="16">
      <c r="A370" s="2"/>
      <c r="B370" s="2"/>
      <c r="C370" s="25" t="str">
        <f t="shared" si="184"/>
        <v/>
      </c>
      <c r="D370" s="2"/>
      <c r="E370" s="2"/>
      <c r="F370" s="25" t="str">
        <f t="shared" si="188"/>
        <v/>
      </c>
      <c r="G370" s="25"/>
      <c r="H370" s="2" t="str">
        <f t="shared" si="189"/>
        <v>[[""]]</v>
      </c>
      <c r="I370" s="2" t="str">
        <f t="shared" si="185"/>
        <v/>
      </c>
      <c r="J370" s="2"/>
      <c r="K370" s="2" t="str">
        <f t="shared" si="186"/>
        <v/>
      </c>
      <c r="L370" s="2"/>
      <c r="M370" s="36" t="str">
        <f t="shared" si="190"/>
        <v/>
      </c>
      <c r="N370" s="36" t="str">
        <f t="shared" si="191"/>
        <v/>
      </c>
      <c r="O370" s="36" t="str">
        <f t="shared" si="192"/>
        <v/>
      </c>
      <c r="P370" s="36" t="str">
        <f t="shared" si="193"/>
        <v/>
      </c>
      <c r="Q370" s="35" t="str">
        <f t="shared" si="194"/>
        <v/>
      </c>
      <c r="R370" s="2" t="s">
        <v>921</v>
      </c>
      <c r="S370" s="2"/>
      <c r="T370" s="2"/>
      <c r="U370" s="2"/>
      <c r="V370" s="2"/>
      <c r="W370" s="2"/>
      <c r="X370" s="2"/>
      <c r="Y370" s="2"/>
      <c r="Z370" s="2"/>
      <c r="AA370" s="2"/>
      <c r="AB370" s="23"/>
      <c r="AC370" s="2"/>
      <c r="AD370" s="23"/>
      <c r="AE370" s="2"/>
      <c r="AF370" s="23"/>
      <c r="AG370" s="2"/>
      <c r="AH370" s="23"/>
      <c r="AI370" s="2"/>
      <c r="AJ370" s="23"/>
      <c r="AK370" s="2"/>
      <c r="AL370" s="23"/>
      <c r="AM370" s="2"/>
      <c r="AN370" s="23"/>
      <c r="AO370" s="2"/>
      <c r="AP370" s="23"/>
      <c r="AQ370" s="2"/>
      <c r="AR370" s="23"/>
      <c r="AS370" s="2"/>
      <c r="AT370" s="23"/>
      <c r="AU370" s="2"/>
      <c r="AV370" s="23"/>
      <c r="AW370" s="2"/>
      <c r="AX370" s="23"/>
      <c r="AY370" s="2"/>
      <c r="AZ370" s="23"/>
      <c r="BA370" s="2"/>
      <c r="BB370" s="23"/>
      <c r="BC370" s="2"/>
      <c r="BD370" s="23"/>
      <c r="BE370" s="2"/>
      <c r="BF370" s="23"/>
      <c r="BG370" s="2"/>
      <c r="BH370" s="23"/>
      <c r="BI370" s="2"/>
      <c r="BJ370" s="23"/>
      <c r="BK370" s="2"/>
      <c r="BL370" s="23"/>
      <c r="BM370" s="2"/>
      <c r="BN370" s="23"/>
      <c r="BO370" s="2"/>
      <c r="BP370" s="23"/>
      <c r="BQ370" s="2"/>
      <c r="BR370" s="23"/>
      <c r="BS370" s="2"/>
      <c r="BT370" s="23"/>
      <c r="BU370" s="2"/>
      <c r="BV370" s="23"/>
      <c r="BW370" s="2"/>
      <c r="BX370" s="23"/>
      <c r="BY370" s="2"/>
      <c r="CA370" s="1" t="str">
        <f t="shared" si="187"/>
        <v/>
      </c>
    </row>
    <row r="371" spans="1:79" ht="16">
      <c r="A371" s="2"/>
      <c r="B371" s="2"/>
      <c r="C371" s="25" t="str">
        <f t="shared" si="184"/>
        <v/>
      </c>
      <c r="D371" s="2"/>
      <c r="E371" s="2"/>
      <c r="F371" s="25" t="str">
        <f t="shared" si="188"/>
        <v/>
      </c>
      <c r="G371" s="25"/>
      <c r="H371" s="2" t="str">
        <f t="shared" si="189"/>
        <v>[[""]]</v>
      </c>
      <c r="I371" s="2" t="str">
        <f t="shared" si="185"/>
        <v/>
      </c>
      <c r="J371" s="2"/>
      <c r="K371" s="2" t="str">
        <f t="shared" si="186"/>
        <v/>
      </c>
      <c r="L371" s="2"/>
      <c r="M371" s="36" t="str">
        <f t="shared" si="190"/>
        <v/>
      </c>
      <c r="N371" s="36" t="str">
        <f t="shared" si="191"/>
        <v/>
      </c>
      <c r="O371" s="36" t="str">
        <f t="shared" si="192"/>
        <v/>
      </c>
      <c r="P371" s="36" t="str">
        <f t="shared" si="193"/>
        <v/>
      </c>
      <c r="Q371" s="35" t="str">
        <f t="shared" si="194"/>
        <v/>
      </c>
      <c r="R371" s="2" t="s">
        <v>921</v>
      </c>
      <c r="S371" s="2"/>
      <c r="T371" s="2"/>
      <c r="U371" s="2"/>
      <c r="V371" s="2"/>
      <c r="W371" s="2"/>
      <c r="X371" s="2"/>
      <c r="Y371" s="2"/>
      <c r="Z371" s="2"/>
      <c r="AA371" s="2"/>
      <c r="AB371" s="23"/>
      <c r="AC371" s="2"/>
      <c r="AD371" s="23"/>
      <c r="AE371" s="2"/>
      <c r="AF371" s="23"/>
      <c r="AG371" s="2"/>
      <c r="AH371" s="23"/>
      <c r="AI371" s="2"/>
      <c r="AJ371" s="23"/>
      <c r="AK371" s="2"/>
      <c r="AL371" s="23"/>
      <c r="AM371" s="2"/>
      <c r="AN371" s="23"/>
      <c r="AO371" s="2"/>
      <c r="AP371" s="23"/>
      <c r="AQ371" s="2"/>
      <c r="AR371" s="23"/>
      <c r="AS371" s="2"/>
      <c r="AT371" s="23"/>
      <c r="AU371" s="2"/>
      <c r="AV371" s="23"/>
      <c r="AW371" s="2"/>
      <c r="AX371" s="23"/>
      <c r="AY371" s="2"/>
      <c r="AZ371" s="23"/>
      <c r="BA371" s="2"/>
      <c r="BB371" s="23"/>
      <c r="BC371" s="2"/>
      <c r="BD371" s="23"/>
      <c r="BE371" s="2"/>
      <c r="BF371" s="23"/>
      <c r="BG371" s="2"/>
      <c r="BH371" s="23"/>
      <c r="BI371" s="2"/>
      <c r="BJ371" s="23"/>
      <c r="BK371" s="2"/>
      <c r="BL371" s="23"/>
      <c r="BM371" s="2"/>
      <c r="BN371" s="23"/>
      <c r="BO371" s="2"/>
      <c r="BP371" s="23"/>
      <c r="BQ371" s="2"/>
      <c r="BR371" s="23"/>
      <c r="BS371" s="2"/>
      <c r="BT371" s="23"/>
      <c r="BU371" s="2"/>
      <c r="BV371" s="23"/>
      <c r="BW371" s="2"/>
      <c r="BX371" s="23"/>
      <c r="BY371" s="2"/>
      <c r="CA371" s="1" t="str">
        <f t="shared" si="187"/>
        <v/>
      </c>
    </row>
    <row r="372" spans="1:79" ht="16">
      <c r="A372" s="2"/>
      <c r="B372" s="2"/>
      <c r="C372" s="25" t="str">
        <f t="shared" si="184"/>
        <v/>
      </c>
      <c r="D372" s="2"/>
      <c r="E372" s="2"/>
      <c r="F372" s="25" t="str">
        <f t="shared" si="188"/>
        <v/>
      </c>
      <c r="G372" s="25"/>
      <c r="H372" s="2" t="str">
        <f t="shared" si="189"/>
        <v>[[""]]</v>
      </c>
      <c r="I372" s="2" t="str">
        <f t="shared" si="185"/>
        <v/>
      </c>
      <c r="J372" s="2"/>
      <c r="K372" s="2" t="str">
        <f t="shared" si="186"/>
        <v/>
      </c>
      <c r="L372" s="2"/>
      <c r="M372" s="36" t="str">
        <f t="shared" si="190"/>
        <v/>
      </c>
      <c r="N372" s="36" t="str">
        <f t="shared" si="191"/>
        <v/>
      </c>
      <c r="O372" s="36" t="str">
        <f t="shared" si="192"/>
        <v/>
      </c>
      <c r="P372" s="36" t="str">
        <f t="shared" si="193"/>
        <v/>
      </c>
      <c r="Q372" s="35" t="str">
        <f t="shared" si="194"/>
        <v/>
      </c>
      <c r="R372" s="2" t="s">
        <v>921</v>
      </c>
      <c r="S372" s="2"/>
      <c r="T372" s="2"/>
      <c r="U372" s="2"/>
      <c r="V372" s="2"/>
      <c r="W372" s="2"/>
      <c r="X372" s="2"/>
      <c r="Y372" s="2"/>
      <c r="Z372" s="2"/>
      <c r="AA372" s="2"/>
      <c r="AB372" s="23"/>
      <c r="AC372" s="2"/>
      <c r="AD372" s="23"/>
      <c r="AE372" s="2"/>
      <c r="AF372" s="23"/>
      <c r="AG372" s="2"/>
      <c r="AH372" s="23"/>
      <c r="AI372" s="2"/>
      <c r="AJ372" s="23"/>
      <c r="AK372" s="2"/>
      <c r="AL372" s="23"/>
      <c r="AM372" s="2"/>
      <c r="AN372" s="23"/>
      <c r="AO372" s="2"/>
      <c r="AP372" s="23"/>
      <c r="AQ372" s="2"/>
      <c r="AR372" s="23"/>
      <c r="AS372" s="2"/>
      <c r="AT372" s="23"/>
      <c r="AU372" s="2"/>
      <c r="AV372" s="23"/>
      <c r="AW372" s="2"/>
      <c r="AX372" s="23"/>
      <c r="AY372" s="2"/>
      <c r="AZ372" s="23"/>
      <c r="BA372" s="2"/>
      <c r="BB372" s="23"/>
      <c r="BC372" s="2"/>
      <c r="BD372" s="23"/>
      <c r="BE372" s="2"/>
      <c r="BF372" s="23"/>
      <c r="BG372" s="2"/>
      <c r="BH372" s="23"/>
      <c r="BI372" s="2"/>
      <c r="BJ372" s="23"/>
      <c r="BK372" s="2"/>
      <c r="BL372" s="23"/>
      <c r="BM372" s="2"/>
      <c r="BN372" s="23"/>
      <c r="BO372" s="2"/>
      <c r="BP372" s="23"/>
      <c r="BQ372" s="2"/>
      <c r="BR372" s="23"/>
      <c r="BS372" s="2"/>
      <c r="BT372" s="23"/>
      <c r="BU372" s="2"/>
      <c r="BV372" s="23"/>
      <c r="BW372" s="2"/>
      <c r="BX372" s="23"/>
      <c r="BY372" s="2"/>
      <c r="CA372" s="1" t="str">
        <f t="shared" si="187"/>
        <v/>
      </c>
    </row>
    <row r="373" spans="1:79" ht="16">
      <c r="A373" s="2"/>
      <c r="B373" s="2"/>
      <c r="C373" s="25" t="str">
        <f t="shared" si="184"/>
        <v/>
      </c>
      <c r="D373" s="2"/>
      <c r="E373" s="2"/>
      <c r="F373" s="25" t="str">
        <f t="shared" si="188"/>
        <v/>
      </c>
      <c r="G373" s="25"/>
      <c r="H373" s="2" t="str">
        <f t="shared" si="189"/>
        <v>[[""]]</v>
      </c>
      <c r="I373" s="2" t="str">
        <f t="shared" si="185"/>
        <v/>
      </c>
      <c r="J373" s="2"/>
      <c r="K373" s="2" t="str">
        <f t="shared" si="186"/>
        <v/>
      </c>
      <c r="L373" s="2"/>
      <c r="M373" s="36" t="str">
        <f t="shared" si="190"/>
        <v/>
      </c>
      <c r="N373" s="36" t="str">
        <f t="shared" si="191"/>
        <v/>
      </c>
      <c r="O373" s="36" t="str">
        <f t="shared" si="192"/>
        <v/>
      </c>
      <c r="P373" s="36" t="str">
        <f t="shared" si="193"/>
        <v/>
      </c>
      <c r="Q373" s="35" t="str">
        <f t="shared" si="194"/>
        <v/>
      </c>
      <c r="R373" s="2" t="s">
        <v>921</v>
      </c>
      <c r="S373" s="2"/>
      <c r="T373" s="2"/>
      <c r="U373" s="2"/>
      <c r="V373" s="2"/>
      <c r="W373" s="2"/>
      <c r="X373" s="2"/>
      <c r="Y373" s="2"/>
      <c r="Z373" s="2"/>
      <c r="AA373" s="2"/>
      <c r="AB373" s="23"/>
      <c r="AC373" s="2"/>
      <c r="AD373" s="23"/>
      <c r="AE373" s="2"/>
      <c r="AF373" s="23"/>
      <c r="AG373" s="2"/>
      <c r="AH373" s="23"/>
      <c r="AI373" s="2"/>
      <c r="AJ373" s="23"/>
      <c r="AK373" s="2"/>
      <c r="AL373" s="23"/>
      <c r="AM373" s="2"/>
      <c r="AN373" s="23"/>
      <c r="AO373" s="2"/>
      <c r="AP373" s="23"/>
      <c r="AQ373" s="2"/>
      <c r="AR373" s="23"/>
      <c r="AS373" s="2"/>
      <c r="AT373" s="23"/>
      <c r="AU373" s="2"/>
      <c r="AV373" s="23"/>
      <c r="AW373" s="2"/>
      <c r="AX373" s="23"/>
      <c r="AY373" s="2"/>
      <c r="AZ373" s="23"/>
      <c r="BA373" s="2"/>
      <c r="BB373" s="23"/>
      <c r="BC373" s="2"/>
      <c r="BD373" s="23"/>
      <c r="BE373" s="2"/>
      <c r="BF373" s="23"/>
      <c r="BG373" s="2"/>
      <c r="BH373" s="23"/>
      <c r="BI373" s="2"/>
      <c r="BJ373" s="23"/>
      <c r="BK373" s="2"/>
      <c r="BL373" s="23"/>
      <c r="BM373" s="2"/>
      <c r="BN373" s="23"/>
      <c r="BO373" s="2"/>
      <c r="BP373" s="23"/>
      <c r="BQ373" s="2"/>
      <c r="BR373" s="23"/>
      <c r="BS373" s="2"/>
      <c r="BT373" s="23"/>
      <c r="BU373" s="2"/>
      <c r="BV373" s="23"/>
      <c r="BW373" s="2"/>
      <c r="BX373" s="23"/>
      <c r="BY373" s="2"/>
      <c r="CA373" s="1" t="str">
        <f t="shared" si="187"/>
        <v/>
      </c>
    </row>
    <row r="374" spans="1:79" ht="16">
      <c r="A374" s="2"/>
      <c r="B374" s="2"/>
      <c r="C374" s="25" t="str">
        <f t="shared" si="184"/>
        <v/>
      </c>
      <c r="D374" s="2"/>
      <c r="E374" s="2"/>
      <c r="F374" s="25" t="str">
        <f t="shared" si="188"/>
        <v/>
      </c>
      <c r="G374" s="25"/>
      <c r="H374" s="2" t="str">
        <f t="shared" si="189"/>
        <v>[[""]]</v>
      </c>
      <c r="I374" s="2" t="str">
        <f t="shared" si="185"/>
        <v/>
      </c>
      <c r="J374" s="2"/>
      <c r="K374" s="2" t="str">
        <f t="shared" si="186"/>
        <v/>
      </c>
      <c r="L374" s="2"/>
      <c r="M374" s="36" t="str">
        <f t="shared" si="190"/>
        <v/>
      </c>
      <c r="N374" s="36" t="str">
        <f t="shared" si="191"/>
        <v/>
      </c>
      <c r="O374" s="36" t="str">
        <f t="shared" si="192"/>
        <v/>
      </c>
      <c r="P374" s="36" t="str">
        <f t="shared" si="193"/>
        <v/>
      </c>
      <c r="Q374" s="35" t="str">
        <f t="shared" si="194"/>
        <v/>
      </c>
      <c r="R374" s="2" t="s">
        <v>921</v>
      </c>
      <c r="S374" s="2"/>
      <c r="T374" s="2"/>
      <c r="U374" s="2"/>
      <c r="V374" s="2"/>
      <c r="W374" s="2"/>
      <c r="X374" s="2"/>
      <c r="Y374" s="2"/>
      <c r="Z374" s="2"/>
      <c r="AA374" s="2"/>
      <c r="AB374" s="23"/>
      <c r="AC374" s="2"/>
      <c r="AD374" s="23"/>
      <c r="AE374" s="2"/>
      <c r="AF374" s="23"/>
      <c r="AG374" s="2"/>
      <c r="AH374" s="23"/>
      <c r="AI374" s="2"/>
      <c r="AJ374" s="23"/>
      <c r="AK374" s="2"/>
      <c r="AL374" s="23"/>
      <c r="AM374" s="2"/>
      <c r="AN374" s="23"/>
      <c r="AO374" s="2"/>
      <c r="AP374" s="23"/>
      <c r="AQ374" s="2"/>
      <c r="AR374" s="23"/>
      <c r="AS374" s="2"/>
      <c r="AT374" s="23"/>
      <c r="AU374" s="2"/>
      <c r="AV374" s="23"/>
      <c r="AW374" s="2"/>
      <c r="AX374" s="23"/>
      <c r="AY374" s="2"/>
      <c r="AZ374" s="23"/>
      <c r="BA374" s="2"/>
      <c r="BB374" s="23"/>
      <c r="BC374" s="2"/>
      <c r="BD374" s="23"/>
      <c r="BE374" s="2"/>
      <c r="BF374" s="23"/>
      <c r="BG374" s="2"/>
      <c r="BH374" s="23"/>
      <c r="BI374" s="2"/>
      <c r="BJ374" s="23"/>
      <c r="BK374" s="2"/>
      <c r="BL374" s="23"/>
      <c r="BM374" s="2"/>
      <c r="BN374" s="23"/>
      <c r="BO374" s="2"/>
      <c r="BP374" s="23"/>
      <c r="BQ374" s="2"/>
      <c r="BR374" s="23"/>
      <c r="BS374" s="2"/>
      <c r="BT374" s="23"/>
      <c r="BU374" s="2"/>
      <c r="BV374" s="23"/>
      <c r="BW374" s="2"/>
      <c r="BX374" s="23"/>
      <c r="BY374" s="2"/>
      <c r="CA374" s="1" t="str">
        <f t="shared" si="187"/>
        <v/>
      </c>
    </row>
    <row r="375" spans="1:79" ht="16">
      <c r="A375" s="2"/>
      <c r="B375" s="2"/>
      <c r="C375" s="25" t="str">
        <f t="shared" si="184"/>
        <v/>
      </c>
      <c r="D375" s="2"/>
      <c r="E375" s="2"/>
      <c r="F375" s="25" t="str">
        <f t="shared" si="188"/>
        <v/>
      </c>
      <c r="G375" s="25"/>
      <c r="H375" s="2" t="str">
        <f t="shared" si="189"/>
        <v>[[""]]</v>
      </c>
      <c r="I375" s="2" t="str">
        <f t="shared" si="185"/>
        <v/>
      </c>
      <c r="J375" s="2"/>
      <c r="K375" s="2" t="str">
        <f t="shared" si="186"/>
        <v/>
      </c>
      <c r="L375" s="2"/>
      <c r="M375" s="36" t="str">
        <f t="shared" si="190"/>
        <v/>
      </c>
      <c r="N375" s="36" t="str">
        <f t="shared" si="191"/>
        <v/>
      </c>
      <c r="O375" s="36" t="str">
        <f t="shared" si="192"/>
        <v/>
      </c>
      <c r="P375" s="36" t="str">
        <f t="shared" si="193"/>
        <v/>
      </c>
      <c r="Q375" s="35" t="str">
        <f t="shared" si="194"/>
        <v/>
      </c>
      <c r="R375" s="2" t="s">
        <v>921</v>
      </c>
      <c r="S375" s="2"/>
      <c r="T375" s="2"/>
      <c r="U375" s="2"/>
      <c r="V375" s="2"/>
      <c r="W375" s="2"/>
      <c r="X375" s="2"/>
      <c r="Y375" s="2"/>
      <c r="Z375" s="2"/>
      <c r="AA375" s="2"/>
      <c r="AB375" s="23"/>
      <c r="AC375" s="2"/>
      <c r="AD375" s="23"/>
      <c r="AE375" s="2"/>
      <c r="AF375" s="23"/>
      <c r="AG375" s="2"/>
      <c r="AH375" s="23"/>
      <c r="AI375" s="2"/>
      <c r="AJ375" s="23"/>
      <c r="AK375" s="2"/>
      <c r="AL375" s="23"/>
      <c r="AM375" s="2"/>
      <c r="AN375" s="23"/>
      <c r="AO375" s="2"/>
      <c r="AP375" s="23"/>
      <c r="AQ375" s="2"/>
      <c r="AR375" s="23"/>
      <c r="AS375" s="2"/>
      <c r="AT375" s="23"/>
      <c r="AU375" s="2"/>
      <c r="AV375" s="23"/>
      <c r="AW375" s="2"/>
      <c r="AX375" s="23"/>
      <c r="AY375" s="2"/>
      <c r="AZ375" s="23"/>
      <c r="BA375" s="2"/>
      <c r="BB375" s="23"/>
      <c r="BC375" s="2"/>
      <c r="BD375" s="23"/>
      <c r="BE375" s="2"/>
      <c r="BF375" s="23"/>
      <c r="BG375" s="2"/>
      <c r="BH375" s="23"/>
      <c r="BI375" s="2"/>
      <c r="BJ375" s="23"/>
      <c r="BK375" s="2"/>
      <c r="BL375" s="23"/>
      <c r="BM375" s="2"/>
      <c r="BN375" s="23"/>
      <c r="BO375" s="2"/>
      <c r="BP375" s="23"/>
      <c r="BQ375" s="2"/>
      <c r="BR375" s="23"/>
      <c r="BS375" s="2"/>
      <c r="BT375" s="23"/>
      <c r="BU375" s="2"/>
      <c r="BV375" s="23"/>
      <c r="BW375" s="2"/>
      <c r="BX375" s="23"/>
      <c r="BY375" s="2"/>
      <c r="CA375" s="1" t="str">
        <f t="shared" si="187"/>
        <v/>
      </c>
    </row>
    <row r="401" spans="3:4">
      <c r="C401" s="1">
        <f ca="1">IF(D401="","",OFFSET(C401,-1,0))</f>
        <v>0</v>
      </c>
      <c r="D401" s="1" t="s">
        <v>913</v>
      </c>
    </row>
  </sheetData>
  <autoFilter ref="A1:DK401" xr:uid="{C45A1C33-B2A2-446A-B236-D31C1B6A4CDD}"/>
  <sortState xmlns:xlrd2="http://schemas.microsoft.com/office/spreadsheetml/2017/richdata2" ref="A49:DK183">
    <sortCondition ref="E49:E183"/>
  </sortState>
  <phoneticPr fontId="1" type="noConversion"/>
  <conditionalFormatting sqref="D182">
    <cfRule type="duplicateValues" dxfId="22" priority="86"/>
  </conditionalFormatting>
  <conditionalFormatting sqref="D134">
    <cfRule type="duplicateValues" dxfId="21" priority="85"/>
  </conditionalFormatting>
  <conditionalFormatting sqref="D133">
    <cfRule type="duplicateValues" dxfId="20" priority="84"/>
  </conditionalFormatting>
  <conditionalFormatting sqref="D52:D53">
    <cfRule type="duplicateValues" dxfId="19" priority="75"/>
  </conditionalFormatting>
  <conditionalFormatting sqref="D43">
    <cfRule type="duplicateValues" dxfId="18" priority="72"/>
  </conditionalFormatting>
  <conditionalFormatting sqref="D43">
    <cfRule type="duplicateValues" dxfId="17" priority="73"/>
  </conditionalFormatting>
  <conditionalFormatting sqref="D43">
    <cfRule type="duplicateValues" dxfId="16" priority="71"/>
  </conditionalFormatting>
  <conditionalFormatting sqref="D250">
    <cfRule type="duplicateValues" dxfId="15" priority="51"/>
  </conditionalFormatting>
  <conditionalFormatting sqref="D250">
    <cfRule type="duplicateValues" dxfId="14" priority="52"/>
  </conditionalFormatting>
  <conditionalFormatting sqref="D250">
    <cfRule type="duplicateValues" dxfId="13" priority="50"/>
  </conditionalFormatting>
  <conditionalFormatting sqref="D226">
    <cfRule type="duplicateValues" dxfId="12" priority="37"/>
  </conditionalFormatting>
  <conditionalFormatting sqref="D257">
    <cfRule type="duplicateValues" dxfId="11" priority="35"/>
  </conditionalFormatting>
  <conditionalFormatting sqref="D257">
    <cfRule type="duplicateValues" dxfId="10" priority="36"/>
  </conditionalFormatting>
  <conditionalFormatting sqref="D257">
    <cfRule type="duplicateValues" dxfId="9" priority="34"/>
  </conditionalFormatting>
  <conditionalFormatting sqref="D220">
    <cfRule type="duplicateValues" dxfId="8" priority="27"/>
  </conditionalFormatting>
  <conditionalFormatting sqref="D220">
    <cfRule type="duplicateValues" dxfId="7" priority="26"/>
  </conditionalFormatting>
  <conditionalFormatting sqref="D253:D255">
    <cfRule type="duplicateValues" dxfId="6" priority="25"/>
  </conditionalFormatting>
  <conditionalFormatting sqref="D253:D255">
    <cfRule type="duplicateValues" dxfId="5" priority="24"/>
  </conditionalFormatting>
  <conditionalFormatting sqref="D37">
    <cfRule type="duplicateValues" dxfId="4" priority="249"/>
  </conditionalFormatting>
  <conditionalFormatting sqref="D256 D251:D252 D181 D258 D45:D47 D221:D226 D183:D219 D12:D13 D248:D249">
    <cfRule type="duplicateValues" dxfId="3" priority="398"/>
  </conditionalFormatting>
  <conditionalFormatting sqref="D258:D1048576 D251:D252 D38:D42 D221:D249 D256 D44:D219 D1:D36">
    <cfRule type="duplicateValues" dxfId="2" priority="399"/>
  </conditionalFormatting>
  <conditionalFormatting sqref="D259:D1048576 D227:D247 D135:D180 D54:D132 D44 D1:D11 D14:D36 D38:D42 D48:D51">
    <cfRule type="duplicateValues" dxfId="1" priority="407"/>
  </conditionalFormatting>
  <conditionalFormatting sqref="D256 D251:D252 D49:D51 D38:D42 D54:D215 D258 D44:D47 D4:D31 D34:D36">
    <cfRule type="duplicateValues" dxfId="0" priority="417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A3E02-E221-4C6E-A72D-13CDC943AF1A}">
  <sheetPr codeName="Sheet3"/>
  <dimension ref="A1:B72"/>
  <sheetViews>
    <sheetView workbookViewId="0">
      <selection activeCell="B6" sqref="B6"/>
    </sheetView>
  </sheetViews>
  <sheetFormatPr defaultColWidth="8.81640625" defaultRowHeight="16"/>
  <cols>
    <col min="1" max="1" width="10.453125" style="40" bestFit="1" customWidth="1"/>
    <col min="2" max="2" width="70.1796875" style="40" customWidth="1"/>
    <col min="3" max="16384" width="8.81640625" style="39"/>
  </cols>
  <sheetData>
    <row r="1" spans="1:2">
      <c r="A1" s="41" t="s">
        <v>2594</v>
      </c>
      <c r="B1" s="41" t="s">
        <v>2595</v>
      </c>
    </row>
    <row r="2" spans="1:2" ht="48">
      <c r="A2" s="46">
        <v>43922</v>
      </c>
      <c r="B2" s="27" t="s">
        <v>2596</v>
      </c>
    </row>
    <row r="3" spans="1:2" ht="96">
      <c r="A3" s="46"/>
      <c r="B3" s="27" t="s">
        <v>2597</v>
      </c>
    </row>
    <row r="4" spans="1:2">
      <c r="A4" s="25"/>
      <c r="B4" s="25"/>
    </row>
    <row r="5" spans="1:2">
      <c r="A5" s="25"/>
      <c r="B5" s="25"/>
    </row>
    <row r="6" spans="1:2">
      <c r="A6" s="25"/>
      <c r="B6" s="25"/>
    </row>
    <row r="7" spans="1:2">
      <c r="A7" s="25"/>
      <c r="B7" s="25"/>
    </row>
    <row r="8" spans="1:2">
      <c r="A8" s="25"/>
      <c r="B8" s="25"/>
    </row>
    <row r="9" spans="1:2">
      <c r="A9" s="25"/>
      <c r="B9" s="25"/>
    </row>
    <row r="10" spans="1:2">
      <c r="A10" s="25"/>
      <c r="B10" s="25"/>
    </row>
    <row r="11" spans="1:2">
      <c r="A11" s="25"/>
      <c r="B11" s="25"/>
    </row>
    <row r="12" spans="1:2">
      <c r="A12" s="25"/>
      <c r="B12" s="25"/>
    </row>
    <row r="13" spans="1:2">
      <c r="A13" s="25"/>
      <c r="B13" s="25"/>
    </row>
    <row r="14" spans="1:2">
      <c r="A14" s="25"/>
      <c r="B14" s="25"/>
    </row>
    <row r="15" spans="1:2">
      <c r="A15" s="25"/>
      <c r="B15" s="25"/>
    </row>
    <row r="16" spans="1:2">
      <c r="A16" s="25"/>
      <c r="B16" s="25"/>
    </row>
    <row r="17" spans="1:2">
      <c r="A17" s="25"/>
      <c r="B17" s="25"/>
    </row>
    <row r="18" spans="1:2">
      <c r="A18" s="25"/>
      <c r="B18" s="25"/>
    </row>
    <row r="19" spans="1:2">
      <c r="A19" s="25"/>
      <c r="B19" s="25"/>
    </row>
    <row r="20" spans="1:2">
      <c r="A20" s="25"/>
      <c r="B20" s="25"/>
    </row>
    <row r="21" spans="1:2">
      <c r="A21" s="25"/>
      <c r="B21" s="25"/>
    </row>
    <row r="22" spans="1:2">
      <c r="A22" s="25"/>
      <c r="B22" s="25"/>
    </row>
    <row r="23" spans="1:2">
      <c r="A23" s="25"/>
      <c r="B23" s="25"/>
    </row>
    <row r="24" spans="1:2">
      <c r="A24" s="25"/>
      <c r="B24" s="25"/>
    </row>
    <row r="25" spans="1:2">
      <c r="A25" s="25"/>
      <c r="B25" s="25"/>
    </row>
    <row r="26" spans="1:2">
      <c r="A26" s="25"/>
      <c r="B26" s="25"/>
    </row>
    <row r="27" spans="1:2">
      <c r="A27" s="25"/>
      <c r="B27" s="25"/>
    </row>
    <row r="28" spans="1:2">
      <c r="A28" s="25"/>
      <c r="B28" s="25"/>
    </row>
    <row r="29" spans="1:2">
      <c r="A29" s="25"/>
      <c r="B29" s="25"/>
    </row>
    <row r="30" spans="1:2">
      <c r="A30" s="25"/>
      <c r="B30" s="25"/>
    </row>
    <row r="31" spans="1:2">
      <c r="A31" s="25"/>
      <c r="B31" s="25"/>
    </row>
    <row r="32" spans="1:2">
      <c r="A32" s="25"/>
      <c r="B32" s="25"/>
    </row>
    <row r="33" spans="1:2">
      <c r="A33" s="25"/>
      <c r="B33" s="25"/>
    </row>
    <row r="34" spans="1:2">
      <c r="A34" s="25"/>
      <c r="B34" s="25"/>
    </row>
    <row r="35" spans="1:2">
      <c r="A35" s="25"/>
      <c r="B35" s="25"/>
    </row>
    <row r="36" spans="1:2">
      <c r="A36" s="25"/>
      <c r="B36" s="25"/>
    </row>
    <row r="37" spans="1:2">
      <c r="A37" s="25"/>
      <c r="B37" s="25"/>
    </row>
    <row r="38" spans="1:2">
      <c r="A38" s="25"/>
      <c r="B38" s="25"/>
    </row>
    <row r="39" spans="1:2">
      <c r="A39" s="25"/>
      <c r="B39" s="25"/>
    </row>
    <row r="40" spans="1:2">
      <c r="A40" s="25"/>
      <c r="B40" s="25"/>
    </row>
    <row r="41" spans="1:2">
      <c r="A41" s="25"/>
      <c r="B41" s="25"/>
    </row>
    <row r="42" spans="1:2">
      <c r="A42" s="25"/>
      <c r="B42" s="25"/>
    </row>
    <row r="43" spans="1:2">
      <c r="A43" s="25"/>
      <c r="B43" s="25"/>
    </row>
    <row r="44" spans="1:2">
      <c r="A44" s="25"/>
      <c r="B44" s="25"/>
    </row>
    <row r="45" spans="1:2">
      <c r="A45" s="25"/>
      <c r="B45" s="25"/>
    </row>
    <row r="46" spans="1:2">
      <c r="A46" s="25"/>
      <c r="B46" s="25"/>
    </row>
    <row r="47" spans="1:2">
      <c r="A47" s="25"/>
      <c r="B47" s="25"/>
    </row>
    <row r="48" spans="1:2">
      <c r="A48" s="25"/>
      <c r="B48" s="25"/>
    </row>
    <row r="49" spans="1:2">
      <c r="A49" s="25"/>
      <c r="B49" s="25"/>
    </row>
    <row r="50" spans="1:2">
      <c r="A50" s="25"/>
      <c r="B50" s="25"/>
    </row>
    <row r="51" spans="1:2">
      <c r="A51" s="25"/>
      <c r="B51" s="25"/>
    </row>
    <row r="52" spans="1:2">
      <c r="A52" s="25"/>
      <c r="B52" s="25"/>
    </row>
    <row r="53" spans="1:2">
      <c r="A53" s="25"/>
      <c r="B53" s="25"/>
    </row>
    <row r="54" spans="1:2">
      <c r="A54" s="25"/>
      <c r="B54" s="25"/>
    </row>
    <row r="55" spans="1:2">
      <c r="A55" s="25"/>
      <c r="B55" s="25"/>
    </row>
    <row r="56" spans="1:2">
      <c r="A56" s="25"/>
      <c r="B56" s="25"/>
    </row>
    <row r="57" spans="1:2">
      <c r="A57" s="25"/>
      <c r="B57" s="25"/>
    </row>
    <row r="58" spans="1:2">
      <c r="A58" s="25"/>
      <c r="B58" s="25"/>
    </row>
    <row r="59" spans="1:2">
      <c r="A59" s="25"/>
      <c r="B59" s="25"/>
    </row>
    <row r="60" spans="1:2">
      <c r="A60" s="25"/>
      <c r="B60" s="25"/>
    </row>
    <row r="61" spans="1:2">
      <c r="A61" s="25"/>
      <c r="B61" s="25"/>
    </row>
    <row r="62" spans="1:2">
      <c r="A62" s="25"/>
      <c r="B62" s="25"/>
    </row>
    <row r="63" spans="1:2">
      <c r="A63" s="25"/>
      <c r="B63" s="25"/>
    </row>
    <row r="64" spans="1:2">
      <c r="A64" s="25"/>
      <c r="B64" s="25"/>
    </row>
    <row r="65" spans="1:2">
      <c r="A65" s="25"/>
      <c r="B65" s="25"/>
    </row>
    <row r="66" spans="1:2">
      <c r="A66" s="25"/>
      <c r="B66" s="25"/>
    </row>
    <row r="67" spans="1:2">
      <c r="A67" s="25"/>
      <c r="B67" s="25"/>
    </row>
    <row r="68" spans="1:2">
      <c r="A68" s="25"/>
      <c r="B68" s="25"/>
    </row>
    <row r="69" spans="1:2">
      <c r="A69" s="25"/>
      <c r="B69" s="25"/>
    </row>
    <row r="70" spans="1:2">
      <c r="A70" s="25"/>
      <c r="B70" s="25"/>
    </row>
    <row r="71" spans="1:2">
      <c r="A71" s="25"/>
      <c r="B71" s="25"/>
    </row>
    <row r="72" spans="1:2">
      <c r="A72" s="25"/>
      <c r="B72" s="25"/>
    </row>
  </sheetData>
  <mergeCells count="1">
    <mergeCell ref="A2:A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960"/>
  <sheetViews>
    <sheetView workbookViewId="0">
      <pane ySplit="2" topLeftCell="A3" activePane="bottomLeft" state="frozen"/>
      <selection pane="bottomLeft" activeCell="D31" sqref="D31"/>
    </sheetView>
  </sheetViews>
  <sheetFormatPr defaultColWidth="8.81640625" defaultRowHeight="17"/>
  <cols>
    <col min="1" max="1" width="14" style="7" bestFit="1" customWidth="1"/>
    <col min="2" max="2" width="23.453125" style="7" bestFit="1" customWidth="1"/>
    <col min="3" max="3" width="10.81640625" style="7" bestFit="1" customWidth="1"/>
    <col min="4" max="4" width="25.81640625" style="7" bestFit="1" customWidth="1"/>
    <col min="5" max="5" width="9.54296875" style="7" bestFit="1" customWidth="1"/>
    <col min="6" max="6" width="8.54296875" style="7" bestFit="1" customWidth="1"/>
    <col min="7" max="7" width="8.1796875" style="7" bestFit="1" customWidth="1"/>
    <col min="8" max="16384" width="8.81640625" style="7"/>
  </cols>
  <sheetData>
    <row r="1" spans="1:9">
      <c r="B1" s="7" t="s">
        <v>1441</v>
      </c>
    </row>
    <row r="2" spans="1:9">
      <c r="A2" s="7" t="s">
        <v>1434</v>
      </c>
      <c r="B2" s="7" t="s">
        <v>1435</v>
      </c>
      <c r="C2" s="7" t="s">
        <v>1436</v>
      </c>
      <c r="D2" s="7" t="s">
        <v>1437</v>
      </c>
      <c r="E2" s="7" t="s">
        <v>1438</v>
      </c>
      <c r="F2" s="7" t="s">
        <v>1439</v>
      </c>
      <c r="G2" s="7" t="s">
        <v>1440</v>
      </c>
      <c r="I2" s="7" t="str">
        <f>"delete from "&amp;$B$1&amp;"where prnt_idcd = '1201';"</f>
        <v>delete from base_mastwhere prnt_idcd = '1201';</v>
      </c>
    </row>
    <row r="3" spans="1:9">
      <c r="A3" s="7" t="s">
        <v>1443</v>
      </c>
      <c r="B3" s="6" t="str">
        <f>A3&amp;E3&amp;C3</f>
        <v>N1000WINFO1201ad</v>
      </c>
      <c r="C3" s="6" t="s">
        <v>1433</v>
      </c>
      <c r="D3" s="6" t="s">
        <v>934</v>
      </c>
      <c r="E3" s="8" t="s">
        <v>1442</v>
      </c>
      <c r="F3" s="8" t="s">
        <v>686</v>
      </c>
      <c r="G3" s="8" t="s">
        <v>684</v>
      </c>
      <c r="I3" s="7" t="str">
        <f>IF(B3&lt;&gt;"",CREATE_QUERY($B$1,A$2:G$2,A3:G3),"")</f>
        <v>INSERT INTO base_mast(hqof_idcd, base_idcd, base_code, base_name, prnt_idcd, line_stat, line_levl) VALUES ('N1000WINFO', 'N1000WINFO1201ad', 'ad', '안도라', '1201', '0', '1');</v>
      </c>
    </row>
    <row r="4" spans="1:9">
      <c r="A4" s="7" t="s">
        <v>1443</v>
      </c>
      <c r="B4" s="6" t="str">
        <f t="shared" ref="B4:B67" si="0">A4&amp;E4&amp;C4</f>
        <v>N1000WINFO1201ae</v>
      </c>
      <c r="C4" s="6" t="s">
        <v>935</v>
      </c>
      <c r="D4" s="6" t="s">
        <v>936</v>
      </c>
      <c r="E4" s="8" t="s">
        <v>1442</v>
      </c>
      <c r="F4" s="8" t="s">
        <v>686</v>
      </c>
      <c r="G4" s="8" t="s">
        <v>684</v>
      </c>
      <c r="I4" s="7" t="str">
        <f>IF(B4&lt;&gt;"",CREATE_QUERY($B$1,A$2:G$2,A4:G4),"")</f>
        <v>INSERT INTO base_mast(hqof_idcd, base_idcd, base_code, base_name, prnt_idcd, line_stat, line_levl) VALUES ('N1000WINFO', 'N1000WINFO1201ae', 'ae', '아랍에미리트', '1201', '0', '1');</v>
      </c>
    </row>
    <row r="5" spans="1:9">
      <c r="A5" s="7" t="s">
        <v>1443</v>
      </c>
      <c r="B5" s="6" t="str">
        <f t="shared" si="0"/>
        <v>N1000WINFO1201af</v>
      </c>
      <c r="C5" s="6" t="s">
        <v>937</v>
      </c>
      <c r="D5" s="6" t="s">
        <v>938</v>
      </c>
      <c r="E5" s="8" t="s">
        <v>1442</v>
      </c>
      <c r="F5" s="8" t="s">
        <v>686</v>
      </c>
      <c r="G5" s="8" t="s">
        <v>684</v>
      </c>
      <c r="I5" s="7" t="str">
        <f>IF(B5&lt;&gt;"",CREATE_QUERY($B$1,A$2:G$2,A5:G5),"")</f>
        <v>INSERT INTO base_mast(hqof_idcd, base_idcd, base_code, base_name, prnt_idcd, line_stat, line_levl) VALUES ('N1000WINFO', 'N1000WINFO1201af', 'af', '아프가니스탄', '1201', '0', '1');</v>
      </c>
    </row>
    <row r="6" spans="1:9">
      <c r="A6" s="7" t="s">
        <v>1443</v>
      </c>
      <c r="B6" s="6" t="str">
        <f t="shared" si="0"/>
        <v>N1000WINFO1201ag</v>
      </c>
      <c r="C6" s="6" t="s">
        <v>939</v>
      </c>
      <c r="D6" s="6" t="s">
        <v>940</v>
      </c>
      <c r="E6" s="8" t="s">
        <v>1442</v>
      </c>
      <c r="F6" s="8" t="s">
        <v>686</v>
      </c>
      <c r="G6" s="8" t="s">
        <v>684</v>
      </c>
      <c r="I6" s="7" t="str">
        <f>IF(B6&lt;&gt;"",CREATE_QUERY($B$1,A$2:G$2,A6:G6),"")</f>
        <v>INSERT INTO base_mast(hqof_idcd, base_idcd, base_code, base_name, prnt_idcd, line_stat, line_levl) VALUES ('N1000WINFO', 'N1000WINFO1201ag', 'ag', '앤티가 바부다', '1201', '0', '1');</v>
      </c>
    </row>
    <row r="7" spans="1:9">
      <c r="A7" s="7" t="s">
        <v>1443</v>
      </c>
      <c r="B7" s="6" t="str">
        <f t="shared" si="0"/>
        <v>N1000WINFO1201ai</v>
      </c>
      <c r="C7" s="6" t="s">
        <v>941</v>
      </c>
      <c r="D7" s="6" t="s">
        <v>942</v>
      </c>
      <c r="E7" s="8" t="s">
        <v>1442</v>
      </c>
      <c r="F7" s="8" t="s">
        <v>686</v>
      </c>
      <c r="G7" s="8" t="s">
        <v>684</v>
      </c>
      <c r="I7" s="7" t="str">
        <f>IF(B7&lt;&gt;"",CREATE_QUERY($B$1,A$2:G$2,A7:G7),"")</f>
        <v>INSERT INTO base_mast(hqof_idcd, base_idcd, base_code, base_name, prnt_idcd, line_stat, line_levl) VALUES ('N1000WINFO', 'N1000WINFO1201ai', 'ai', '앙귈라', '1201', '0', '1');</v>
      </c>
    </row>
    <row r="8" spans="1:9">
      <c r="A8" s="7" t="s">
        <v>1443</v>
      </c>
      <c r="B8" s="6" t="str">
        <f t="shared" si="0"/>
        <v>N1000WINFO1201al</v>
      </c>
      <c r="C8" s="6" t="s">
        <v>943</v>
      </c>
      <c r="D8" s="6" t="s">
        <v>944</v>
      </c>
      <c r="E8" s="8" t="s">
        <v>1442</v>
      </c>
      <c r="F8" s="8" t="s">
        <v>686</v>
      </c>
      <c r="G8" s="8" t="s">
        <v>684</v>
      </c>
      <c r="I8" s="7" t="str">
        <f>IF(B8&lt;&gt;"",CREATE_QUERY($B$1,A$2:G$2,A8:G8),"")</f>
        <v>INSERT INTO base_mast(hqof_idcd, base_idcd, base_code, base_name, prnt_idcd, line_stat, line_levl) VALUES ('N1000WINFO', 'N1000WINFO1201al', 'al', '알바니아', '1201', '0', '1');</v>
      </c>
    </row>
    <row r="9" spans="1:9">
      <c r="A9" s="7" t="s">
        <v>1443</v>
      </c>
      <c r="B9" s="6" t="str">
        <f t="shared" si="0"/>
        <v>N1000WINFO1201am</v>
      </c>
      <c r="C9" s="6" t="s">
        <v>945</v>
      </c>
      <c r="D9" s="6" t="s">
        <v>946</v>
      </c>
      <c r="E9" s="8" t="s">
        <v>1442</v>
      </c>
      <c r="F9" s="8" t="s">
        <v>686</v>
      </c>
      <c r="G9" s="8" t="s">
        <v>684</v>
      </c>
      <c r="I9" s="7" t="str">
        <f>IF(B9&lt;&gt;"",CREATE_QUERY($B$1,A$2:G$2,A9:G9),"")</f>
        <v>INSERT INTO base_mast(hqof_idcd, base_idcd, base_code, base_name, prnt_idcd, line_stat, line_levl) VALUES ('N1000WINFO', 'N1000WINFO1201am', 'am', '아르메니아', '1201', '0', '1');</v>
      </c>
    </row>
    <row r="10" spans="1:9">
      <c r="A10" s="7" t="s">
        <v>1443</v>
      </c>
      <c r="B10" s="6" t="str">
        <f t="shared" si="0"/>
        <v>N1000WINFO1201an</v>
      </c>
      <c r="C10" s="6" t="s">
        <v>947</v>
      </c>
      <c r="D10" s="6" t="s">
        <v>948</v>
      </c>
      <c r="E10" s="8" t="s">
        <v>1442</v>
      </c>
      <c r="F10" s="8" t="s">
        <v>686</v>
      </c>
      <c r="G10" s="8" t="s">
        <v>684</v>
      </c>
      <c r="I10" s="7" t="str">
        <f>IF(B10&lt;&gt;"",CREATE_QUERY($B$1,A$2:G$2,A10:G10),"")</f>
        <v>INSERT INTO base_mast(hqof_idcd, base_idcd, base_code, base_name, prnt_idcd, line_stat, line_levl) VALUES ('N1000WINFO', 'N1000WINFO1201an', 'an', '네덜란드령 안틸레스', '1201', '0', '1');</v>
      </c>
    </row>
    <row r="11" spans="1:9">
      <c r="A11" s="7" t="s">
        <v>1443</v>
      </c>
      <c r="B11" s="6" t="str">
        <f t="shared" si="0"/>
        <v>N1000WINFO1201ao</v>
      </c>
      <c r="C11" s="6" t="s">
        <v>949</v>
      </c>
      <c r="D11" s="6" t="s">
        <v>950</v>
      </c>
      <c r="E11" s="8" t="s">
        <v>1442</v>
      </c>
      <c r="F11" s="8" t="s">
        <v>686</v>
      </c>
      <c r="G11" s="8" t="s">
        <v>684</v>
      </c>
      <c r="I11" s="7" t="str">
        <f>IF(B11&lt;&gt;"",CREATE_QUERY($B$1,A$2:G$2,A11:G11),"")</f>
        <v>INSERT INTO base_mast(hqof_idcd, base_idcd, base_code, base_name, prnt_idcd, line_stat, line_levl) VALUES ('N1000WINFO', 'N1000WINFO1201ao', 'ao', '앙골라', '1201', '0', '1');</v>
      </c>
    </row>
    <row r="12" spans="1:9">
      <c r="A12" s="7" t="s">
        <v>1443</v>
      </c>
      <c r="B12" s="6" t="str">
        <f t="shared" si="0"/>
        <v>N1000WINFO1201aq</v>
      </c>
      <c r="C12" s="6" t="s">
        <v>951</v>
      </c>
      <c r="D12" s="6" t="s">
        <v>952</v>
      </c>
      <c r="E12" s="8" t="s">
        <v>1442</v>
      </c>
      <c r="F12" s="8" t="s">
        <v>686</v>
      </c>
      <c r="G12" s="8" t="s">
        <v>684</v>
      </c>
      <c r="I12" s="7" t="str">
        <f>IF(B12&lt;&gt;"",CREATE_QUERY($B$1,A$2:G$2,A12:G12),"")</f>
        <v>INSERT INTO base_mast(hqof_idcd, base_idcd, base_code, base_name, prnt_idcd, line_stat, line_levl) VALUES ('N1000WINFO', 'N1000WINFO1201aq', 'aq', '남극', '1201', '0', '1');</v>
      </c>
    </row>
    <row r="13" spans="1:9">
      <c r="A13" s="7" t="s">
        <v>1443</v>
      </c>
      <c r="B13" s="6" t="str">
        <f t="shared" si="0"/>
        <v>N1000WINFO1201ar</v>
      </c>
      <c r="C13" s="6" t="s">
        <v>953</v>
      </c>
      <c r="D13" s="6" t="s">
        <v>954</v>
      </c>
      <c r="E13" s="8" t="s">
        <v>1442</v>
      </c>
      <c r="F13" s="8" t="s">
        <v>686</v>
      </c>
      <c r="G13" s="8" t="s">
        <v>684</v>
      </c>
      <c r="I13" s="7" t="str">
        <f>IF(B13&lt;&gt;"",CREATE_QUERY($B$1,A$2:G$2,A13:G13),"")</f>
        <v>INSERT INTO base_mast(hqof_idcd, base_idcd, base_code, base_name, prnt_idcd, line_stat, line_levl) VALUES ('N1000WINFO', 'N1000WINFO1201ar', 'ar', '아르헨티나', '1201', '0', '1');</v>
      </c>
    </row>
    <row r="14" spans="1:9">
      <c r="A14" s="7" t="s">
        <v>1443</v>
      </c>
      <c r="B14" s="6" t="str">
        <f t="shared" si="0"/>
        <v>N1000WINFO1201arpa</v>
      </c>
      <c r="C14" s="6" t="s">
        <v>955</v>
      </c>
      <c r="D14" s="6" t="s">
        <v>956</v>
      </c>
      <c r="E14" s="8" t="s">
        <v>1442</v>
      </c>
      <c r="F14" s="8" t="s">
        <v>686</v>
      </c>
      <c r="G14" s="8" t="s">
        <v>684</v>
      </c>
      <c r="I14" s="7" t="str">
        <f>IF(B14&lt;&gt;"",CREATE_QUERY($B$1,A$2:G$2,A14:G14),"")</f>
        <v>INSERT INTO base_mast(hqof_idcd, base_idcd, base_code, base_name, prnt_idcd, line_stat, line_levl) VALUES ('N1000WINFO', 'N1000WINFO1201arpa', 'arpa', '구식 아르파네트', '1201', '0', '1');</v>
      </c>
    </row>
    <row r="15" spans="1:9">
      <c r="A15" s="7" t="s">
        <v>1443</v>
      </c>
      <c r="B15" s="6" t="str">
        <f t="shared" si="0"/>
        <v>N1000WINFO1201as</v>
      </c>
      <c r="C15" s="6" t="s">
        <v>957</v>
      </c>
      <c r="D15" s="6" t="s">
        <v>958</v>
      </c>
      <c r="E15" s="8" t="s">
        <v>1442</v>
      </c>
      <c r="F15" s="8" t="s">
        <v>686</v>
      </c>
      <c r="G15" s="8" t="s">
        <v>684</v>
      </c>
      <c r="I15" s="7" t="str">
        <f>IF(B15&lt;&gt;"",CREATE_QUERY($B$1,A$2:G$2,A15:G15),"")</f>
        <v>INSERT INTO base_mast(hqof_idcd, base_idcd, base_code, base_name, prnt_idcd, line_stat, line_levl) VALUES ('N1000WINFO', 'N1000WINFO1201as', 'as', '미국령 사모아', '1201', '0', '1');</v>
      </c>
    </row>
    <row r="16" spans="1:9">
      <c r="A16" s="7" t="s">
        <v>1443</v>
      </c>
      <c r="B16" s="6" t="str">
        <f t="shared" si="0"/>
        <v>N1000WINFO1201at</v>
      </c>
      <c r="C16" s="6" t="s">
        <v>959</v>
      </c>
      <c r="D16" s="6" t="s">
        <v>960</v>
      </c>
      <c r="E16" s="8" t="s">
        <v>1442</v>
      </c>
      <c r="F16" s="8" t="s">
        <v>686</v>
      </c>
      <c r="G16" s="8" t="s">
        <v>684</v>
      </c>
      <c r="I16" s="7" t="str">
        <f>IF(B16&lt;&gt;"",CREATE_QUERY($B$1,A$2:G$2,A16:G16),"")</f>
        <v>INSERT INTO base_mast(hqof_idcd, base_idcd, base_code, base_name, prnt_idcd, line_stat, line_levl) VALUES ('N1000WINFO', 'N1000WINFO1201at', 'at', '오스트리아', '1201', '0', '1');</v>
      </c>
    </row>
    <row r="17" spans="1:9">
      <c r="A17" s="7" t="s">
        <v>1443</v>
      </c>
      <c r="B17" s="6" t="str">
        <f t="shared" si="0"/>
        <v>N1000WINFO1201au</v>
      </c>
      <c r="C17" s="6" t="s">
        <v>961</v>
      </c>
      <c r="D17" s="6" t="s">
        <v>962</v>
      </c>
      <c r="E17" s="8" t="s">
        <v>1442</v>
      </c>
      <c r="F17" s="8" t="s">
        <v>686</v>
      </c>
      <c r="G17" s="8" t="s">
        <v>684</v>
      </c>
      <c r="I17" s="7" t="str">
        <f>IF(B17&lt;&gt;"",CREATE_QUERY($B$1,A$2:G$2,A17:G17),"")</f>
        <v>INSERT INTO base_mast(hqof_idcd, base_idcd, base_code, base_name, prnt_idcd, line_stat, line_levl) VALUES ('N1000WINFO', 'N1000WINFO1201au', 'au', '오스트레일리아', '1201', '0', '1');</v>
      </c>
    </row>
    <row r="18" spans="1:9">
      <c r="A18" s="7" t="s">
        <v>1443</v>
      </c>
      <c r="B18" s="6" t="str">
        <f t="shared" si="0"/>
        <v>N1000WINFO1201aw</v>
      </c>
      <c r="C18" s="6" t="s">
        <v>963</v>
      </c>
      <c r="D18" s="6" t="s">
        <v>964</v>
      </c>
      <c r="E18" s="8" t="s">
        <v>1442</v>
      </c>
      <c r="F18" s="8" t="s">
        <v>686</v>
      </c>
      <c r="G18" s="8" t="s">
        <v>684</v>
      </c>
      <c r="I18" s="7" t="str">
        <f>IF(B18&lt;&gt;"",CREATE_QUERY($B$1,A$2:G$2,A18:G18),"")</f>
        <v>INSERT INTO base_mast(hqof_idcd, base_idcd, base_code, base_name, prnt_idcd, line_stat, line_levl) VALUES ('N1000WINFO', 'N1000WINFO1201aw', 'aw', '아루바', '1201', '0', '1');</v>
      </c>
    </row>
    <row r="19" spans="1:9">
      <c r="A19" s="7" t="s">
        <v>1443</v>
      </c>
      <c r="B19" s="6" t="str">
        <f t="shared" si="0"/>
        <v>N1000WINFO1201az</v>
      </c>
      <c r="C19" s="6" t="s">
        <v>965</v>
      </c>
      <c r="D19" s="6" t="s">
        <v>966</v>
      </c>
      <c r="E19" s="8" t="s">
        <v>1442</v>
      </c>
      <c r="F19" s="8" t="s">
        <v>686</v>
      </c>
      <c r="G19" s="8" t="s">
        <v>684</v>
      </c>
      <c r="I19" s="7" t="str">
        <f>IF(B19&lt;&gt;"",CREATE_QUERY($B$1,A$2:G$2,A19:G19),"")</f>
        <v>INSERT INTO base_mast(hqof_idcd, base_idcd, base_code, base_name, prnt_idcd, line_stat, line_levl) VALUES ('N1000WINFO', 'N1000WINFO1201az', 'az', '아제르바이젠', '1201', '0', '1');</v>
      </c>
    </row>
    <row r="20" spans="1:9">
      <c r="A20" s="7" t="s">
        <v>1443</v>
      </c>
      <c r="B20" s="6" t="str">
        <f t="shared" si="0"/>
        <v>N1000WINFO1201ba</v>
      </c>
      <c r="C20" s="6" t="s">
        <v>967</v>
      </c>
      <c r="D20" s="6" t="s">
        <v>968</v>
      </c>
      <c r="E20" s="8" t="s">
        <v>1442</v>
      </c>
      <c r="F20" s="8" t="s">
        <v>686</v>
      </c>
      <c r="G20" s="8" t="s">
        <v>684</v>
      </c>
      <c r="I20" s="7" t="str">
        <f>IF(B20&lt;&gt;"",CREATE_QUERY($B$1,A$2:G$2,A20:G20),"")</f>
        <v>INSERT INTO base_mast(hqof_idcd, base_idcd, base_code, base_name, prnt_idcd, line_stat, line_levl) VALUES ('N1000WINFO', 'N1000WINFO1201ba', 'ba', '보스니아 헤르체고비나', '1201', '0', '1');</v>
      </c>
    </row>
    <row r="21" spans="1:9">
      <c r="A21" s="7" t="s">
        <v>1443</v>
      </c>
      <c r="B21" s="6" t="str">
        <f t="shared" si="0"/>
        <v>N1000WINFO1201bb</v>
      </c>
      <c r="C21" s="6" t="s">
        <v>969</v>
      </c>
      <c r="D21" s="6" t="s">
        <v>970</v>
      </c>
      <c r="E21" s="8" t="s">
        <v>1442</v>
      </c>
      <c r="F21" s="8" t="s">
        <v>686</v>
      </c>
      <c r="G21" s="8" t="s">
        <v>684</v>
      </c>
      <c r="I21" s="7" t="str">
        <f>IF(B21&lt;&gt;"",CREATE_QUERY($B$1,A$2:G$2,A21:G21),"")</f>
        <v>INSERT INTO base_mast(hqof_idcd, base_idcd, base_code, base_name, prnt_idcd, line_stat, line_levl) VALUES ('N1000WINFO', 'N1000WINFO1201bb', 'bb', '바베이도스', '1201', '0', '1');</v>
      </c>
    </row>
    <row r="22" spans="1:9">
      <c r="A22" s="7" t="s">
        <v>1443</v>
      </c>
      <c r="B22" s="6" t="str">
        <f t="shared" si="0"/>
        <v>N1000WINFO1201bd</v>
      </c>
      <c r="C22" s="6" t="s">
        <v>971</v>
      </c>
      <c r="D22" s="6" t="s">
        <v>972</v>
      </c>
      <c r="E22" s="8" t="s">
        <v>1442</v>
      </c>
      <c r="F22" s="8" t="s">
        <v>686</v>
      </c>
      <c r="G22" s="8" t="s">
        <v>684</v>
      </c>
      <c r="I22" s="7" t="str">
        <f>IF(B22&lt;&gt;"",CREATE_QUERY($B$1,A$2:G$2,A22:G22),"")</f>
        <v>INSERT INTO base_mast(hqof_idcd, base_idcd, base_code, base_name, prnt_idcd, line_stat, line_levl) VALUES ('N1000WINFO', 'N1000WINFO1201bd', 'bd', '방글라데시', '1201', '0', '1');</v>
      </c>
    </row>
    <row r="23" spans="1:9">
      <c r="A23" s="7" t="s">
        <v>1443</v>
      </c>
      <c r="B23" s="6" t="str">
        <f t="shared" si="0"/>
        <v>N1000WINFO1201be</v>
      </c>
      <c r="C23" s="6" t="s">
        <v>973</v>
      </c>
      <c r="D23" s="6" t="s">
        <v>974</v>
      </c>
      <c r="E23" s="8" t="s">
        <v>1442</v>
      </c>
      <c r="F23" s="8" t="s">
        <v>686</v>
      </c>
      <c r="G23" s="8" t="s">
        <v>684</v>
      </c>
      <c r="I23" s="7" t="str">
        <f>IF(B23&lt;&gt;"",CREATE_QUERY($B$1,A$2:G$2,A23:G23),"")</f>
        <v>INSERT INTO base_mast(hqof_idcd, base_idcd, base_code, base_name, prnt_idcd, line_stat, line_levl) VALUES ('N1000WINFO', 'N1000WINFO1201be', 'be', '벨기에', '1201', '0', '1');</v>
      </c>
    </row>
    <row r="24" spans="1:9">
      <c r="A24" s="7" t="s">
        <v>1443</v>
      </c>
      <c r="B24" s="6" t="str">
        <f t="shared" si="0"/>
        <v>N1000WINFO1201bf</v>
      </c>
      <c r="C24" s="6" t="s">
        <v>975</v>
      </c>
      <c r="D24" s="6" t="s">
        <v>976</v>
      </c>
      <c r="E24" s="8" t="s">
        <v>1442</v>
      </c>
      <c r="F24" s="8" t="s">
        <v>686</v>
      </c>
      <c r="G24" s="8" t="s">
        <v>684</v>
      </c>
      <c r="I24" s="7" t="str">
        <f>IF(B24&lt;&gt;"",CREATE_QUERY($B$1,A$2:G$2,A24:G24),"")</f>
        <v>INSERT INTO base_mast(hqof_idcd, base_idcd, base_code, base_name, prnt_idcd, line_stat, line_levl) VALUES ('N1000WINFO', 'N1000WINFO1201bf', 'bf', '부르키나파소', '1201', '0', '1');</v>
      </c>
    </row>
    <row r="25" spans="1:9">
      <c r="A25" s="7" t="s">
        <v>1443</v>
      </c>
      <c r="B25" s="6" t="str">
        <f t="shared" si="0"/>
        <v>N1000WINFO1201bg</v>
      </c>
      <c r="C25" s="6" t="s">
        <v>977</v>
      </c>
      <c r="D25" s="6" t="s">
        <v>978</v>
      </c>
      <c r="E25" s="8" t="s">
        <v>1442</v>
      </c>
      <c r="F25" s="8" t="s">
        <v>686</v>
      </c>
      <c r="G25" s="8" t="s">
        <v>684</v>
      </c>
      <c r="I25" s="7" t="str">
        <f>IF(B25&lt;&gt;"",CREATE_QUERY($B$1,A$2:G$2,A25:G25),"")</f>
        <v>INSERT INTO base_mast(hqof_idcd, base_idcd, base_code, base_name, prnt_idcd, line_stat, line_levl) VALUES ('N1000WINFO', 'N1000WINFO1201bg', 'bg', '불가리아', '1201', '0', '1');</v>
      </c>
    </row>
    <row r="26" spans="1:9">
      <c r="A26" s="7" t="s">
        <v>1443</v>
      </c>
      <c r="B26" s="6" t="str">
        <f t="shared" si="0"/>
        <v>N1000WINFO1201bh</v>
      </c>
      <c r="C26" s="6" t="s">
        <v>979</v>
      </c>
      <c r="D26" s="6" t="s">
        <v>980</v>
      </c>
      <c r="E26" s="8" t="s">
        <v>1442</v>
      </c>
      <c r="F26" s="8" t="s">
        <v>686</v>
      </c>
      <c r="G26" s="8" t="s">
        <v>684</v>
      </c>
      <c r="I26" s="7" t="str">
        <f>IF(B26&lt;&gt;"",CREATE_QUERY($B$1,A$2:G$2,A26:G26),"")</f>
        <v>INSERT INTO base_mast(hqof_idcd, base_idcd, base_code, base_name, prnt_idcd, line_stat, line_levl) VALUES ('N1000WINFO', 'N1000WINFO1201bh', 'bh', '바레인', '1201', '0', '1');</v>
      </c>
    </row>
    <row r="27" spans="1:9">
      <c r="A27" s="7" t="s">
        <v>1443</v>
      </c>
      <c r="B27" s="6" t="str">
        <f t="shared" si="0"/>
        <v>N1000WINFO1201bi</v>
      </c>
      <c r="C27" s="6" t="s">
        <v>981</v>
      </c>
      <c r="D27" s="6" t="s">
        <v>982</v>
      </c>
      <c r="E27" s="8" t="s">
        <v>1442</v>
      </c>
      <c r="F27" s="8" t="s">
        <v>686</v>
      </c>
      <c r="G27" s="8" t="s">
        <v>684</v>
      </c>
      <c r="I27" s="7" t="str">
        <f>IF(B27&lt;&gt;"",CREATE_QUERY($B$1,A$2:G$2,A27:G27),"")</f>
        <v>INSERT INTO base_mast(hqof_idcd, base_idcd, base_code, base_name, prnt_idcd, line_stat, line_levl) VALUES ('N1000WINFO', 'N1000WINFO1201bi', 'bi', '부룬디', '1201', '0', '1');</v>
      </c>
    </row>
    <row r="28" spans="1:9">
      <c r="A28" s="7" t="s">
        <v>1443</v>
      </c>
      <c r="B28" s="6" t="str">
        <f t="shared" si="0"/>
        <v>N1000WINFO1201bj</v>
      </c>
      <c r="C28" s="6" t="s">
        <v>983</v>
      </c>
      <c r="D28" s="6" t="s">
        <v>984</v>
      </c>
      <c r="E28" s="8" t="s">
        <v>1442</v>
      </c>
      <c r="F28" s="8" t="s">
        <v>686</v>
      </c>
      <c r="G28" s="8" t="s">
        <v>684</v>
      </c>
      <c r="I28" s="7" t="str">
        <f>IF(B28&lt;&gt;"",CREATE_QUERY($B$1,A$2:G$2,A28:G28),"")</f>
        <v>INSERT INTO base_mast(hqof_idcd, base_idcd, base_code, base_name, prnt_idcd, line_stat, line_levl) VALUES ('N1000WINFO', 'N1000WINFO1201bj', 'bj', '베냉', '1201', '0', '1');</v>
      </c>
    </row>
    <row r="29" spans="1:9">
      <c r="A29" s="7" t="s">
        <v>1443</v>
      </c>
      <c r="B29" s="6" t="str">
        <f t="shared" si="0"/>
        <v>N1000WINFO1201bm</v>
      </c>
      <c r="C29" s="6" t="s">
        <v>985</v>
      </c>
      <c r="D29" s="6" t="s">
        <v>986</v>
      </c>
      <c r="E29" s="8" t="s">
        <v>1442</v>
      </c>
      <c r="F29" s="8" t="s">
        <v>686</v>
      </c>
      <c r="G29" s="8" t="s">
        <v>684</v>
      </c>
      <c r="I29" s="7" t="str">
        <f>IF(B29&lt;&gt;"",CREATE_QUERY($B$1,A$2:G$2,A29:G29),"")</f>
        <v>INSERT INTO base_mast(hqof_idcd, base_idcd, base_code, base_name, prnt_idcd, line_stat, line_levl) VALUES ('N1000WINFO', 'N1000WINFO1201bm', 'bm', '버뮤다', '1201', '0', '1');</v>
      </c>
    </row>
    <row r="30" spans="1:9">
      <c r="A30" s="7" t="s">
        <v>1443</v>
      </c>
      <c r="B30" s="6" t="str">
        <f t="shared" si="0"/>
        <v>N1000WINFO1201bn</v>
      </c>
      <c r="C30" s="6" t="s">
        <v>987</v>
      </c>
      <c r="D30" s="6" t="s">
        <v>988</v>
      </c>
      <c r="E30" s="8" t="s">
        <v>1442</v>
      </c>
      <c r="F30" s="8" t="s">
        <v>686</v>
      </c>
      <c r="G30" s="8" t="s">
        <v>684</v>
      </c>
      <c r="I30" s="7" t="str">
        <f>IF(B30&lt;&gt;"",CREATE_QUERY($B$1,A$2:G$2,A30:G30),"")</f>
        <v>INSERT INTO base_mast(hqof_idcd, base_idcd, base_code, base_name, prnt_idcd, line_stat, line_levl) VALUES ('N1000WINFO', 'N1000WINFO1201bn', 'bn', '브루나이', '1201', '0', '1');</v>
      </c>
    </row>
    <row r="31" spans="1:9">
      <c r="A31" s="7" t="s">
        <v>1443</v>
      </c>
      <c r="B31" s="6" t="str">
        <f t="shared" si="0"/>
        <v>N1000WINFO1201bo</v>
      </c>
      <c r="C31" s="6" t="s">
        <v>989</v>
      </c>
      <c r="D31" s="6" t="s">
        <v>990</v>
      </c>
      <c r="E31" s="8" t="s">
        <v>1442</v>
      </c>
      <c r="F31" s="8" t="s">
        <v>686</v>
      </c>
      <c r="G31" s="8" t="s">
        <v>684</v>
      </c>
      <c r="I31" s="7" t="str">
        <f>IF(B31&lt;&gt;"",CREATE_QUERY($B$1,A$2:G$2,A31:G31),"")</f>
        <v>INSERT INTO base_mast(hqof_idcd, base_idcd, base_code, base_name, prnt_idcd, line_stat, line_levl) VALUES ('N1000WINFO', 'N1000WINFO1201bo', 'bo', '볼리비아', '1201', '0', '1');</v>
      </c>
    </row>
    <row r="32" spans="1:9">
      <c r="A32" s="7" t="s">
        <v>1443</v>
      </c>
      <c r="B32" s="6" t="str">
        <f t="shared" si="0"/>
        <v>N1000WINFO1201br</v>
      </c>
      <c r="C32" s="6" t="s">
        <v>991</v>
      </c>
      <c r="D32" s="6" t="s">
        <v>992</v>
      </c>
      <c r="E32" s="8" t="s">
        <v>1442</v>
      </c>
      <c r="F32" s="8" t="s">
        <v>686</v>
      </c>
      <c r="G32" s="8" t="s">
        <v>684</v>
      </c>
      <c r="I32" s="7" t="str">
        <f>IF(B32&lt;&gt;"",CREATE_QUERY($B$1,A$2:G$2,A32:G32),"")</f>
        <v>INSERT INTO base_mast(hqof_idcd, base_idcd, base_code, base_name, prnt_idcd, line_stat, line_levl) VALUES ('N1000WINFO', 'N1000WINFO1201br', 'br', '브라질', '1201', '0', '1');</v>
      </c>
    </row>
    <row r="33" spans="1:9">
      <c r="A33" s="7" t="s">
        <v>1443</v>
      </c>
      <c r="B33" s="6" t="str">
        <f t="shared" si="0"/>
        <v>N1000WINFO1201bs</v>
      </c>
      <c r="C33" s="6" t="s">
        <v>993</v>
      </c>
      <c r="D33" s="6" t="s">
        <v>994</v>
      </c>
      <c r="E33" s="8" t="s">
        <v>1442</v>
      </c>
      <c r="F33" s="8" t="s">
        <v>686</v>
      </c>
      <c r="G33" s="8" t="s">
        <v>684</v>
      </c>
      <c r="I33" s="7" t="str">
        <f>IF(B33&lt;&gt;"",CREATE_QUERY($B$1,A$2:G$2,A33:G33),"")</f>
        <v>INSERT INTO base_mast(hqof_idcd, base_idcd, base_code, base_name, prnt_idcd, line_stat, line_levl) VALUES ('N1000WINFO', 'N1000WINFO1201bs', 'bs', '바하마', '1201', '0', '1');</v>
      </c>
    </row>
    <row r="34" spans="1:9">
      <c r="A34" s="7" t="s">
        <v>1443</v>
      </c>
      <c r="B34" s="6" t="str">
        <f t="shared" si="0"/>
        <v>N1000WINFO1201bt</v>
      </c>
      <c r="C34" s="6" t="s">
        <v>995</v>
      </c>
      <c r="D34" s="6" t="s">
        <v>996</v>
      </c>
      <c r="E34" s="8" t="s">
        <v>1442</v>
      </c>
      <c r="F34" s="8" t="s">
        <v>686</v>
      </c>
      <c r="G34" s="8" t="s">
        <v>684</v>
      </c>
      <c r="I34" s="7" t="str">
        <f>IF(B34&lt;&gt;"",CREATE_QUERY($B$1,A$2:G$2,A34:G34),"")</f>
        <v>INSERT INTO base_mast(hqof_idcd, base_idcd, base_code, base_name, prnt_idcd, line_stat, line_levl) VALUES ('N1000WINFO', 'N1000WINFO1201bt', 'bt', '부탄', '1201', '0', '1');</v>
      </c>
    </row>
    <row r="35" spans="1:9">
      <c r="A35" s="7" t="s">
        <v>1443</v>
      </c>
      <c r="B35" s="6" t="str">
        <f t="shared" si="0"/>
        <v>N1000WINFO1201bv</v>
      </c>
      <c r="C35" s="6" t="s">
        <v>997</v>
      </c>
      <c r="D35" s="6" t="s">
        <v>998</v>
      </c>
      <c r="E35" s="8" t="s">
        <v>1442</v>
      </c>
      <c r="F35" s="8" t="s">
        <v>686</v>
      </c>
      <c r="G35" s="8" t="s">
        <v>684</v>
      </c>
      <c r="I35" s="7" t="str">
        <f>IF(B35&lt;&gt;"",CREATE_QUERY($B$1,A$2:G$2,A35:G35),"")</f>
        <v>INSERT INTO base_mast(hqof_idcd, base_idcd, base_code, base_name, prnt_idcd, line_stat, line_levl) VALUES ('N1000WINFO', 'N1000WINFO1201bv', 'bv', '부베이 섬', '1201', '0', '1');</v>
      </c>
    </row>
    <row r="36" spans="1:9">
      <c r="A36" s="7" t="s">
        <v>1443</v>
      </c>
      <c r="B36" s="6" t="str">
        <f t="shared" si="0"/>
        <v>N1000WINFO1201bw</v>
      </c>
      <c r="C36" s="6" t="s">
        <v>999</v>
      </c>
      <c r="D36" s="6" t="s">
        <v>1000</v>
      </c>
      <c r="E36" s="8" t="s">
        <v>1442</v>
      </c>
      <c r="F36" s="8" t="s">
        <v>686</v>
      </c>
      <c r="G36" s="8" t="s">
        <v>684</v>
      </c>
      <c r="I36" s="7" t="str">
        <f>IF(B36&lt;&gt;"",CREATE_QUERY($B$1,A$2:G$2,A36:G36),"")</f>
        <v>INSERT INTO base_mast(hqof_idcd, base_idcd, base_code, base_name, prnt_idcd, line_stat, line_levl) VALUES ('N1000WINFO', 'N1000WINFO1201bw', 'bw', '보츠와나', '1201', '0', '1');</v>
      </c>
    </row>
    <row r="37" spans="1:9">
      <c r="A37" s="7" t="s">
        <v>1443</v>
      </c>
      <c r="B37" s="6" t="str">
        <f t="shared" si="0"/>
        <v>N1000WINFO1201by</v>
      </c>
      <c r="C37" s="6" t="s">
        <v>1001</v>
      </c>
      <c r="D37" s="6" t="s">
        <v>1002</v>
      </c>
      <c r="E37" s="8" t="s">
        <v>1442</v>
      </c>
      <c r="F37" s="8" t="s">
        <v>686</v>
      </c>
      <c r="G37" s="8" t="s">
        <v>684</v>
      </c>
      <c r="I37" s="7" t="str">
        <f>IF(B37&lt;&gt;"",CREATE_QUERY($B$1,A$2:G$2,A37:G37),"")</f>
        <v>INSERT INTO base_mast(hqof_idcd, base_idcd, base_code, base_name, prnt_idcd, line_stat, line_levl) VALUES ('N1000WINFO', 'N1000WINFO1201by', 'by', '벨로루시', '1201', '0', '1');</v>
      </c>
    </row>
    <row r="38" spans="1:9">
      <c r="A38" s="7" t="s">
        <v>1443</v>
      </c>
      <c r="B38" s="6" t="str">
        <f t="shared" si="0"/>
        <v>N1000WINFO1201bz</v>
      </c>
      <c r="C38" s="6" t="s">
        <v>1003</v>
      </c>
      <c r="D38" s="6" t="s">
        <v>1004</v>
      </c>
      <c r="E38" s="8" t="s">
        <v>1442</v>
      </c>
      <c r="F38" s="8" t="s">
        <v>686</v>
      </c>
      <c r="G38" s="8" t="s">
        <v>684</v>
      </c>
      <c r="I38" s="7" t="str">
        <f>IF(B38&lt;&gt;"",CREATE_QUERY($B$1,A$2:G$2,A38:G38),"")</f>
        <v>INSERT INTO base_mast(hqof_idcd, base_idcd, base_code, base_name, prnt_idcd, line_stat, line_levl) VALUES ('N1000WINFO', 'N1000WINFO1201bz', 'bz', '벨리즈', '1201', '0', '1');</v>
      </c>
    </row>
    <row r="39" spans="1:9">
      <c r="A39" s="7" t="s">
        <v>1443</v>
      </c>
      <c r="B39" s="6" t="str">
        <f t="shared" si="0"/>
        <v>N1000WINFO1201ca</v>
      </c>
      <c r="C39" s="6" t="s">
        <v>1005</v>
      </c>
      <c r="D39" s="6" t="s">
        <v>1006</v>
      </c>
      <c r="E39" s="8" t="s">
        <v>1442</v>
      </c>
      <c r="F39" s="8" t="s">
        <v>686</v>
      </c>
      <c r="G39" s="8" t="s">
        <v>684</v>
      </c>
      <c r="I39" s="7" t="str">
        <f>IF(B39&lt;&gt;"",CREATE_QUERY($B$1,A$2:G$2,A39:G39),"")</f>
        <v>INSERT INTO base_mast(hqof_idcd, base_idcd, base_code, base_name, prnt_idcd, line_stat, line_levl) VALUES ('N1000WINFO', 'N1000WINFO1201ca', 'ca', '캐나다', '1201', '0', '1');</v>
      </c>
    </row>
    <row r="40" spans="1:9">
      <c r="A40" s="7" t="s">
        <v>1443</v>
      </c>
      <c r="B40" s="6" t="str">
        <f t="shared" si="0"/>
        <v>N1000WINFO1201cc</v>
      </c>
      <c r="C40" s="6" t="s">
        <v>1007</v>
      </c>
      <c r="D40" s="6" t="s">
        <v>1008</v>
      </c>
      <c r="E40" s="8" t="s">
        <v>1442</v>
      </c>
      <c r="F40" s="8" t="s">
        <v>686</v>
      </c>
      <c r="G40" s="8" t="s">
        <v>684</v>
      </c>
      <c r="I40" s="7" t="str">
        <f>IF(B40&lt;&gt;"",CREATE_QUERY($B$1,A$2:G$2,A40:G40),"")</f>
        <v>INSERT INTO base_mast(hqof_idcd, base_idcd, base_code, base_name, prnt_idcd, line_stat, line_levl) VALUES ('N1000WINFO', 'N1000WINFO1201cc', 'cc', '코코스 군도', '1201', '0', '1');</v>
      </c>
    </row>
    <row r="41" spans="1:9">
      <c r="A41" s="7" t="s">
        <v>1443</v>
      </c>
      <c r="B41" s="6" t="str">
        <f t="shared" si="0"/>
        <v>N1000WINFO1201cf</v>
      </c>
      <c r="C41" s="6" t="s">
        <v>1009</v>
      </c>
      <c r="D41" s="6" t="s">
        <v>1010</v>
      </c>
      <c r="E41" s="8" t="s">
        <v>1442</v>
      </c>
      <c r="F41" s="8" t="s">
        <v>686</v>
      </c>
      <c r="G41" s="8" t="s">
        <v>684</v>
      </c>
      <c r="I41" s="7" t="str">
        <f>IF(B41&lt;&gt;"",CREATE_QUERY($B$1,A$2:G$2,A41:G41),"")</f>
        <v>INSERT INTO base_mast(hqof_idcd, base_idcd, base_code, base_name, prnt_idcd, line_stat, line_levl) VALUES ('N1000WINFO', 'N1000WINFO1201cf', 'cf', '중앙 아프리카', '1201', '0', '1');</v>
      </c>
    </row>
    <row r="42" spans="1:9">
      <c r="A42" s="7" t="s">
        <v>1443</v>
      </c>
      <c r="B42" s="6" t="str">
        <f t="shared" si="0"/>
        <v>N1000WINFO1201cd</v>
      </c>
      <c r="C42" s="6" t="s">
        <v>1011</v>
      </c>
      <c r="D42" s="6" t="s">
        <v>1012</v>
      </c>
      <c r="E42" s="8" t="s">
        <v>1442</v>
      </c>
      <c r="F42" s="8" t="s">
        <v>686</v>
      </c>
      <c r="G42" s="8" t="s">
        <v>684</v>
      </c>
      <c r="I42" s="7" t="str">
        <f>IF(B42&lt;&gt;"",CREATE_QUERY($B$1,A$2:G$2,A42:G42),"")</f>
        <v>INSERT INTO base_mast(hqof_idcd, base_idcd, base_code, base_name, prnt_idcd, line_stat, line_levl) VALUES ('N1000WINFO', 'N1000WINFO1201cd', 'cd', '콩고 민주 공화국', '1201', '0', '1');</v>
      </c>
    </row>
    <row r="43" spans="1:9">
      <c r="A43" s="7" t="s">
        <v>1443</v>
      </c>
      <c r="B43" s="6" t="str">
        <f t="shared" si="0"/>
        <v>N1000WINFO1201cg</v>
      </c>
      <c r="C43" s="6" t="s">
        <v>1013</v>
      </c>
      <c r="D43" s="6" t="s">
        <v>1014</v>
      </c>
      <c r="E43" s="8" t="s">
        <v>1442</v>
      </c>
      <c r="F43" s="8" t="s">
        <v>686</v>
      </c>
      <c r="G43" s="8" t="s">
        <v>684</v>
      </c>
      <c r="I43" s="7" t="str">
        <f>IF(B43&lt;&gt;"",CREATE_QUERY($B$1,A$2:G$2,A43:G43),"")</f>
        <v>INSERT INTO base_mast(hqof_idcd, base_idcd, base_code, base_name, prnt_idcd, line_stat, line_levl) VALUES ('N1000WINFO', 'N1000WINFO1201cg', 'cg', '콩고', '1201', '0', '1');</v>
      </c>
    </row>
    <row r="44" spans="1:9">
      <c r="A44" s="7" t="s">
        <v>1443</v>
      </c>
      <c r="B44" s="6" t="str">
        <f t="shared" si="0"/>
        <v>N1000WINFO1201ch</v>
      </c>
      <c r="C44" s="6" t="s">
        <v>1015</v>
      </c>
      <c r="D44" s="6" t="s">
        <v>1016</v>
      </c>
      <c r="E44" s="8" t="s">
        <v>1442</v>
      </c>
      <c r="F44" s="8" t="s">
        <v>686</v>
      </c>
      <c r="G44" s="8" t="s">
        <v>684</v>
      </c>
      <c r="I44" s="7" t="str">
        <f>IF(B44&lt;&gt;"",CREATE_QUERY($B$1,A$2:G$2,A44:G44),"")</f>
        <v>INSERT INTO base_mast(hqof_idcd, base_idcd, base_code, base_name, prnt_idcd, line_stat, line_levl) VALUES ('N1000WINFO', 'N1000WINFO1201ch', 'ch', '스위스', '1201', '0', '1');</v>
      </c>
    </row>
    <row r="45" spans="1:9">
      <c r="A45" s="7" t="s">
        <v>1443</v>
      </c>
      <c r="B45" s="6" t="str">
        <f t="shared" si="0"/>
        <v>N1000WINFO1201ci</v>
      </c>
      <c r="C45" s="6" t="s">
        <v>1017</v>
      </c>
      <c r="D45" s="6" t="s">
        <v>1018</v>
      </c>
      <c r="E45" s="8" t="s">
        <v>1442</v>
      </c>
      <c r="F45" s="8" t="s">
        <v>686</v>
      </c>
      <c r="G45" s="8" t="s">
        <v>684</v>
      </c>
      <c r="I45" s="7" t="str">
        <f>IF(B45&lt;&gt;"",CREATE_QUERY($B$1,A$2:G$2,A45:G45),"")</f>
        <v>INSERT INTO base_mast(hqof_idcd, base_idcd, base_code, base_name, prnt_idcd, line_stat, line_levl) VALUES ('N1000WINFO', 'N1000WINFO1201ci', 'ci', '코트디부와르', '1201', '0', '1');</v>
      </c>
    </row>
    <row r="46" spans="1:9">
      <c r="A46" s="7" t="s">
        <v>1443</v>
      </c>
      <c r="B46" s="6" t="str">
        <f t="shared" si="0"/>
        <v>N1000WINFO1201ck</v>
      </c>
      <c r="C46" s="6" t="s">
        <v>1019</v>
      </c>
      <c r="D46" s="6" t="s">
        <v>1020</v>
      </c>
      <c r="E46" s="8" t="s">
        <v>1442</v>
      </c>
      <c r="F46" s="8" t="s">
        <v>686</v>
      </c>
      <c r="G46" s="8" t="s">
        <v>684</v>
      </c>
      <c r="I46" s="7" t="str">
        <f>IF(B46&lt;&gt;"",CREATE_QUERY($B$1,A$2:G$2,A46:G46),"")</f>
        <v>INSERT INTO base_mast(hqof_idcd, base_idcd, base_code, base_name, prnt_idcd, line_stat, line_levl) VALUES ('N1000WINFO', 'N1000WINFO1201ck', 'ck', '쿠크 군도', '1201', '0', '1');</v>
      </c>
    </row>
    <row r="47" spans="1:9">
      <c r="A47" s="7" t="s">
        <v>1443</v>
      </c>
      <c r="B47" s="6" t="str">
        <f t="shared" si="0"/>
        <v>N1000WINFO1201cl</v>
      </c>
      <c r="C47" s="6" t="s">
        <v>1021</v>
      </c>
      <c r="D47" s="6" t="s">
        <v>1022</v>
      </c>
      <c r="E47" s="8" t="s">
        <v>1442</v>
      </c>
      <c r="F47" s="8" t="s">
        <v>686</v>
      </c>
      <c r="G47" s="8" t="s">
        <v>684</v>
      </c>
      <c r="I47" s="7" t="str">
        <f>IF(B47&lt;&gt;"",CREATE_QUERY($B$1,A$2:G$2,A47:G47),"")</f>
        <v>INSERT INTO base_mast(hqof_idcd, base_idcd, base_code, base_name, prnt_idcd, line_stat, line_levl) VALUES ('N1000WINFO', 'N1000WINFO1201cl', 'cl', '칠레', '1201', '0', '1');</v>
      </c>
    </row>
    <row r="48" spans="1:9">
      <c r="A48" s="7" t="s">
        <v>1443</v>
      </c>
      <c r="B48" s="6" t="str">
        <f t="shared" si="0"/>
        <v>N1000WINFO1201cm</v>
      </c>
      <c r="C48" s="6" t="s">
        <v>1023</v>
      </c>
      <c r="D48" s="6" t="s">
        <v>1024</v>
      </c>
      <c r="E48" s="8" t="s">
        <v>1442</v>
      </c>
      <c r="F48" s="8" t="s">
        <v>686</v>
      </c>
      <c r="G48" s="8" t="s">
        <v>684</v>
      </c>
      <c r="I48" s="7" t="str">
        <f>IF(B48&lt;&gt;"",CREATE_QUERY($B$1,A$2:G$2,A48:G48),"")</f>
        <v>INSERT INTO base_mast(hqof_idcd, base_idcd, base_code, base_name, prnt_idcd, line_stat, line_levl) VALUES ('N1000WINFO', 'N1000WINFO1201cm', 'cm', '카메룬', '1201', '0', '1');</v>
      </c>
    </row>
    <row r="49" spans="1:9">
      <c r="A49" s="7" t="s">
        <v>1443</v>
      </c>
      <c r="B49" s="6" t="str">
        <f t="shared" si="0"/>
        <v>N1000WINFO1201cn</v>
      </c>
      <c r="C49" s="6" t="s">
        <v>1025</v>
      </c>
      <c r="D49" s="6" t="s">
        <v>1026</v>
      </c>
      <c r="E49" s="8" t="s">
        <v>1442</v>
      </c>
      <c r="F49" s="8" t="s">
        <v>686</v>
      </c>
      <c r="G49" s="8" t="s">
        <v>684</v>
      </c>
      <c r="I49" s="7" t="str">
        <f>IF(B49&lt;&gt;"",CREATE_QUERY($B$1,A$2:G$2,A49:G49),"")</f>
        <v>INSERT INTO base_mast(hqof_idcd, base_idcd, base_code, base_name, prnt_idcd, line_stat, line_levl) VALUES ('N1000WINFO', 'N1000WINFO1201cn', 'cn', '중국', '1201', '0', '1');</v>
      </c>
    </row>
    <row r="50" spans="1:9">
      <c r="A50" s="7" t="s">
        <v>1443</v>
      </c>
      <c r="B50" s="6" t="str">
        <f t="shared" si="0"/>
        <v>N1000WINFO1201co</v>
      </c>
      <c r="C50" s="6" t="s">
        <v>1027</v>
      </c>
      <c r="D50" s="6" t="s">
        <v>1028</v>
      </c>
      <c r="E50" s="8" t="s">
        <v>1442</v>
      </c>
      <c r="F50" s="8" t="s">
        <v>686</v>
      </c>
      <c r="G50" s="8" t="s">
        <v>684</v>
      </c>
      <c r="I50" s="7" t="str">
        <f>IF(B50&lt;&gt;"",CREATE_QUERY($B$1,A$2:G$2,A50:G50),"")</f>
        <v>INSERT INTO base_mast(hqof_idcd, base_idcd, base_code, base_name, prnt_idcd, line_stat, line_levl) VALUES ('N1000WINFO', 'N1000WINFO1201co', 'co', '콜롬비아', '1201', '0', '1');</v>
      </c>
    </row>
    <row r="51" spans="1:9">
      <c r="A51" s="7" t="s">
        <v>1443</v>
      </c>
      <c r="B51" s="6" t="str">
        <f t="shared" si="0"/>
        <v>N1000WINFO1201com</v>
      </c>
      <c r="C51" s="6" t="s">
        <v>1029</v>
      </c>
      <c r="D51" s="6" t="s">
        <v>1030</v>
      </c>
      <c r="E51" s="8" t="s">
        <v>1442</v>
      </c>
      <c r="F51" s="8" t="s">
        <v>686</v>
      </c>
      <c r="G51" s="8" t="s">
        <v>684</v>
      </c>
      <c r="I51" s="7" t="str">
        <f>IF(B51&lt;&gt;"",CREATE_QUERY($B$1,A$2:G$2,A51:G51),"")</f>
        <v>INSERT INTO base_mast(hqof_idcd, base_idcd, base_code, base_name, prnt_idcd, line_stat, line_levl) VALUES ('N1000WINFO', 'N1000WINFO1201com', 'com', '상용', '1201', '0', '1');</v>
      </c>
    </row>
    <row r="52" spans="1:9">
      <c r="A52" s="7" t="s">
        <v>1443</v>
      </c>
      <c r="B52" s="6" t="str">
        <f t="shared" si="0"/>
        <v>N1000WINFO1201cr</v>
      </c>
      <c r="C52" s="6" t="s">
        <v>1031</v>
      </c>
      <c r="D52" s="6" t="s">
        <v>1032</v>
      </c>
      <c r="E52" s="8" t="s">
        <v>1442</v>
      </c>
      <c r="F52" s="8" t="s">
        <v>686</v>
      </c>
      <c r="G52" s="8" t="s">
        <v>684</v>
      </c>
      <c r="I52" s="7" t="str">
        <f>IF(B52&lt;&gt;"",CREATE_QUERY($B$1,A$2:G$2,A52:G52),"")</f>
        <v>INSERT INTO base_mast(hqof_idcd, base_idcd, base_code, base_name, prnt_idcd, line_stat, line_levl) VALUES ('N1000WINFO', 'N1000WINFO1201cr', 'cr', '코스타리카', '1201', '0', '1');</v>
      </c>
    </row>
    <row r="53" spans="1:9">
      <c r="A53" s="7" t="s">
        <v>1443</v>
      </c>
      <c r="B53" s="6" t="str">
        <f t="shared" si="0"/>
        <v>N1000WINFO1201cs</v>
      </c>
      <c r="C53" s="6" t="s">
        <v>1033</v>
      </c>
      <c r="D53" s="6" t="s">
        <v>1034</v>
      </c>
      <c r="E53" s="8" t="s">
        <v>1442</v>
      </c>
      <c r="F53" s="8" t="s">
        <v>686</v>
      </c>
      <c r="G53" s="8" t="s">
        <v>684</v>
      </c>
      <c r="I53" s="7" t="str">
        <f>IF(B53&lt;&gt;"",CREATE_QUERY($B$1,A$2:G$2,A53:G53),"")</f>
        <v>INSERT INTO base_mast(hqof_idcd, base_idcd, base_code, base_name, prnt_idcd, line_stat, line_levl) VALUES ('N1000WINFO', 'N1000WINFO1201cs', 'cs', '구 체코슬로바키아', '1201', '0', '1');</v>
      </c>
    </row>
    <row r="54" spans="1:9">
      <c r="A54" s="7" t="s">
        <v>1443</v>
      </c>
      <c r="B54" s="6" t="str">
        <f t="shared" si="0"/>
        <v>N1000WINFO1201cu</v>
      </c>
      <c r="C54" s="6" t="s">
        <v>1035</v>
      </c>
      <c r="D54" s="6" t="s">
        <v>1036</v>
      </c>
      <c r="E54" s="8" t="s">
        <v>1442</v>
      </c>
      <c r="F54" s="8" t="s">
        <v>686</v>
      </c>
      <c r="G54" s="8" t="s">
        <v>684</v>
      </c>
      <c r="I54" s="7" t="str">
        <f>IF(B54&lt;&gt;"",CREATE_QUERY($B$1,A$2:G$2,A54:G54),"")</f>
        <v>INSERT INTO base_mast(hqof_idcd, base_idcd, base_code, base_name, prnt_idcd, line_stat, line_levl) VALUES ('N1000WINFO', 'N1000WINFO1201cu', 'cu', '쿠바', '1201', '0', '1');</v>
      </c>
    </row>
    <row r="55" spans="1:9">
      <c r="A55" s="7" t="s">
        <v>1443</v>
      </c>
      <c r="B55" s="6" t="str">
        <f t="shared" si="0"/>
        <v>N1000WINFO1201cv</v>
      </c>
      <c r="C55" s="6" t="s">
        <v>1037</v>
      </c>
      <c r="D55" s="6" t="s">
        <v>1038</v>
      </c>
      <c r="E55" s="8" t="s">
        <v>1442</v>
      </c>
      <c r="F55" s="8" t="s">
        <v>686</v>
      </c>
      <c r="G55" s="8" t="s">
        <v>684</v>
      </c>
      <c r="I55" s="7" t="str">
        <f>IF(B55&lt;&gt;"",CREATE_QUERY($B$1,A$2:G$2,A55:G55),"")</f>
        <v>INSERT INTO base_mast(hqof_idcd, base_idcd, base_code, base_name, prnt_idcd, line_stat, line_levl) VALUES ('N1000WINFO', 'N1000WINFO1201cv', 'cv', '카보베르데', '1201', '0', '1');</v>
      </c>
    </row>
    <row r="56" spans="1:9">
      <c r="A56" s="7" t="s">
        <v>1443</v>
      </c>
      <c r="B56" s="6" t="str">
        <f t="shared" si="0"/>
        <v>N1000WINFO1201cx</v>
      </c>
      <c r="C56" s="6" t="s">
        <v>1039</v>
      </c>
      <c r="D56" s="6" t="s">
        <v>1040</v>
      </c>
      <c r="E56" s="8" t="s">
        <v>1442</v>
      </c>
      <c r="F56" s="8" t="s">
        <v>686</v>
      </c>
      <c r="G56" s="8" t="s">
        <v>684</v>
      </c>
      <c r="I56" s="7" t="str">
        <f>IF(B56&lt;&gt;"",CREATE_QUERY($B$1,A$2:G$2,A56:G56),"")</f>
        <v>INSERT INTO base_mast(hqof_idcd, base_idcd, base_code, base_name, prnt_idcd, line_stat, line_levl) VALUES ('N1000WINFO', 'N1000WINFO1201cx', 'cx', '크리스마스 섬', '1201', '0', '1');</v>
      </c>
    </row>
    <row r="57" spans="1:9">
      <c r="A57" s="7" t="s">
        <v>1443</v>
      </c>
      <c r="B57" s="6" t="str">
        <f t="shared" si="0"/>
        <v>N1000WINFO1201cy</v>
      </c>
      <c r="C57" s="6" t="s">
        <v>1041</v>
      </c>
      <c r="D57" s="6" t="s">
        <v>1042</v>
      </c>
      <c r="E57" s="8" t="s">
        <v>1442</v>
      </c>
      <c r="F57" s="8" t="s">
        <v>686</v>
      </c>
      <c r="G57" s="8" t="s">
        <v>684</v>
      </c>
      <c r="I57" s="7" t="str">
        <f>IF(B57&lt;&gt;"",CREATE_QUERY($B$1,A$2:G$2,A57:G57),"")</f>
        <v>INSERT INTO base_mast(hqof_idcd, base_idcd, base_code, base_name, prnt_idcd, line_stat, line_levl) VALUES ('N1000WINFO', 'N1000WINFO1201cy', 'cy', '사이프러스', '1201', '0', '1');</v>
      </c>
    </row>
    <row r="58" spans="1:9">
      <c r="A58" s="7" t="s">
        <v>1443</v>
      </c>
      <c r="B58" s="6" t="str">
        <f t="shared" si="0"/>
        <v>N1000WINFO1201cz</v>
      </c>
      <c r="C58" s="6" t="s">
        <v>1043</v>
      </c>
      <c r="D58" s="6" t="s">
        <v>1044</v>
      </c>
      <c r="E58" s="8" t="s">
        <v>1442</v>
      </c>
      <c r="F58" s="8" t="s">
        <v>686</v>
      </c>
      <c r="G58" s="8" t="s">
        <v>684</v>
      </c>
      <c r="I58" s="7" t="str">
        <f>IF(B58&lt;&gt;"",CREATE_QUERY($B$1,A$2:G$2,A58:G58),"")</f>
        <v>INSERT INTO base_mast(hqof_idcd, base_idcd, base_code, base_name, prnt_idcd, line_stat, line_levl) VALUES ('N1000WINFO', 'N1000WINFO1201cz', 'cz', '체코', '1201', '0', '1');</v>
      </c>
    </row>
    <row r="59" spans="1:9">
      <c r="A59" s="7" t="s">
        <v>1443</v>
      </c>
      <c r="B59" s="6" t="str">
        <f t="shared" si="0"/>
        <v>N1000WINFO1201de</v>
      </c>
      <c r="C59" s="6" t="s">
        <v>1045</v>
      </c>
      <c r="D59" s="6" t="s">
        <v>1046</v>
      </c>
      <c r="E59" s="8" t="s">
        <v>1442</v>
      </c>
      <c r="F59" s="8" t="s">
        <v>686</v>
      </c>
      <c r="G59" s="8" t="s">
        <v>684</v>
      </c>
      <c r="I59" s="7" t="str">
        <f>IF(B59&lt;&gt;"",CREATE_QUERY($B$1,A$2:G$2,A59:G59),"")</f>
        <v>INSERT INTO base_mast(hqof_idcd, base_idcd, base_code, base_name, prnt_idcd, line_stat, line_levl) VALUES ('N1000WINFO', 'N1000WINFO1201de', 'de', '독일', '1201', '0', '1');</v>
      </c>
    </row>
    <row r="60" spans="1:9">
      <c r="A60" s="7" t="s">
        <v>1443</v>
      </c>
      <c r="B60" s="6" t="str">
        <f t="shared" si="0"/>
        <v>N1000WINFO1201dj</v>
      </c>
      <c r="C60" s="6" t="s">
        <v>1047</v>
      </c>
      <c r="D60" s="6" t="s">
        <v>1048</v>
      </c>
      <c r="E60" s="8" t="s">
        <v>1442</v>
      </c>
      <c r="F60" s="8" t="s">
        <v>686</v>
      </c>
      <c r="G60" s="8" t="s">
        <v>684</v>
      </c>
      <c r="I60" s="7" t="str">
        <f>IF(B60&lt;&gt;"",CREATE_QUERY($B$1,A$2:G$2,A60:G60),"")</f>
        <v>INSERT INTO base_mast(hqof_idcd, base_idcd, base_code, base_name, prnt_idcd, line_stat, line_levl) VALUES ('N1000WINFO', 'N1000WINFO1201dj', 'dj', '지부티', '1201', '0', '1');</v>
      </c>
    </row>
    <row r="61" spans="1:9">
      <c r="A61" s="7" t="s">
        <v>1443</v>
      </c>
      <c r="B61" s="6" t="str">
        <f t="shared" si="0"/>
        <v>N1000WINFO1201dk</v>
      </c>
      <c r="C61" s="6" t="s">
        <v>1049</v>
      </c>
      <c r="D61" s="6" t="s">
        <v>1050</v>
      </c>
      <c r="E61" s="8" t="s">
        <v>1442</v>
      </c>
      <c r="F61" s="8" t="s">
        <v>686</v>
      </c>
      <c r="G61" s="8" t="s">
        <v>684</v>
      </c>
      <c r="I61" s="7" t="str">
        <f>IF(B61&lt;&gt;"",CREATE_QUERY($B$1,A$2:G$2,A61:G61),"")</f>
        <v>INSERT INTO base_mast(hqof_idcd, base_idcd, base_code, base_name, prnt_idcd, line_stat, line_levl) VALUES ('N1000WINFO', 'N1000WINFO1201dk', 'dk', '덴마크', '1201', '0', '1');</v>
      </c>
    </row>
    <row r="62" spans="1:9">
      <c r="A62" s="7" t="s">
        <v>1443</v>
      </c>
      <c r="B62" s="6" t="str">
        <f t="shared" si="0"/>
        <v>N1000WINFO1201dm</v>
      </c>
      <c r="C62" s="6" t="s">
        <v>1051</v>
      </c>
      <c r="D62" s="6" t="s">
        <v>1052</v>
      </c>
      <c r="E62" s="8" t="s">
        <v>1442</v>
      </c>
      <c r="F62" s="8" t="s">
        <v>686</v>
      </c>
      <c r="G62" s="8" t="s">
        <v>684</v>
      </c>
      <c r="I62" s="7" t="str">
        <f>IF(B62&lt;&gt;"",CREATE_QUERY($B$1,A$2:G$2,A62:G62),"")</f>
        <v>INSERT INTO base_mast(hqof_idcd, base_idcd, base_code, base_name, prnt_idcd, line_stat, line_levl) VALUES ('N1000WINFO', 'N1000WINFO1201dm', 'dm', '도미니카', '1201', '0', '1');</v>
      </c>
    </row>
    <row r="63" spans="1:9">
      <c r="A63" s="7" t="s">
        <v>1443</v>
      </c>
      <c r="B63" s="6" t="str">
        <f t="shared" si="0"/>
        <v>N1000WINFO1201do</v>
      </c>
      <c r="C63" s="6" t="s">
        <v>1053</v>
      </c>
      <c r="D63" s="6" t="s">
        <v>1054</v>
      </c>
      <c r="E63" s="8" t="s">
        <v>1442</v>
      </c>
      <c r="F63" s="8" t="s">
        <v>686</v>
      </c>
      <c r="G63" s="8" t="s">
        <v>684</v>
      </c>
      <c r="I63" s="7" t="str">
        <f>IF(B63&lt;&gt;"",CREATE_QUERY($B$1,A$2:G$2,A63:G63),"")</f>
        <v>INSERT INTO base_mast(hqof_idcd, base_idcd, base_code, base_name, prnt_idcd, line_stat, line_levl) VALUES ('N1000WINFO', 'N1000WINFO1201do', 'do', '도미니카 공화국', '1201', '0', '1');</v>
      </c>
    </row>
    <row r="64" spans="1:9">
      <c r="A64" s="7" t="s">
        <v>1443</v>
      </c>
      <c r="B64" s="6" t="str">
        <f t="shared" si="0"/>
        <v>N1000WINFO1201dz</v>
      </c>
      <c r="C64" s="6" t="s">
        <v>1055</v>
      </c>
      <c r="D64" s="6" t="s">
        <v>1056</v>
      </c>
      <c r="E64" s="8" t="s">
        <v>1442</v>
      </c>
      <c r="F64" s="8" t="s">
        <v>686</v>
      </c>
      <c r="G64" s="8" t="s">
        <v>684</v>
      </c>
      <c r="I64" s="7" t="str">
        <f>IF(B64&lt;&gt;"",CREATE_QUERY($B$1,A$2:G$2,A64:G64),"")</f>
        <v>INSERT INTO base_mast(hqof_idcd, base_idcd, base_code, base_name, prnt_idcd, line_stat, line_levl) VALUES ('N1000WINFO', 'N1000WINFO1201dz', 'dz', '알제리', '1201', '0', '1');</v>
      </c>
    </row>
    <row r="65" spans="1:9">
      <c r="A65" s="7" t="s">
        <v>1443</v>
      </c>
      <c r="B65" s="6" t="str">
        <f t="shared" si="0"/>
        <v>N1000WINFO1201ec</v>
      </c>
      <c r="C65" s="6" t="s">
        <v>1057</v>
      </c>
      <c r="D65" s="6" t="s">
        <v>1058</v>
      </c>
      <c r="E65" s="8" t="s">
        <v>1442</v>
      </c>
      <c r="F65" s="8" t="s">
        <v>686</v>
      </c>
      <c r="G65" s="8" t="s">
        <v>684</v>
      </c>
      <c r="I65" s="7" t="str">
        <f>IF(B65&lt;&gt;"",CREATE_QUERY($B$1,A$2:G$2,A65:G65),"")</f>
        <v>INSERT INTO base_mast(hqof_idcd, base_idcd, base_code, base_name, prnt_idcd, line_stat, line_levl) VALUES ('N1000WINFO', 'N1000WINFO1201ec', 'ec', '에쿠아도르', '1201', '0', '1');</v>
      </c>
    </row>
    <row r="66" spans="1:9">
      <c r="A66" s="7" t="s">
        <v>1443</v>
      </c>
      <c r="B66" s="6" t="str">
        <f t="shared" si="0"/>
        <v>N1000WINFO1201edu</v>
      </c>
      <c r="C66" s="6" t="s">
        <v>1059</v>
      </c>
      <c r="D66" s="6" t="s">
        <v>1060</v>
      </c>
      <c r="E66" s="8" t="s">
        <v>1442</v>
      </c>
      <c r="F66" s="8" t="s">
        <v>686</v>
      </c>
      <c r="G66" s="8" t="s">
        <v>684</v>
      </c>
      <c r="I66" s="7" t="str">
        <f>IF(B66&lt;&gt;"",CREATE_QUERY($B$1,A$2:G$2,A66:G66),"")</f>
        <v>INSERT INTO base_mast(hqof_idcd, base_idcd, base_code, base_name, prnt_idcd, line_stat, line_levl) VALUES ('N1000WINFO', 'N1000WINFO1201edu', 'edu', '교육적', '1201', '0', '1');</v>
      </c>
    </row>
    <row r="67" spans="1:9">
      <c r="A67" s="7" t="s">
        <v>1443</v>
      </c>
      <c r="B67" s="6" t="str">
        <f t="shared" si="0"/>
        <v>N1000WINFO1201ee</v>
      </c>
      <c r="C67" s="6" t="s">
        <v>1061</v>
      </c>
      <c r="D67" s="6" t="s">
        <v>1062</v>
      </c>
      <c r="E67" s="8" t="s">
        <v>1442</v>
      </c>
      <c r="F67" s="8" t="s">
        <v>686</v>
      </c>
      <c r="G67" s="8" t="s">
        <v>684</v>
      </c>
      <c r="I67" s="7" t="str">
        <f>IF(B67&lt;&gt;"",CREATE_QUERY($B$1,A$2:G$2,A67:G67),"")</f>
        <v>INSERT INTO base_mast(hqof_idcd, base_idcd, base_code, base_name, prnt_idcd, line_stat, line_levl) VALUES ('N1000WINFO', 'N1000WINFO1201ee', 'ee', '에스토니아', '1201', '0', '1');</v>
      </c>
    </row>
    <row r="68" spans="1:9">
      <c r="A68" s="7" t="s">
        <v>1443</v>
      </c>
      <c r="B68" s="6" t="str">
        <f t="shared" ref="B68:B131" si="1">A68&amp;E68&amp;C68</f>
        <v>N1000WINFO1201eg</v>
      </c>
      <c r="C68" s="6" t="s">
        <v>1063</v>
      </c>
      <c r="D68" s="6" t="s">
        <v>1064</v>
      </c>
      <c r="E68" s="8" t="s">
        <v>1442</v>
      </c>
      <c r="F68" s="8" t="s">
        <v>686</v>
      </c>
      <c r="G68" s="8" t="s">
        <v>684</v>
      </c>
      <c r="I68" s="7" t="str">
        <f>IF(B68&lt;&gt;"",CREATE_QUERY($B$1,A$2:G$2,A68:G68),"")</f>
        <v>INSERT INTO base_mast(hqof_idcd, base_idcd, base_code, base_name, prnt_idcd, line_stat, line_levl) VALUES ('N1000WINFO', 'N1000WINFO1201eg', 'eg', '이집트', '1201', '0', '1');</v>
      </c>
    </row>
    <row r="69" spans="1:9">
      <c r="A69" s="7" t="s">
        <v>1443</v>
      </c>
      <c r="B69" s="6" t="str">
        <f t="shared" si="1"/>
        <v>N1000WINFO1201eh</v>
      </c>
      <c r="C69" s="6" t="s">
        <v>1065</v>
      </c>
      <c r="D69" s="6" t="s">
        <v>1066</v>
      </c>
      <c r="E69" s="8" t="s">
        <v>1442</v>
      </c>
      <c r="F69" s="8" t="s">
        <v>686</v>
      </c>
      <c r="G69" s="8" t="s">
        <v>684</v>
      </c>
      <c r="I69" s="7" t="str">
        <f>IF(B69&lt;&gt;"",CREATE_QUERY($B$1,A$2:G$2,A69:G69),"")</f>
        <v>INSERT INTO base_mast(hqof_idcd, base_idcd, base_code, base_name, prnt_idcd, line_stat, line_levl) VALUES ('N1000WINFO', 'N1000WINFO1201eh', 'eh', '서사하라', '1201', '0', '1');</v>
      </c>
    </row>
    <row r="70" spans="1:9">
      <c r="A70" s="7" t="s">
        <v>1443</v>
      </c>
      <c r="B70" s="6" t="str">
        <f t="shared" si="1"/>
        <v>N1000WINFO1201er</v>
      </c>
      <c r="C70" s="6" t="s">
        <v>1067</v>
      </c>
      <c r="D70" s="6" t="s">
        <v>1068</v>
      </c>
      <c r="E70" s="8" t="s">
        <v>1442</v>
      </c>
      <c r="F70" s="8" t="s">
        <v>686</v>
      </c>
      <c r="G70" s="8" t="s">
        <v>684</v>
      </c>
      <c r="I70" s="7" t="str">
        <f>IF(B70&lt;&gt;"",CREATE_QUERY($B$1,A$2:G$2,A70:G70),"")</f>
        <v>INSERT INTO base_mast(hqof_idcd, base_idcd, base_code, base_name, prnt_idcd, line_stat, line_levl) VALUES ('N1000WINFO', 'N1000WINFO1201er', 'er', '에리트레아', '1201', '0', '1');</v>
      </c>
    </row>
    <row r="71" spans="1:9">
      <c r="A71" s="7" t="s">
        <v>1443</v>
      </c>
      <c r="B71" s="6" t="str">
        <f t="shared" si="1"/>
        <v>N1000WINFO1201es</v>
      </c>
      <c r="C71" s="6" t="s">
        <v>1069</v>
      </c>
      <c r="D71" s="6" t="s">
        <v>1070</v>
      </c>
      <c r="E71" s="8" t="s">
        <v>1442</v>
      </c>
      <c r="F71" s="8" t="s">
        <v>686</v>
      </c>
      <c r="G71" s="8" t="s">
        <v>684</v>
      </c>
      <c r="I71" s="7" t="str">
        <f>IF(B71&lt;&gt;"",CREATE_QUERY($B$1,A$2:G$2,A71:G71),"")</f>
        <v>INSERT INTO base_mast(hqof_idcd, base_idcd, base_code, base_name, prnt_idcd, line_stat, line_levl) VALUES ('N1000WINFO', 'N1000WINFO1201es', 'es', '스페인', '1201', '0', '1');</v>
      </c>
    </row>
    <row r="72" spans="1:9">
      <c r="A72" s="7" t="s">
        <v>1443</v>
      </c>
      <c r="B72" s="6" t="str">
        <f t="shared" si="1"/>
        <v>N1000WINFO1201et</v>
      </c>
      <c r="C72" s="6" t="s">
        <v>1071</v>
      </c>
      <c r="D72" s="6" t="s">
        <v>1072</v>
      </c>
      <c r="E72" s="8" t="s">
        <v>1442</v>
      </c>
      <c r="F72" s="8" t="s">
        <v>686</v>
      </c>
      <c r="G72" s="8" t="s">
        <v>684</v>
      </c>
      <c r="I72" s="7" t="str">
        <f>IF(B72&lt;&gt;"",CREATE_QUERY($B$1,A$2:G$2,A72:G72),"")</f>
        <v>INSERT INTO base_mast(hqof_idcd, base_idcd, base_code, base_name, prnt_idcd, line_stat, line_levl) VALUES ('N1000WINFO', 'N1000WINFO1201et', 'et', '에디오피아', '1201', '0', '1');</v>
      </c>
    </row>
    <row r="73" spans="1:9">
      <c r="A73" s="7" t="s">
        <v>1443</v>
      </c>
      <c r="B73" s="6" t="str">
        <f t="shared" si="1"/>
        <v>N1000WINFO1201fi</v>
      </c>
      <c r="C73" s="6" t="s">
        <v>1073</v>
      </c>
      <c r="D73" s="6" t="s">
        <v>1074</v>
      </c>
      <c r="E73" s="8" t="s">
        <v>1442</v>
      </c>
      <c r="F73" s="8" t="s">
        <v>686</v>
      </c>
      <c r="G73" s="8" t="s">
        <v>684</v>
      </c>
      <c r="I73" s="7" t="str">
        <f>IF(B73&lt;&gt;"",CREATE_QUERY($B$1,A$2:G$2,A73:G73),"")</f>
        <v>INSERT INTO base_mast(hqof_idcd, base_idcd, base_code, base_name, prnt_idcd, line_stat, line_levl) VALUES ('N1000WINFO', 'N1000WINFO1201fi', 'fi', '핀란드', '1201', '0', '1');</v>
      </c>
    </row>
    <row r="74" spans="1:9">
      <c r="A74" s="7" t="s">
        <v>1443</v>
      </c>
      <c r="B74" s="6" t="str">
        <f t="shared" si="1"/>
        <v>N1000WINFO1201fj</v>
      </c>
      <c r="C74" s="6" t="s">
        <v>1075</v>
      </c>
      <c r="D74" s="6" t="s">
        <v>1076</v>
      </c>
      <c r="E74" s="8" t="s">
        <v>1442</v>
      </c>
      <c r="F74" s="8" t="s">
        <v>686</v>
      </c>
      <c r="G74" s="8" t="s">
        <v>684</v>
      </c>
      <c r="I74" s="7" t="str">
        <f>IF(B74&lt;&gt;"",CREATE_QUERY($B$1,A$2:G$2,A74:G74),"")</f>
        <v>INSERT INTO base_mast(hqof_idcd, base_idcd, base_code, base_name, prnt_idcd, line_stat, line_levl) VALUES ('N1000WINFO', 'N1000WINFO1201fj', 'fj', '피지', '1201', '0', '1');</v>
      </c>
    </row>
    <row r="75" spans="1:9">
      <c r="A75" s="7" t="s">
        <v>1443</v>
      </c>
      <c r="B75" s="6" t="str">
        <f t="shared" si="1"/>
        <v>N1000WINFO1201fk</v>
      </c>
      <c r="C75" s="6" t="s">
        <v>1077</v>
      </c>
      <c r="D75" s="6" t="s">
        <v>1078</v>
      </c>
      <c r="E75" s="8" t="s">
        <v>1442</v>
      </c>
      <c r="F75" s="8" t="s">
        <v>686</v>
      </c>
      <c r="G75" s="8" t="s">
        <v>684</v>
      </c>
      <c r="I75" s="7" t="str">
        <f>IF(B75&lt;&gt;"",CREATE_QUERY($B$1,A$2:G$2,A75:G75),"")</f>
        <v>INSERT INTO base_mast(hqof_idcd, base_idcd, base_code, base_name, prnt_idcd, line_stat, line_levl) VALUES ('N1000WINFO', 'N1000WINFO1201fk', 'fk', '포클랜드', '1201', '0', '1');</v>
      </c>
    </row>
    <row r="76" spans="1:9">
      <c r="A76" s="7" t="s">
        <v>1443</v>
      </c>
      <c r="B76" s="6" t="str">
        <f t="shared" si="1"/>
        <v>N1000WINFO1201fm</v>
      </c>
      <c r="C76" s="6" t="s">
        <v>1079</v>
      </c>
      <c r="D76" s="6" t="s">
        <v>1080</v>
      </c>
      <c r="E76" s="8" t="s">
        <v>1442</v>
      </c>
      <c r="F76" s="8" t="s">
        <v>686</v>
      </c>
      <c r="G76" s="8" t="s">
        <v>684</v>
      </c>
      <c r="I76" s="7" t="str">
        <f>IF(B76&lt;&gt;"",CREATE_QUERY($B$1,A$2:G$2,A76:G76),"")</f>
        <v>INSERT INTO base_mast(hqof_idcd, base_idcd, base_code, base_name, prnt_idcd, line_stat, line_levl) VALUES ('N1000WINFO', 'N1000WINFO1201fm', 'fm', '마이크로네시아', '1201', '0', '1');</v>
      </c>
    </row>
    <row r="77" spans="1:9">
      <c r="A77" s="7" t="s">
        <v>1443</v>
      </c>
      <c r="B77" s="6" t="str">
        <f t="shared" si="1"/>
        <v>N1000WINFO1201fo</v>
      </c>
      <c r="C77" s="6" t="s">
        <v>1081</v>
      </c>
      <c r="D77" s="6" t="s">
        <v>1082</v>
      </c>
      <c r="E77" s="8" t="s">
        <v>1442</v>
      </c>
      <c r="F77" s="8" t="s">
        <v>686</v>
      </c>
      <c r="G77" s="8" t="s">
        <v>684</v>
      </c>
      <c r="I77" s="7" t="str">
        <f>IF(B77&lt;&gt;"",CREATE_QUERY($B$1,A$2:G$2,A77:G77),"")</f>
        <v>INSERT INTO base_mast(hqof_idcd, base_idcd, base_code, base_name, prnt_idcd, line_stat, line_levl) VALUES ('N1000WINFO', 'N1000WINFO1201fo', 'fo', '페로 군도', '1201', '0', '1');</v>
      </c>
    </row>
    <row r="78" spans="1:9">
      <c r="A78" s="7" t="s">
        <v>1443</v>
      </c>
      <c r="B78" s="6" t="str">
        <f t="shared" si="1"/>
        <v>N1000WINFO1201fr</v>
      </c>
      <c r="C78" s="6" t="s">
        <v>1083</v>
      </c>
      <c r="D78" s="6" t="s">
        <v>1084</v>
      </c>
      <c r="E78" s="8" t="s">
        <v>1442</v>
      </c>
      <c r="F78" s="8" t="s">
        <v>686</v>
      </c>
      <c r="G78" s="8" t="s">
        <v>684</v>
      </c>
      <c r="I78" s="7" t="str">
        <f>IF(B78&lt;&gt;"",CREATE_QUERY($B$1,A$2:G$2,A78:G78),"")</f>
        <v>INSERT INTO base_mast(hqof_idcd, base_idcd, base_code, base_name, prnt_idcd, line_stat, line_levl) VALUES ('N1000WINFO', 'N1000WINFO1201fr', 'fr', '프랑스', '1201', '0', '1');</v>
      </c>
    </row>
    <row r="79" spans="1:9">
      <c r="A79" s="7" t="s">
        <v>1443</v>
      </c>
      <c r="B79" s="6" t="str">
        <f t="shared" si="1"/>
        <v>N1000WINFO1201fx</v>
      </c>
      <c r="C79" s="6" t="s">
        <v>1085</v>
      </c>
      <c r="D79" s="6" t="s">
        <v>1086</v>
      </c>
      <c r="E79" s="8" t="s">
        <v>1442</v>
      </c>
      <c r="F79" s="8" t="s">
        <v>686</v>
      </c>
      <c r="G79" s="8" t="s">
        <v>684</v>
      </c>
      <c r="I79" s="7" t="str">
        <f>IF(B79&lt;&gt;"",CREATE_QUERY($B$1,A$2:G$2,A79:G79),"")</f>
        <v>INSERT INTO base_mast(hqof_idcd, base_idcd, base_code, base_name, prnt_idcd, line_stat, line_levl) VALUES ('N1000WINFO', 'N1000WINFO1201fx', 'fx', '프랑스(유럽 영토)', '1201', '0', '1');</v>
      </c>
    </row>
    <row r="80" spans="1:9">
      <c r="A80" s="7" t="s">
        <v>1443</v>
      </c>
      <c r="B80" s="6" t="str">
        <f t="shared" si="1"/>
        <v>N1000WINFO1201ga</v>
      </c>
      <c r="C80" s="6" t="s">
        <v>1087</v>
      </c>
      <c r="D80" s="6" t="s">
        <v>1088</v>
      </c>
      <c r="E80" s="8" t="s">
        <v>1442</v>
      </c>
      <c r="F80" s="8" t="s">
        <v>686</v>
      </c>
      <c r="G80" s="8" t="s">
        <v>684</v>
      </c>
      <c r="I80" s="7" t="str">
        <f>IF(B80&lt;&gt;"",CREATE_QUERY($B$1,A$2:G$2,A80:G80),"")</f>
        <v>INSERT INTO base_mast(hqof_idcd, base_idcd, base_code, base_name, prnt_idcd, line_stat, line_levl) VALUES ('N1000WINFO', 'N1000WINFO1201ga', 'ga', '가봉', '1201', '0', '1');</v>
      </c>
    </row>
    <row r="81" spans="1:9">
      <c r="A81" s="7" t="s">
        <v>1443</v>
      </c>
      <c r="B81" s="6" t="str">
        <f t="shared" si="1"/>
        <v>N1000WINFO1201gb</v>
      </c>
      <c r="C81" s="6" t="s">
        <v>30</v>
      </c>
      <c r="D81" s="6" t="s">
        <v>1089</v>
      </c>
      <c r="E81" s="8" t="s">
        <v>1442</v>
      </c>
      <c r="F81" s="8" t="s">
        <v>686</v>
      </c>
      <c r="G81" s="8" t="s">
        <v>684</v>
      </c>
      <c r="I81" s="7" t="str">
        <f>IF(B81&lt;&gt;"",CREATE_QUERY($B$1,A$2:G$2,A81:G81),"")</f>
        <v>INSERT INTO base_mast(hqof_idcd, base_idcd, base_code, base_name, prnt_idcd, line_stat, line_levl) VALUES ('N1000WINFO', 'N1000WINFO1201gb', 'gb', '영국', '1201', '0', '1');</v>
      </c>
    </row>
    <row r="82" spans="1:9">
      <c r="A82" s="7" t="s">
        <v>1443</v>
      </c>
      <c r="B82" s="6" t="str">
        <f t="shared" si="1"/>
        <v>N1000WINFO1201gd</v>
      </c>
      <c r="C82" s="6" t="s">
        <v>1090</v>
      </c>
      <c r="D82" s="6" t="s">
        <v>1091</v>
      </c>
      <c r="E82" s="8" t="s">
        <v>1442</v>
      </c>
      <c r="F82" s="8" t="s">
        <v>686</v>
      </c>
      <c r="G82" s="8" t="s">
        <v>684</v>
      </c>
      <c r="I82" s="7" t="str">
        <f>IF(B82&lt;&gt;"",CREATE_QUERY($B$1,A$2:G$2,A82:G82),"")</f>
        <v>INSERT INTO base_mast(hqof_idcd, base_idcd, base_code, base_name, prnt_idcd, line_stat, line_levl) VALUES ('N1000WINFO', 'N1000WINFO1201gd', 'gd', '그레나다', '1201', '0', '1');</v>
      </c>
    </row>
    <row r="83" spans="1:9">
      <c r="A83" s="7" t="s">
        <v>1443</v>
      </c>
      <c r="B83" s="6" t="str">
        <f t="shared" si="1"/>
        <v>N1000WINFO1201ge</v>
      </c>
      <c r="C83" s="6" t="s">
        <v>1092</v>
      </c>
      <c r="D83" s="6" t="s">
        <v>1093</v>
      </c>
      <c r="E83" s="8" t="s">
        <v>1442</v>
      </c>
      <c r="F83" s="8" t="s">
        <v>686</v>
      </c>
      <c r="G83" s="8" t="s">
        <v>684</v>
      </c>
      <c r="I83" s="7" t="str">
        <f>IF(B83&lt;&gt;"",CREATE_QUERY($B$1,A$2:G$2,A83:G83),"")</f>
        <v>INSERT INTO base_mast(hqof_idcd, base_idcd, base_code, base_name, prnt_idcd, line_stat, line_levl) VALUES ('N1000WINFO', 'N1000WINFO1201ge', 'ge', '그루지야', '1201', '0', '1');</v>
      </c>
    </row>
    <row r="84" spans="1:9">
      <c r="A84" s="7" t="s">
        <v>1443</v>
      </c>
      <c r="B84" s="6" t="str">
        <f t="shared" si="1"/>
        <v>N1000WINFO1201gf</v>
      </c>
      <c r="C84" s="6" t="s">
        <v>1094</v>
      </c>
      <c r="D84" s="6" t="s">
        <v>1095</v>
      </c>
      <c r="E84" s="8" t="s">
        <v>1442</v>
      </c>
      <c r="F84" s="8" t="s">
        <v>686</v>
      </c>
      <c r="G84" s="8" t="s">
        <v>684</v>
      </c>
      <c r="I84" s="7" t="str">
        <f>IF(B84&lt;&gt;"",CREATE_QUERY($B$1,A$2:G$2,A84:G84),"")</f>
        <v>INSERT INTO base_mast(hqof_idcd, base_idcd, base_code, base_name, prnt_idcd, line_stat, line_levl) VALUES ('N1000WINFO', 'N1000WINFO1201gf', 'gf', '프랑스령 가이아나', '1201', '0', '1');</v>
      </c>
    </row>
    <row r="85" spans="1:9">
      <c r="A85" s="7" t="s">
        <v>1443</v>
      </c>
      <c r="B85" s="6" t="str">
        <f t="shared" si="1"/>
        <v>N1000WINFO1201gh</v>
      </c>
      <c r="C85" s="6" t="s">
        <v>1096</v>
      </c>
      <c r="D85" s="6" t="s">
        <v>1097</v>
      </c>
      <c r="E85" s="8" t="s">
        <v>1442</v>
      </c>
      <c r="F85" s="8" t="s">
        <v>686</v>
      </c>
      <c r="G85" s="8" t="s">
        <v>684</v>
      </c>
      <c r="I85" s="7" t="str">
        <f>IF(B85&lt;&gt;"",CREATE_QUERY($B$1,A$2:G$2,A85:G85),"")</f>
        <v>INSERT INTO base_mast(hqof_idcd, base_idcd, base_code, base_name, prnt_idcd, line_stat, line_levl) VALUES ('N1000WINFO', 'N1000WINFO1201gh', 'gh', '가나', '1201', '0', '1');</v>
      </c>
    </row>
    <row r="86" spans="1:9">
      <c r="A86" s="7" t="s">
        <v>1443</v>
      </c>
      <c r="B86" s="6" t="str">
        <f t="shared" si="1"/>
        <v>N1000WINFO1201gi</v>
      </c>
      <c r="C86" s="6" t="s">
        <v>1098</v>
      </c>
      <c r="D86" s="6" t="s">
        <v>1099</v>
      </c>
      <c r="E86" s="8" t="s">
        <v>1442</v>
      </c>
      <c r="F86" s="8" t="s">
        <v>686</v>
      </c>
      <c r="G86" s="8" t="s">
        <v>684</v>
      </c>
      <c r="I86" s="7" t="str">
        <f>IF(B86&lt;&gt;"",CREATE_QUERY($B$1,A$2:G$2,A86:G86),"")</f>
        <v>INSERT INTO base_mast(hqof_idcd, base_idcd, base_code, base_name, prnt_idcd, line_stat, line_levl) VALUES ('N1000WINFO', 'N1000WINFO1201gi', 'gi', '지브랄타', '1201', '0', '1');</v>
      </c>
    </row>
    <row r="87" spans="1:9">
      <c r="A87" s="7" t="s">
        <v>1443</v>
      </c>
      <c r="B87" s="6" t="str">
        <f t="shared" si="1"/>
        <v>N1000WINFO1201gl</v>
      </c>
      <c r="C87" s="6" t="s">
        <v>1100</v>
      </c>
      <c r="D87" s="6" t="s">
        <v>1101</v>
      </c>
      <c r="E87" s="8" t="s">
        <v>1442</v>
      </c>
      <c r="F87" s="8" t="s">
        <v>686</v>
      </c>
      <c r="G87" s="8" t="s">
        <v>684</v>
      </c>
      <c r="I87" s="7" t="str">
        <f>IF(B87&lt;&gt;"",CREATE_QUERY($B$1,A$2:G$2,A87:G87),"")</f>
        <v>INSERT INTO base_mast(hqof_idcd, base_idcd, base_code, base_name, prnt_idcd, line_stat, line_levl) VALUES ('N1000WINFO', 'N1000WINFO1201gl', 'gl', '그린랜드', '1201', '0', '1');</v>
      </c>
    </row>
    <row r="88" spans="1:9">
      <c r="A88" s="7" t="s">
        <v>1443</v>
      </c>
      <c r="B88" s="6" t="str">
        <f t="shared" si="1"/>
        <v>N1000WINFO1201gm</v>
      </c>
      <c r="C88" s="6" t="s">
        <v>1102</v>
      </c>
      <c r="D88" s="6" t="s">
        <v>1103</v>
      </c>
      <c r="E88" s="8" t="s">
        <v>1442</v>
      </c>
      <c r="F88" s="8" t="s">
        <v>686</v>
      </c>
      <c r="G88" s="8" t="s">
        <v>684</v>
      </c>
      <c r="I88" s="7" t="str">
        <f>IF(B88&lt;&gt;"",CREATE_QUERY($B$1,A$2:G$2,A88:G88),"")</f>
        <v>INSERT INTO base_mast(hqof_idcd, base_idcd, base_code, base_name, prnt_idcd, line_stat, line_levl) VALUES ('N1000WINFO', 'N1000WINFO1201gm', 'gm', '감비아', '1201', '0', '1');</v>
      </c>
    </row>
    <row r="89" spans="1:9">
      <c r="A89" s="7" t="s">
        <v>1443</v>
      </c>
      <c r="B89" s="6" t="str">
        <f t="shared" si="1"/>
        <v>N1000WINFO1201gn</v>
      </c>
      <c r="C89" s="6" t="s">
        <v>1104</v>
      </c>
      <c r="D89" s="6" t="s">
        <v>1105</v>
      </c>
      <c r="E89" s="8" t="s">
        <v>1442</v>
      </c>
      <c r="F89" s="8" t="s">
        <v>686</v>
      </c>
      <c r="G89" s="8" t="s">
        <v>684</v>
      </c>
      <c r="I89" s="7" t="str">
        <f>IF(B89&lt;&gt;"",CREATE_QUERY($B$1,A$2:G$2,A89:G89),"")</f>
        <v>INSERT INTO base_mast(hqof_idcd, base_idcd, base_code, base_name, prnt_idcd, line_stat, line_levl) VALUES ('N1000WINFO', 'N1000WINFO1201gn', 'gn', '기니', '1201', '0', '1');</v>
      </c>
    </row>
    <row r="90" spans="1:9">
      <c r="A90" s="7" t="s">
        <v>1443</v>
      </c>
      <c r="B90" s="6" t="str">
        <f t="shared" si="1"/>
        <v>N1000WINFO1201gov</v>
      </c>
      <c r="C90" s="6" t="s">
        <v>1106</v>
      </c>
      <c r="D90" s="6" t="s">
        <v>1107</v>
      </c>
      <c r="E90" s="8" t="s">
        <v>1442</v>
      </c>
      <c r="F90" s="8" t="s">
        <v>686</v>
      </c>
      <c r="G90" s="8" t="s">
        <v>684</v>
      </c>
      <c r="I90" s="7" t="str">
        <f>IF(B90&lt;&gt;"",CREATE_QUERY($B$1,A$2:G$2,A90:G90),"")</f>
        <v>INSERT INTO base_mast(hqof_idcd, base_idcd, base_code, base_name, prnt_idcd, line_stat, line_levl) VALUES ('N1000WINFO', 'N1000WINFO1201gov', 'gov', '미 정부', '1201', '0', '1');</v>
      </c>
    </row>
    <row r="91" spans="1:9">
      <c r="A91" s="7" t="s">
        <v>1443</v>
      </c>
      <c r="B91" s="6" t="str">
        <f t="shared" si="1"/>
        <v>N1000WINFO1201gp</v>
      </c>
      <c r="C91" s="6" t="s">
        <v>1108</v>
      </c>
      <c r="D91" s="6" t="s">
        <v>1109</v>
      </c>
      <c r="E91" s="8" t="s">
        <v>1442</v>
      </c>
      <c r="F91" s="8" t="s">
        <v>686</v>
      </c>
      <c r="G91" s="8" t="s">
        <v>684</v>
      </c>
      <c r="I91" s="7" t="str">
        <f>IF(B91&lt;&gt;"",CREATE_QUERY($B$1,A$2:G$2,A91:G91),"")</f>
        <v>INSERT INTO base_mast(hqof_idcd, base_idcd, base_code, base_name, prnt_idcd, line_stat, line_levl) VALUES ('N1000WINFO', 'N1000WINFO1201gp', 'gp', '과달루프(프랑스령)', '1201', '0', '1');</v>
      </c>
    </row>
    <row r="92" spans="1:9">
      <c r="A92" s="7" t="s">
        <v>1443</v>
      </c>
      <c r="B92" s="6" t="str">
        <f t="shared" si="1"/>
        <v>N1000WINFO1201gq</v>
      </c>
      <c r="C92" s="6" t="s">
        <v>1110</v>
      </c>
      <c r="D92" s="6" t="s">
        <v>1111</v>
      </c>
      <c r="E92" s="8" t="s">
        <v>1442</v>
      </c>
      <c r="F92" s="8" t="s">
        <v>686</v>
      </c>
      <c r="G92" s="8" t="s">
        <v>684</v>
      </c>
      <c r="I92" s="7" t="str">
        <f>IF(B92&lt;&gt;"",CREATE_QUERY($B$1,A$2:G$2,A92:G92),"")</f>
        <v>INSERT INTO base_mast(hqof_idcd, base_idcd, base_code, base_name, prnt_idcd, line_stat, line_levl) VALUES ('N1000WINFO', 'N1000WINFO1201gq', 'gq', '적도 기니', '1201', '0', '1');</v>
      </c>
    </row>
    <row r="93" spans="1:9">
      <c r="A93" s="7" t="s">
        <v>1443</v>
      </c>
      <c r="B93" s="6" t="str">
        <f t="shared" si="1"/>
        <v>N1000WINFO1201gr</v>
      </c>
      <c r="C93" s="6" t="s">
        <v>1112</v>
      </c>
      <c r="D93" s="6" t="s">
        <v>1113</v>
      </c>
      <c r="E93" s="8" t="s">
        <v>1442</v>
      </c>
      <c r="F93" s="8" t="s">
        <v>686</v>
      </c>
      <c r="G93" s="8" t="s">
        <v>684</v>
      </c>
      <c r="I93" s="7" t="str">
        <f>IF(B93&lt;&gt;"",CREATE_QUERY($B$1,A$2:G$2,A93:G93),"")</f>
        <v>INSERT INTO base_mast(hqof_idcd, base_idcd, base_code, base_name, prnt_idcd, line_stat, line_levl) VALUES ('N1000WINFO', 'N1000WINFO1201gr', 'gr', '그리스', '1201', '0', '1');</v>
      </c>
    </row>
    <row r="94" spans="1:9">
      <c r="A94" s="7" t="s">
        <v>1443</v>
      </c>
      <c r="B94" s="6" t="str">
        <f t="shared" si="1"/>
        <v>N1000WINFO1201gt</v>
      </c>
      <c r="C94" s="6" t="s">
        <v>1114</v>
      </c>
      <c r="D94" s="6" t="s">
        <v>1115</v>
      </c>
      <c r="E94" s="8" t="s">
        <v>1442</v>
      </c>
      <c r="F94" s="8" t="s">
        <v>686</v>
      </c>
      <c r="G94" s="8" t="s">
        <v>684</v>
      </c>
      <c r="I94" s="7" t="str">
        <f>IF(B94&lt;&gt;"",CREATE_QUERY($B$1,A$2:G$2,A94:G94),"")</f>
        <v>INSERT INTO base_mast(hqof_idcd, base_idcd, base_code, base_name, prnt_idcd, line_stat, line_levl) VALUES ('N1000WINFO', 'N1000WINFO1201gt', 'gt', '과테말라', '1201', '0', '1');</v>
      </c>
    </row>
    <row r="95" spans="1:9">
      <c r="A95" s="7" t="s">
        <v>1443</v>
      </c>
      <c r="B95" s="6" t="str">
        <f t="shared" si="1"/>
        <v>N1000WINFO1201gu</v>
      </c>
      <c r="C95" s="6" t="s">
        <v>1116</v>
      </c>
      <c r="D95" s="6" t="s">
        <v>1117</v>
      </c>
      <c r="E95" s="8" t="s">
        <v>1442</v>
      </c>
      <c r="F95" s="8" t="s">
        <v>686</v>
      </c>
      <c r="G95" s="8" t="s">
        <v>684</v>
      </c>
      <c r="I95" s="7" t="str">
        <f>IF(B95&lt;&gt;"",CREATE_QUERY($B$1,A$2:G$2,A95:G95),"")</f>
        <v>INSERT INTO base_mast(hqof_idcd, base_idcd, base_code, base_name, prnt_idcd, line_stat, line_levl) VALUES ('N1000WINFO', 'N1000WINFO1201gu', 'gu', '괌(미국령)', '1201', '0', '1');</v>
      </c>
    </row>
    <row r="96" spans="1:9">
      <c r="A96" s="7" t="s">
        <v>1443</v>
      </c>
      <c r="B96" s="6" t="str">
        <f t="shared" si="1"/>
        <v>N1000WINFO1201gw</v>
      </c>
      <c r="C96" s="6" t="s">
        <v>1118</v>
      </c>
      <c r="D96" s="6" t="s">
        <v>1119</v>
      </c>
      <c r="E96" s="8" t="s">
        <v>1442</v>
      </c>
      <c r="F96" s="8" t="s">
        <v>686</v>
      </c>
      <c r="G96" s="8" t="s">
        <v>684</v>
      </c>
      <c r="I96" s="7" t="str">
        <f>IF(B96&lt;&gt;"",CREATE_QUERY($B$1,A$2:G$2,A96:G96),"")</f>
        <v>INSERT INTO base_mast(hqof_idcd, base_idcd, base_code, base_name, prnt_idcd, line_stat, line_levl) VALUES ('N1000WINFO', 'N1000WINFO1201gw', 'gw', '기니비사우', '1201', '0', '1');</v>
      </c>
    </row>
    <row r="97" spans="1:9">
      <c r="A97" s="7" t="s">
        <v>1443</v>
      </c>
      <c r="B97" s="6" t="str">
        <f t="shared" si="1"/>
        <v>N1000WINFO1201gy</v>
      </c>
      <c r="C97" s="6" t="s">
        <v>1120</v>
      </c>
      <c r="D97" s="6" t="s">
        <v>1121</v>
      </c>
      <c r="E97" s="8" t="s">
        <v>1442</v>
      </c>
      <c r="F97" s="8" t="s">
        <v>686</v>
      </c>
      <c r="G97" s="8" t="s">
        <v>684</v>
      </c>
      <c r="I97" s="7" t="str">
        <f>IF(B97&lt;&gt;"",CREATE_QUERY($B$1,A$2:G$2,A97:G97),"")</f>
        <v>INSERT INTO base_mast(hqof_idcd, base_idcd, base_code, base_name, prnt_idcd, line_stat, line_levl) VALUES ('N1000WINFO', 'N1000WINFO1201gy', 'gy', '가이아나', '1201', '0', '1');</v>
      </c>
    </row>
    <row r="98" spans="1:9">
      <c r="A98" s="7" t="s">
        <v>1443</v>
      </c>
      <c r="B98" s="6" t="str">
        <f t="shared" si="1"/>
        <v>N1000WINFO1201hk</v>
      </c>
      <c r="C98" s="6" t="s">
        <v>1122</v>
      </c>
      <c r="D98" s="6" t="s">
        <v>1123</v>
      </c>
      <c r="E98" s="8" t="s">
        <v>1442</v>
      </c>
      <c r="F98" s="8" t="s">
        <v>686</v>
      </c>
      <c r="G98" s="8" t="s">
        <v>684</v>
      </c>
      <c r="I98" s="7" t="str">
        <f>IF(B98&lt;&gt;"",CREATE_QUERY($B$1,A$2:G$2,A98:G98),"")</f>
        <v>INSERT INTO base_mast(hqof_idcd, base_idcd, base_code, base_name, prnt_idcd, line_stat, line_levl) VALUES ('N1000WINFO', 'N1000WINFO1201hk', 'hk', '홍콩', '1201', '0', '1');</v>
      </c>
    </row>
    <row r="99" spans="1:9">
      <c r="A99" s="7" t="s">
        <v>1443</v>
      </c>
      <c r="B99" s="6" t="str">
        <f t="shared" si="1"/>
        <v>N1000WINFO1201hm</v>
      </c>
      <c r="C99" s="6" t="s">
        <v>1124</v>
      </c>
      <c r="D99" s="6" t="s">
        <v>1125</v>
      </c>
      <c r="E99" s="8" t="s">
        <v>1442</v>
      </c>
      <c r="F99" s="8" t="s">
        <v>686</v>
      </c>
      <c r="G99" s="8" t="s">
        <v>684</v>
      </c>
      <c r="I99" s="7" t="str">
        <f>IF(B99&lt;&gt;"",CREATE_QUERY($B$1,A$2:G$2,A99:G99),"")</f>
        <v>INSERT INTO base_mast(hqof_idcd, base_idcd, base_code, base_name, prnt_idcd, line_stat, line_levl) VALUES ('N1000WINFO', 'N1000WINFO1201hm', 'hm', '허드 섬 및 맥도널드 군도', '1201', '0', '1');</v>
      </c>
    </row>
    <row r="100" spans="1:9">
      <c r="A100" s="7" t="s">
        <v>1443</v>
      </c>
      <c r="B100" s="6" t="str">
        <f t="shared" si="1"/>
        <v>N1000WINFO1201hn</v>
      </c>
      <c r="C100" s="6" t="s">
        <v>1126</v>
      </c>
      <c r="D100" s="6" t="s">
        <v>1127</v>
      </c>
      <c r="E100" s="8" t="s">
        <v>1442</v>
      </c>
      <c r="F100" s="8" t="s">
        <v>686</v>
      </c>
      <c r="G100" s="8" t="s">
        <v>684</v>
      </c>
      <c r="I100" s="7" t="str">
        <f>IF(B100&lt;&gt;"",CREATE_QUERY($B$1,A$2:G$2,A100:G100),"")</f>
        <v>INSERT INTO base_mast(hqof_idcd, base_idcd, base_code, base_name, prnt_idcd, line_stat, line_levl) VALUES ('N1000WINFO', 'N1000WINFO1201hn', 'hn', '온두라스', '1201', '0', '1');</v>
      </c>
    </row>
    <row r="101" spans="1:9">
      <c r="A101" s="7" t="s">
        <v>1443</v>
      </c>
      <c r="B101" s="6" t="str">
        <f t="shared" si="1"/>
        <v>N1000WINFO1201hr</v>
      </c>
      <c r="C101" s="6" t="s">
        <v>1128</v>
      </c>
      <c r="D101" s="6" t="s">
        <v>1129</v>
      </c>
      <c r="E101" s="8" t="s">
        <v>1442</v>
      </c>
      <c r="F101" s="8" t="s">
        <v>686</v>
      </c>
      <c r="G101" s="8" t="s">
        <v>684</v>
      </c>
      <c r="I101" s="7" t="str">
        <f>IF(B101&lt;&gt;"",CREATE_QUERY($B$1,A$2:G$2,A101:G101),"")</f>
        <v>INSERT INTO base_mast(hqof_idcd, base_idcd, base_code, base_name, prnt_idcd, line_stat, line_levl) VALUES ('N1000WINFO', 'N1000WINFO1201hr', 'hr', '크로아티아', '1201', '0', '1');</v>
      </c>
    </row>
    <row r="102" spans="1:9">
      <c r="A102" s="7" t="s">
        <v>1443</v>
      </c>
      <c r="B102" s="6" t="str">
        <f t="shared" si="1"/>
        <v>N1000WINFO1201ht</v>
      </c>
      <c r="C102" s="6" t="s">
        <v>1130</v>
      </c>
      <c r="D102" s="6" t="s">
        <v>1131</v>
      </c>
      <c r="E102" s="8" t="s">
        <v>1442</v>
      </c>
      <c r="F102" s="8" t="s">
        <v>686</v>
      </c>
      <c r="G102" s="8" t="s">
        <v>684</v>
      </c>
      <c r="I102" s="7" t="str">
        <f>IF(B102&lt;&gt;"",CREATE_QUERY($B$1,A$2:G$2,A102:G102),"")</f>
        <v>INSERT INTO base_mast(hqof_idcd, base_idcd, base_code, base_name, prnt_idcd, line_stat, line_levl) VALUES ('N1000WINFO', 'N1000WINFO1201ht', 'ht', '아이티', '1201', '0', '1');</v>
      </c>
    </row>
    <row r="103" spans="1:9">
      <c r="A103" s="7" t="s">
        <v>1443</v>
      </c>
      <c r="B103" s="6" t="str">
        <f t="shared" si="1"/>
        <v>N1000WINFO1201hu</v>
      </c>
      <c r="C103" s="6" t="s">
        <v>1132</v>
      </c>
      <c r="D103" s="6" t="s">
        <v>1133</v>
      </c>
      <c r="E103" s="8" t="s">
        <v>1442</v>
      </c>
      <c r="F103" s="8" t="s">
        <v>686</v>
      </c>
      <c r="G103" s="8" t="s">
        <v>684</v>
      </c>
      <c r="I103" s="7" t="str">
        <f>IF(B103&lt;&gt;"",CREATE_QUERY($B$1,A$2:G$2,A103:G103),"")</f>
        <v>INSERT INTO base_mast(hqof_idcd, base_idcd, base_code, base_name, prnt_idcd, line_stat, line_levl) VALUES ('N1000WINFO', 'N1000WINFO1201hu', 'hu', '헝가리', '1201', '0', '1');</v>
      </c>
    </row>
    <row r="104" spans="1:9">
      <c r="A104" s="7" t="s">
        <v>1443</v>
      </c>
      <c r="B104" s="6" t="str">
        <f t="shared" si="1"/>
        <v>N1000WINFO1201id</v>
      </c>
      <c r="C104" s="6" t="s">
        <v>1134</v>
      </c>
      <c r="D104" s="6" t="s">
        <v>1135</v>
      </c>
      <c r="E104" s="8" t="s">
        <v>1442</v>
      </c>
      <c r="F104" s="8" t="s">
        <v>686</v>
      </c>
      <c r="G104" s="8" t="s">
        <v>684</v>
      </c>
      <c r="I104" s="7" t="str">
        <f>IF(B104&lt;&gt;"",CREATE_QUERY($B$1,A$2:G$2,A104:G104),"")</f>
        <v>INSERT INTO base_mast(hqof_idcd, base_idcd, base_code, base_name, prnt_idcd, line_stat, line_levl) VALUES ('N1000WINFO', 'N1000WINFO1201id', 'id', '인도네시아', '1201', '0', '1');</v>
      </c>
    </row>
    <row r="105" spans="1:9">
      <c r="A105" s="7" t="s">
        <v>1443</v>
      </c>
      <c r="B105" s="6" t="str">
        <f t="shared" si="1"/>
        <v>N1000WINFO1201ie</v>
      </c>
      <c r="C105" s="6" t="s">
        <v>1136</v>
      </c>
      <c r="D105" s="6" t="s">
        <v>1137</v>
      </c>
      <c r="E105" s="8" t="s">
        <v>1442</v>
      </c>
      <c r="F105" s="8" t="s">
        <v>686</v>
      </c>
      <c r="G105" s="8" t="s">
        <v>684</v>
      </c>
      <c r="I105" s="7" t="str">
        <f>IF(B105&lt;&gt;"",CREATE_QUERY($B$1,A$2:G$2,A105:G105),"")</f>
        <v>INSERT INTO base_mast(hqof_idcd, base_idcd, base_code, base_name, prnt_idcd, line_stat, line_levl) VALUES ('N1000WINFO', 'N1000WINFO1201ie', 'ie', '아일랜드', '1201', '0', '1');</v>
      </c>
    </row>
    <row r="106" spans="1:9">
      <c r="A106" s="7" t="s">
        <v>1443</v>
      </c>
      <c r="B106" s="6" t="str">
        <f t="shared" si="1"/>
        <v>N1000WINFO1201il</v>
      </c>
      <c r="C106" s="6" t="s">
        <v>1138</v>
      </c>
      <c r="D106" s="6" t="s">
        <v>1139</v>
      </c>
      <c r="E106" s="8" t="s">
        <v>1442</v>
      </c>
      <c r="F106" s="8" t="s">
        <v>686</v>
      </c>
      <c r="G106" s="8" t="s">
        <v>684</v>
      </c>
      <c r="I106" s="7" t="str">
        <f>IF(B106&lt;&gt;"",CREATE_QUERY($B$1,A$2:G$2,A106:G106),"")</f>
        <v>INSERT INTO base_mast(hqof_idcd, base_idcd, base_code, base_name, prnt_idcd, line_stat, line_levl) VALUES ('N1000WINFO', 'N1000WINFO1201il', 'il', '이스라엘', '1201', '0', '1');</v>
      </c>
    </row>
    <row r="107" spans="1:9">
      <c r="A107" s="7" t="s">
        <v>1443</v>
      </c>
      <c r="B107" s="6" t="str">
        <f t="shared" si="1"/>
        <v>N1000WINFO1201in</v>
      </c>
      <c r="C107" s="6" t="s">
        <v>1140</v>
      </c>
      <c r="D107" s="6" t="s">
        <v>1141</v>
      </c>
      <c r="E107" s="8" t="s">
        <v>1442</v>
      </c>
      <c r="F107" s="8" t="s">
        <v>686</v>
      </c>
      <c r="G107" s="8" t="s">
        <v>684</v>
      </c>
      <c r="I107" s="7" t="str">
        <f>IF(B107&lt;&gt;"",CREATE_QUERY($B$1,A$2:G$2,A107:G107),"")</f>
        <v>INSERT INTO base_mast(hqof_idcd, base_idcd, base_code, base_name, prnt_idcd, line_stat, line_levl) VALUES ('N1000WINFO', 'N1000WINFO1201in', 'in', '인도', '1201', '0', '1');</v>
      </c>
    </row>
    <row r="108" spans="1:9">
      <c r="A108" s="7" t="s">
        <v>1443</v>
      </c>
      <c r="B108" s="6" t="str">
        <f t="shared" si="1"/>
        <v>N1000WINFO1201int</v>
      </c>
      <c r="C108" s="6" t="s">
        <v>1142</v>
      </c>
      <c r="D108" s="6" t="s">
        <v>1143</v>
      </c>
      <c r="E108" s="8" t="s">
        <v>1442</v>
      </c>
      <c r="F108" s="8" t="s">
        <v>686</v>
      </c>
      <c r="G108" s="8" t="s">
        <v>684</v>
      </c>
      <c r="I108" s="7" t="str">
        <f>IF(B108&lt;&gt;"",CREATE_QUERY($B$1,A$2:G$2,A108:G108),"")</f>
        <v>INSERT INTO base_mast(hqof_idcd, base_idcd, base_code, base_name, prnt_idcd, line_stat, line_levl) VALUES ('N1000WINFO', 'N1000WINFO1201int', 'int', '국제', '1201', '0', '1');</v>
      </c>
    </row>
    <row r="109" spans="1:9">
      <c r="A109" s="7" t="s">
        <v>1443</v>
      </c>
      <c r="B109" s="6" t="str">
        <f t="shared" si="1"/>
        <v>N1000WINFO1201io</v>
      </c>
      <c r="C109" s="6" t="s">
        <v>1144</v>
      </c>
      <c r="D109" s="6" t="s">
        <v>1145</v>
      </c>
      <c r="E109" s="8" t="s">
        <v>1442</v>
      </c>
      <c r="F109" s="8" t="s">
        <v>686</v>
      </c>
      <c r="G109" s="8" t="s">
        <v>684</v>
      </c>
      <c r="I109" s="7" t="str">
        <f>IF(B109&lt;&gt;"",CREATE_QUERY($B$1,A$2:G$2,A109:G109),"")</f>
        <v>INSERT INTO base_mast(hqof_idcd, base_idcd, base_code, base_name, prnt_idcd, line_stat, line_levl) VALUES ('N1000WINFO', 'N1000WINFO1201io', 'io', '영인도 제도', '1201', '0', '1');</v>
      </c>
    </row>
    <row r="110" spans="1:9">
      <c r="A110" s="7" t="s">
        <v>1443</v>
      </c>
      <c r="B110" s="6" t="str">
        <f t="shared" si="1"/>
        <v>N1000WINFO1201iq</v>
      </c>
      <c r="C110" s="6" t="s">
        <v>1146</v>
      </c>
      <c r="D110" s="6" t="s">
        <v>1147</v>
      </c>
      <c r="E110" s="8" t="s">
        <v>1442</v>
      </c>
      <c r="F110" s="8" t="s">
        <v>686</v>
      </c>
      <c r="G110" s="8" t="s">
        <v>684</v>
      </c>
      <c r="I110" s="7" t="str">
        <f>IF(B110&lt;&gt;"",CREATE_QUERY($B$1,A$2:G$2,A110:G110),"")</f>
        <v>INSERT INTO base_mast(hqof_idcd, base_idcd, base_code, base_name, prnt_idcd, line_stat, line_levl) VALUES ('N1000WINFO', 'N1000WINFO1201iq', 'iq', '이라크', '1201', '0', '1');</v>
      </c>
    </row>
    <row r="111" spans="1:9">
      <c r="A111" s="7" t="s">
        <v>1443</v>
      </c>
      <c r="B111" s="6" t="str">
        <f t="shared" si="1"/>
        <v>N1000WINFO1201ir</v>
      </c>
      <c r="C111" s="6" t="s">
        <v>1148</v>
      </c>
      <c r="D111" s="6" t="s">
        <v>1149</v>
      </c>
      <c r="E111" s="8" t="s">
        <v>1442</v>
      </c>
      <c r="F111" s="8" t="s">
        <v>686</v>
      </c>
      <c r="G111" s="8" t="s">
        <v>684</v>
      </c>
      <c r="I111" s="7" t="str">
        <f>IF(B111&lt;&gt;"",CREATE_QUERY($B$1,A$2:G$2,A111:G111),"")</f>
        <v>INSERT INTO base_mast(hqof_idcd, base_idcd, base_code, base_name, prnt_idcd, line_stat, line_levl) VALUES ('N1000WINFO', 'N1000WINFO1201ir', 'ir', '이란', '1201', '0', '1');</v>
      </c>
    </row>
    <row r="112" spans="1:9">
      <c r="A112" s="7" t="s">
        <v>1443</v>
      </c>
      <c r="B112" s="6" t="str">
        <f t="shared" si="1"/>
        <v>N1000WINFO1201is</v>
      </c>
      <c r="C112" s="6" t="s">
        <v>1150</v>
      </c>
      <c r="D112" s="6" t="s">
        <v>1151</v>
      </c>
      <c r="E112" s="8" t="s">
        <v>1442</v>
      </c>
      <c r="F112" s="8" t="s">
        <v>686</v>
      </c>
      <c r="G112" s="8" t="s">
        <v>684</v>
      </c>
      <c r="I112" s="7" t="str">
        <f>IF(B112&lt;&gt;"",CREATE_QUERY($B$1,A$2:G$2,A112:G112),"")</f>
        <v>INSERT INTO base_mast(hqof_idcd, base_idcd, base_code, base_name, prnt_idcd, line_stat, line_levl) VALUES ('N1000WINFO', 'N1000WINFO1201is', 'is', '아이슬란드', '1201', '0', '1');</v>
      </c>
    </row>
    <row r="113" spans="1:9">
      <c r="A113" s="7" t="s">
        <v>1443</v>
      </c>
      <c r="B113" s="6" t="str">
        <f t="shared" si="1"/>
        <v>N1000WINFO1201it</v>
      </c>
      <c r="C113" s="6" t="s">
        <v>1152</v>
      </c>
      <c r="D113" s="6" t="s">
        <v>1153</v>
      </c>
      <c r="E113" s="8" t="s">
        <v>1442</v>
      </c>
      <c r="F113" s="8" t="s">
        <v>686</v>
      </c>
      <c r="G113" s="8" t="s">
        <v>684</v>
      </c>
      <c r="I113" s="7" t="str">
        <f>IF(B113&lt;&gt;"",CREATE_QUERY($B$1,A$2:G$2,A113:G113),"")</f>
        <v>INSERT INTO base_mast(hqof_idcd, base_idcd, base_code, base_name, prnt_idcd, line_stat, line_levl) VALUES ('N1000WINFO', 'N1000WINFO1201it', 'it', '이탈리아', '1201', '0', '1');</v>
      </c>
    </row>
    <row r="114" spans="1:9">
      <c r="A114" s="7" t="s">
        <v>1443</v>
      </c>
      <c r="B114" s="6" t="str">
        <f t="shared" si="1"/>
        <v>N1000WINFO1201jm</v>
      </c>
      <c r="C114" s="6" t="s">
        <v>1154</v>
      </c>
      <c r="D114" s="6" t="s">
        <v>1155</v>
      </c>
      <c r="E114" s="8" t="s">
        <v>1442</v>
      </c>
      <c r="F114" s="8" t="s">
        <v>686</v>
      </c>
      <c r="G114" s="8" t="s">
        <v>684</v>
      </c>
      <c r="I114" s="7" t="str">
        <f>IF(B114&lt;&gt;"",CREATE_QUERY($B$1,A$2:G$2,A114:G114),"")</f>
        <v>INSERT INTO base_mast(hqof_idcd, base_idcd, base_code, base_name, prnt_idcd, line_stat, line_levl) VALUES ('N1000WINFO', 'N1000WINFO1201jm', 'jm', '자메이카', '1201', '0', '1');</v>
      </c>
    </row>
    <row r="115" spans="1:9">
      <c r="A115" s="7" t="s">
        <v>1443</v>
      </c>
      <c r="B115" s="6" t="str">
        <f t="shared" si="1"/>
        <v>N1000WINFO1201jo</v>
      </c>
      <c r="C115" s="6" t="s">
        <v>1156</v>
      </c>
      <c r="D115" s="6" t="s">
        <v>1157</v>
      </c>
      <c r="E115" s="8" t="s">
        <v>1442</v>
      </c>
      <c r="F115" s="8" t="s">
        <v>686</v>
      </c>
      <c r="G115" s="8" t="s">
        <v>684</v>
      </c>
      <c r="I115" s="7" t="str">
        <f>IF(B115&lt;&gt;"",CREATE_QUERY($B$1,A$2:G$2,A115:G115),"")</f>
        <v>INSERT INTO base_mast(hqof_idcd, base_idcd, base_code, base_name, prnt_idcd, line_stat, line_levl) VALUES ('N1000WINFO', 'N1000WINFO1201jo', 'jo', '요르단', '1201', '0', '1');</v>
      </c>
    </row>
    <row r="116" spans="1:9">
      <c r="A116" s="7" t="s">
        <v>1443</v>
      </c>
      <c r="B116" s="6" t="str">
        <f t="shared" si="1"/>
        <v>N1000WINFO1201jp</v>
      </c>
      <c r="C116" s="6" t="s">
        <v>1158</v>
      </c>
      <c r="D116" s="6" t="s">
        <v>1159</v>
      </c>
      <c r="E116" s="8" t="s">
        <v>1442</v>
      </c>
      <c r="F116" s="8" t="s">
        <v>686</v>
      </c>
      <c r="G116" s="8" t="s">
        <v>684</v>
      </c>
      <c r="I116" s="7" t="str">
        <f>IF(B116&lt;&gt;"",CREATE_QUERY($B$1,A$2:G$2,A116:G116),"")</f>
        <v>INSERT INTO base_mast(hqof_idcd, base_idcd, base_code, base_name, prnt_idcd, line_stat, line_levl) VALUES ('N1000WINFO', 'N1000WINFO1201jp', 'jp', '일본', '1201', '0', '1');</v>
      </c>
    </row>
    <row r="117" spans="1:9">
      <c r="A117" s="7" t="s">
        <v>1443</v>
      </c>
      <c r="B117" s="6" t="str">
        <f t="shared" si="1"/>
        <v>N1000WINFO1201ke</v>
      </c>
      <c r="C117" s="6" t="s">
        <v>1160</v>
      </c>
      <c r="D117" s="6" t="s">
        <v>1161</v>
      </c>
      <c r="E117" s="8" t="s">
        <v>1442</v>
      </c>
      <c r="F117" s="8" t="s">
        <v>686</v>
      </c>
      <c r="G117" s="8" t="s">
        <v>684</v>
      </c>
      <c r="I117" s="7" t="str">
        <f>IF(B117&lt;&gt;"",CREATE_QUERY($B$1,A$2:G$2,A117:G117),"")</f>
        <v>INSERT INTO base_mast(hqof_idcd, base_idcd, base_code, base_name, prnt_idcd, line_stat, line_levl) VALUES ('N1000WINFO', 'N1000WINFO1201ke', 'ke', '케냐', '1201', '0', '1');</v>
      </c>
    </row>
    <row r="118" spans="1:9">
      <c r="A118" s="7" t="s">
        <v>1443</v>
      </c>
      <c r="B118" s="6" t="str">
        <f t="shared" si="1"/>
        <v>N1000WINFO1201kg</v>
      </c>
      <c r="C118" s="6" t="s">
        <v>1162</v>
      </c>
      <c r="D118" s="6" t="s">
        <v>1163</v>
      </c>
      <c r="E118" s="8" t="s">
        <v>1442</v>
      </c>
      <c r="F118" s="8" t="s">
        <v>686</v>
      </c>
      <c r="G118" s="8" t="s">
        <v>684</v>
      </c>
      <c r="I118" s="7" t="str">
        <f>IF(B118&lt;&gt;"",CREATE_QUERY($B$1,A$2:G$2,A118:G118),"")</f>
        <v>INSERT INTO base_mast(hqof_idcd, base_idcd, base_code, base_name, prnt_idcd, line_stat, line_levl) VALUES ('N1000WINFO', 'N1000WINFO1201kg', 'kg', '키르기스스탄', '1201', '0', '1');</v>
      </c>
    </row>
    <row r="119" spans="1:9">
      <c r="A119" s="7" t="s">
        <v>1443</v>
      </c>
      <c r="B119" s="6" t="str">
        <f t="shared" si="1"/>
        <v>N1000WINFO1201kh</v>
      </c>
      <c r="C119" s="6" t="s">
        <v>1164</v>
      </c>
      <c r="D119" s="6" t="s">
        <v>1165</v>
      </c>
      <c r="E119" s="8" t="s">
        <v>1442</v>
      </c>
      <c r="F119" s="8" t="s">
        <v>686</v>
      </c>
      <c r="G119" s="8" t="s">
        <v>684</v>
      </c>
      <c r="I119" s="7" t="str">
        <f>IF(B119&lt;&gt;"",CREATE_QUERY($B$1,A$2:G$2,A119:G119),"")</f>
        <v>INSERT INTO base_mast(hqof_idcd, base_idcd, base_code, base_name, prnt_idcd, line_stat, line_levl) VALUES ('N1000WINFO', 'N1000WINFO1201kh', 'kh', '캄보디아', '1201', '0', '1');</v>
      </c>
    </row>
    <row r="120" spans="1:9">
      <c r="A120" s="7" t="s">
        <v>1443</v>
      </c>
      <c r="B120" s="6" t="str">
        <f t="shared" si="1"/>
        <v>N1000WINFO1201ki</v>
      </c>
      <c r="C120" s="6" t="s">
        <v>1166</v>
      </c>
      <c r="D120" s="6" t="s">
        <v>1167</v>
      </c>
      <c r="E120" s="8" t="s">
        <v>1442</v>
      </c>
      <c r="F120" s="8" t="s">
        <v>686</v>
      </c>
      <c r="G120" s="8" t="s">
        <v>684</v>
      </c>
      <c r="I120" s="7" t="str">
        <f>IF(B120&lt;&gt;"",CREATE_QUERY($B$1,A$2:G$2,A120:G120),"")</f>
        <v>INSERT INTO base_mast(hqof_idcd, base_idcd, base_code, base_name, prnt_idcd, line_stat, line_levl) VALUES ('N1000WINFO', 'N1000WINFO1201ki', 'ki', '키리바시', '1201', '0', '1');</v>
      </c>
    </row>
    <row r="121" spans="1:9">
      <c r="A121" s="7" t="s">
        <v>1443</v>
      </c>
      <c r="B121" s="6" t="str">
        <f t="shared" si="1"/>
        <v>N1000WINFO1201km</v>
      </c>
      <c r="C121" s="6" t="s">
        <v>1168</v>
      </c>
      <c r="D121" s="6" t="s">
        <v>1169</v>
      </c>
      <c r="E121" s="8" t="s">
        <v>1442</v>
      </c>
      <c r="F121" s="8" t="s">
        <v>686</v>
      </c>
      <c r="G121" s="8" t="s">
        <v>684</v>
      </c>
      <c r="I121" s="7" t="str">
        <f>IF(B121&lt;&gt;"",CREATE_QUERY($B$1,A$2:G$2,A121:G121),"")</f>
        <v>INSERT INTO base_mast(hqof_idcd, base_idcd, base_code, base_name, prnt_idcd, line_stat, line_levl) VALUES ('N1000WINFO', 'N1000WINFO1201km', 'km', '코모로', '1201', '0', '1');</v>
      </c>
    </row>
    <row r="122" spans="1:9">
      <c r="A122" s="7" t="s">
        <v>1443</v>
      </c>
      <c r="B122" s="6" t="str">
        <f t="shared" si="1"/>
        <v>N1000WINFO1201kn</v>
      </c>
      <c r="C122" s="6" t="s">
        <v>1170</v>
      </c>
      <c r="D122" s="6" t="s">
        <v>1171</v>
      </c>
      <c r="E122" s="8" t="s">
        <v>1442</v>
      </c>
      <c r="F122" s="8" t="s">
        <v>686</v>
      </c>
      <c r="G122" s="8" t="s">
        <v>684</v>
      </c>
      <c r="I122" s="7" t="str">
        <f>IF(B122&lt;&gt;"",CREATE_QUERY($B$1,A$2:G$2,A122:G122),"")</f>
        <v>INSERT INTO base_mast(hqof_idcd, base_idcd, base_code, base_name, prnt_idcd, line_stat, line_levl) VALUES ('N1000WINFO', 'N1000WINFO1201kn', 'kn', '세인트 크리스토퍼 네비스', '1201', '0', '1');</v>
      </c>
    </row>
    <row r="123" spans="1:9">
      <c r="A123" s="7" t="s">
        <v>1443</v>
      </c>
      <c r="B123" s="6" t="str">
        <f t="shared" si="1"/>
        <v>N1000WINFO1201kp</v>
      </c>
      <c r="C123" s="6" t="s">
        <v>1172</v>
      </c>
      <c r="D123" s="6" t="s">
        <v>1173</v>
      </c>
      <c r="E123" s="8" t="s">
        <v>1442</v>
      </c>
      <c r="F123" s="8" t="s">
        <v>686</v>
      </c>
      <c r="G123" s="8" t="s">
        <v>684</v>
      </c>
      <c r="I123" s="7" t="str">
        <f>IF(B123&lt;&gt;"",CREATE_QUERY($B$1,A$2:G$2,A123:G123),"")</f>
        <v>INSERT INTO base_mast(hqof_idcd, base_idcd, base_code, base_name, prnt_idcd, line_stat, line_levl) VALUES ('N1000WINFO', 'N1000WINFO1201kp', 'kp', '북한', '1201', '0', '1');</v>
      </c>
    </row>
    <row r="124" spans="1:9">
      <c r="A124" s="7" t="s">
        <v>1443</v>
      </c>
      <c r="B124" s="6" t="str">
        <f t="shared" si="1"/>
        <v>N1000WINFO1201kr</v>
      </c>
      <c r="C124" s="6" t="s">
        <v>1174</v>
      </c>
      <c r="D124" s="6" t="s">
        <v>1175</v>
      </c>
      <c r="E124" s="8" t="s">
        <v>1442</v>
      </c>
      <c r="F124" s="8" t="s">
        <v>686</v>
      </c>
      <c r="G124" s="8" t="s">
        <v>684</v>
      </c>
      <c r="I124" s="7" t="str">
        <f>IF(B124&lt;&gt;"",CREATE_QUERY($B$1,A$2:G$2,A124:G124),"")</f>
        <v>INSERT INTO base_mast(hqof_idcd, base_idcd, base_code, base_name, prnt_idcd, line_stat, line_levl) VALUES ('N1000WINFO', 'N1000WINFO1201kr', 'kr', '남한', '1201', '0', '1');</v>
      </c>
    </row>
    <row r="125" spans="1:9">
      <c r="A125" s="7" t="s">
        <v>1443</v>
      </c>
      <c r="B125" s="6" t="str">
        <f t="shared" si="1"/>
        <v>N1000WINFO1201kw</v>
      </c>
      <c r="C125" s="6" t="s">
        <v>1176</v>
      </c>
      <c r="D125" s="6" t="s">
        <v>1177</v>
      </c>
      <c r="E125" s="8" t="s">
        <v>1442</v>
      </c>
      <c r="F125" s="8" t="s">
        <v>686</v>
      </c>
      <c r="G125" s="8" t="s">
        <v>684</v>
      </c>
      <c r="I125" s="7" t="str">
        <f>IF(B125&lt;&gt;"",CREATE_QUERY($B$1,A$2:G$2,A125:G125),"")</f>
        <v>INSERT INTO base_mast(hqof_idcd, base_idcd, base_code, base_name, prnt_idcd, line_stat, line_levl) VALUES ('N1000WINFO', 'N1000WINFO1201kw', 'kw', '쿠웨이트', '1201', '0', '1');</v>
      </c>
    </row>
    <row r="126" spans="1:9">
      <c r="A126" s="7" t="s">
        <v>1443</v>
      </c>
      <c r="B126" s="6" t="str">
        <f t="shared" si="1"/>
        <v>N1000WINFO1201ky</v>
      </c>
      <c r="C126" s="6" t="s">
        <v>1178</v>
      </c>
      <c r="D126" s="6" t="s">
        <v>1179</v>
      </c>
      <c r="E126" s="8" t="s">
        <v>1442</v>
      </c>
      <c r="F126" s="8" t="s">
        <v>686</v>
      </c>
      <c r="G126" s="8" t="s">
        <v>684</v>
      </c>
      <c r="I126" s="7" t="str">
        <f>IF(B126&lt;&gt;"",CREATE_QUERY($B$1,A$2:G$2,A126:G126),"")</f>
        <v>INSERT INTO base_mast(hqof_idcd, base_idcd, base_code, base_name, prnt_idcd, line_stat, line_levl) VALUES ('N1000WINFO', 'N1000WINFO1201ky', 'ky', '카이만 군도', '1201', '0', '1');</v>
      </c>
    </row>
    <row r="127" spans="1:9">
      <c r="A127" s="7" t="s">
        <v>1443</v>
      </c>
      <c r="B127" s="6" t="str">
        <f t="shared" si="1"/>
        <v>N1000WINFO1201kz</v>
      </c>
      <c r="C127" s="6" t="s">
        <v>1180</v>
      </c>
      <c r="D127" s="6" t="s">
        <v>1181</v>
      </c>
      <c r="E127" s="8" t="s">
        <v>1442</v>
      </c>
      <c r="F127" s="8" t="s">
        <v>686</v>
      </c>
      <c r="G127" s="8" t="s">
        <v>684</v>
      </c>
      <c r="I127" s="7" t="str">
        <f>IF(B127&lt;&gt;"",CREATE_QUERY($B$1,A$2:G$2,A127:G127),"")</f>
        <v>INSERT INTO base_mast(hqof_idcd, base_idcd, base_code, base_name, prnt_idcd, line_stat, line_levl) VALUES ('N1000WINFO', 'N1000WINFO1201kz', 'kz', '카자흐스탄', '1201', '0', '1');</v>
      </c>
    </row>
    <row r="128" spans="1:9">
      <c r="A128" s="7" t="s">
        <v>1443</v>
      </c>
      <c r="B128" s="6" t="str">
        <f t="shared" si="1"/>
        <v>N1000WINFO1201la</v>
      </c>
      <c r="C128" s="6" t="s">
        <v>1182</v>
      </c>
      <c r="D128" s="6" t="s">
        <v>1183</v>
      </c>
      <c r="E128" s="8" t="s">
        <v>1442</v>
      </c>
      <c r="F128" s="8" t="s">
        <v>686</v>
      </c>
      <c r="G128" s="8" t="s">
        <v>684</v>
      </c>
      <c r="I128" s="7" t="str">
        <f>IF(B128&lt;&gt;"",CREATE_QUERY($B$1,A$2:G$2,A128:G128),"")</f>
        <v>INSERT INTO base_mast(hqof_idcd, base_idcd, base_code, base_name, prnt_idcd, line_stat, line_levl) VALUES ('N1000WINFO', 'N1000WINFO1201la', 'la', '라오스', '1201', '0', '1');</v>
      </c>
    </row>
    <row r="129" spans="1:9">
      <c r="A129" s="7" t="s">
        <v>1443</v>
      </c>
      <c r="B129" s="6" t="str">
        <f t="shared" si="1"/>
        <v>N1000WINFO1201lb</v>
      </c>
      <c r="C129" s="6" t="s">
        <v>1184</v>
      </c>
      <c r="D129" s="6" t="s">
        <v>1185</v>
      </c>
      <c r="E129" s="8" t="s">
        <v>1442</v>
      </c>
      <c r="F129" s="8" t="s">
        <v>686</v>
      </c>
      <c r="G129" s="8" t="s">
        <v>684</v>
      </c>
      <c r="I129" s="7" t="str">
        <f>IF(B129&lt;&gt;"",CREATE_QUERY($B$1,A$2:G$2,A129:G129),"")</f>
        <v>INSERT INTO base_mast(hqof_idcd, base_idcd, base_code, base_name, prnt_idcd, line_stat, line_levl) VALUES ('N1000WINFO', 'N1000WINFO1201lb', 'lb', '레바논', '1201', '0', '1');</v>
      </c>
    </row>
    <row r="130" spans="1:9">
      <c r="A130" s="7" t="s">
        <v>1443</v>
      </c>
      <c r="B130" s="6" t="str">
        <f t="shared" si="1"/>
        <v>N1000WINFO1201lc</v>
      </c>
      <c r="C130" s="6" t="s">
        <v>1186</v>
      </c>
      <c r="D130" s="6" t="s">
        <v>1187</v>
      </c>
      <c r="E130" s="8" t="s">
        <v>1442</v>
      </c>
      <c r="F130" s="8" t="s">
        <v>686</v>
      </c>
      <c r="G130" s="8" t="s">
        <v>684</v>
      </c>
      <c r="I130" s="7" t="str">
        <f>IF(B130&lt;&gt;"",CREATE_QUERY($B$1,A$2:G$2,A130:G130),"")</f>
        <v>INSERT INTO base_mast(hqof_idcd, base_idcd, base_code, base_name, prnt_idcd, line_stat, line_levl) VALUES ('N1000WINFO', 'N1000WINFO1201lc', 'lc', '세인트 루시아', '1201', '0', '1');</v>
      </c>
    </row>
    <row r="131" spans="1:9">
      <c r="A131" s="7" t="s">
        <v>1443</v>
      </c>
      <c r="B131" s="6" t="str">
        <f t="shared" si="1"/>
        <v>N1000WINFO1201li</v>
      </c>
      <c r="C131" s="6" t="s">
        <v>1188</v>
      </c>
      <c r="D131" s="6" t="s">
        <v>1189</v>
      </c>
      <c r="E131" s="8" t="s">
        <v>1442</v>
      </c>
      <c r="F131" s="8" t="s">
        <v>686</v>
      </c>
      <c r="G131" s="8" t="s">
        <v>684</v>
      </c>
      <c r="I131" s="7" t="str">
        <f>IF(B131&lt;&gt;"",CREATE_QUERY($B$1,A$2:G$2,A131:G131),"")</f>
        <v>INSERT INTO base_mast(hqof_idcd, base_idcd, base_code, base_name, prnt_idcd, line_stat, line_levl) VALUES ('N1000WINFO', 'N1000WINFO1201li', 'li', '리히텐슈타인', '1201', '0', '1');</v>
      </c>
    </row>
    <row r="132" spans="1:9">
      <c r="A132" s="7" t="s">
        <v>1443</v>
      </c>
      <c r="B132" s="6" t="str">
        <f t="shared" ref="B132:B195" si="2">A132&amp;E132&amp;C132</f>
        <v>N1000WINFO1201lk</v>
      </c>
      <c r="C132" s="6" t="s">
        <v>1190</v>
      </c>
      <c r="D132" s="6" t="s">
        <v>1191</v>
      </c>
      <c r="E132" s="8" t="s">
        <v>1442</v>
      </c>
      <c r="F132" s="8" t="s">
        <v>686</v>
      </c>
      <c r="G132" s="8" t="s">
        <v>684</v>
      </c>
      <c r="I132" s="7" t="str">
        <f>IF(B132&lt;&gt;"",CREATE_QUERY($B$1,A$2:G$2,A132:G132),"")</f>
        <v>INSERT INTO base_mast(hqof_idcd, base_idcd, base_code, base_name, prnt_idcd, line_stat, line_levl) VALUES ('N1000WINFO', 'N1000WINFO1201lk', 'lk', '스리랑카', '1201', '0', '1');</v>
      </c>
    </row>
    <row r="133" spans="1:9">
      <c r="A133" s="7" t="s">
        <v>1443</v>
      </c>
      <c r="B133" s="6" t="str">
        <f t="shared" si="2"/>
        <v>N1000WINFO1201lr</v>
      </c>
      <c r="C133" s="6" t="s">
        <v>1192</v>
      </c>
      <c r="D133" s="6" t="s">
        <v>1193</v>
      </c>
      <c r="E133" s="8" t="s">
        <v>1442</v>
      </c>
      <c r="F133" s="8" t="s">
        <v>686</v>
      </c>
      <c r="G133" s="8" t="s">
        <v>684</v>
      </c>
      <c r="I133" s="7" t="str">
        <f>IF(B133&lt;&gt;"",CREATE_QUERY($B$1,A$2:G$2,A133:G133),"")</f>
        <v>INSERT INTO base_mast(hqof_idcd, base_idcd, base_code, base_name, prnt_idcd, line_stat, line_levl) VALUES ('N1000WINFO', 'N1000WINFO1201lr', 'lr', '라이베리아', '1201', '0', '1');</v>
      </c>
    </row>
    <row r="134" spans="1:9">
      <c r="A134" s="7" t="s">
        <v>1443</v>
      </c>
      <c r="B134" s="6" t="str">
        <f t="shared" si="2"/>
        <v>N1000WINFO1201ls</v>
      </c>
      <c r="C134" s="6" t="s">
        <v>1194</v>
      </c>
      <c r="D134" s="6" t="s">
        <v>1195</v>
      </c>
      <c r="E134" s="8" t="s">
        <v>1442</v>
      </c>
      <c r="F134" s="8" t="s">
        <v>686</v>
      </c>
      <c r="G134" s="8" t="s">
        <v>684</v>
      </c>
      <c r="I134" s="7" t="str">
        <f>IF(B134&lt;&gt;"",CREATE_QUERY($B$1,A$2:G$2,A134:G134),"")</f>
        <v>INSERT INTO base_mast(hqof_idcd, base_idcd, base_code, base_name, prnt_idcd, line_stat, line_levl) VALUES ('N1000WINFO', 'N1000WINFO1201ls', 'ls', '레소토', '1201', '0', '1');</v>
      </c>
    </row>
    <row r="135" spans="1:9">
      <c r="A135" s="7" t="s">
        <v>1443</v>
      </c>
      <c r="B135" s="6" t="str">
        <f t="shared" si="2"/>
        <v>N1000WINFO1201lt</v>
      </c>
      <c r="C135" s="6" t="s">
        <v>1196</v>
      </c>
      <c r="D135" s="6" t="s">
        <v>1197</v>
      </c>
      <c r="E135" s="8" t="s">
        <v>1442</v>
      </c>
      <c r="F135" s="8" t="s">
        <v>686</v>
      </c>
      <c r="G135" s="8" t="s">
        <v>684</v>
      </c>
      <c r="I135" s="7" t="str">
        <f>IF(B135&lt;&gt;"",CREATE_QUERY($B$1,A$2:G$2,A135:G135),"")</f>
        <v>INSERT INTO base_mast(hqof_idcd, base_idcd, base_code, base_name, prnt_idcd, line_stat, line_levl) VALUES ('N1000WINFO', 'N1000WINFO1201lt', 'lt', '리투아니아', '1201', '0', '1');</v>
      </c>
    </row>
    <row r="136" spans="1:9">
      <c r="A136" s="7" t="s">
        <v>1443</v>
      </c>
      <c r="B136" s="6" t="str">
        <f t="shared" si="2"/>
        <v>N1000WINFO1201lu</v>
      </c>
      <c r="C136" s="6" t="s">
        <v>1198</v>
      </c>
      <c r="D136" s="6" t="s">
        <v>1199</v>
      </c>
      <c r="E136" s="8" t="s">
        <v>1442</v>
      </c>
      <c r="F136" s="8" t="s">
        <v>686</v>
      </c>
      <c r="G136" s="8" t="s">
        <v>684</v>
      </c>
      <c r="I136" s="7" t="str">
        <f>IF(B136&lt;&gt;"",CREATE_QUERY($B$1,A$2:G$2,A136:G136),"")</f>
        <v>INSERT INTO base_mast(hqof_idcd, base_idcd, base_code, base_name, prnt_idcd, line_stat, line_levl) VALUES ('N1000WINFO', 'N1000WINFO1201lu', 'lu', '룩셈부르크', '1201', '0', '1');</v>
      </c>
    </row>
    <row r="137" spans="1:9">
      <c r="A137" s="7" t="s">
        <v>1443</v>
      </c>
      <c r="B137" s="6" t="str">
        <f t="shared" si="2"/>
        <v>N1000WINFO1201lv</v>
      </c>
      <c r="C137" s="6" t="s">
        <v>1200</v>
      </c>
      <c r="D137" s="6" t="s">
        <v>1201</v>
      </c>
      <c r="E137" s="8" t="s">
        <v>1442</v>
      </c>
      <c r="F137" s="8" t="s">
        <v>686</v>
      </c>
      <c r="G137" s="8" t="s">
        <v>684</v>
      </c>
      <c r="I137" s="7" t="str">
        <f>IF(B137&lt;&gt;"",CREATE_QUERY($B$1,A$2:G$2,A137:G137),"")</f>
        <v>INSERT INTO base_mast(hqof_idcd, base_idcd, base_code, base_name, prnt_idcd, line_stat, line_levl) VALUES ('N1000WINFO', 'N1000WINFO1201lv', 'lv', '라트비아', '1201', '0', '1');</v>
      </c>
    </row>
    <row r="138" spans="1:9">
      <c r="A138" s="7" t="s">
        <v>1443</v>
      </c>
      <c r="B138" s="6" t="str">
        <f t="shared" si="2"/>
        <v>N1000WINFO1201ly</v>
      </c>
      <c r="C138" s="6" t="s">
        <v>1202</v>
      </c>
      <c r="D138" s="6" t="s">
        <v>1203</v>
      </c>
      <c r="E138" s="8" t="s">
        <v>1442</v>
      </c>
      <c r="F138" s="8" t="s">
        <v>686</v>
      </c>
      <c r="G138" s="8" t="s">
        <v>684</v>
      </c>
      <c r="I138" s="7" t="str">
        <f>IF(B138&lt;&gt;"",CREATE_QUERY($B$1,A$2:G$2,A138:G138),"")</f>
        <v>INSERT INTO base_mast(hqof_idcd, base_idcd, base_code, base_name, prnt_idcd, line_stat, line_levl) VALUES ('N1000WINFO', 'N1000WINFO1201ly', 'ly', '리비아', '1201', '0', '1');</v>
      </c>
    </row>
    <row r="139" spans="1:9">
      <c r="A139" s="7" t="s">
        <v>1443</v>
      </c>
      <c r="B139" s="6" t="str">
        <f t="shared" si="2"/>
        <v>N1000WINFO1201ma</v>
      </c>
      <c r="C139" s="6" t="s">
        <v>1204</v>
      </c>
      <c r="D139" s="6" t="s">
        <v>1205</v>
      </c>
      <c r="E139" s="8" t="s">
        <v>1442</v>
      </c>
      <c r="F139" s="8" t="s">
        <v>686</v>
      </c>
      <c r="G139" s="8" t="s">
        <v>684</v>
      </c>
      <c r="I139" s="7" t="str">
        <f>IF(B139&lt;&gt;"",CREATE_QUERY($B$1,A$2:G$2,A139:G139),"")</f>
        <v>INSERT INTO base_mast(hqof_idcd, base_idcd, base_code, base_name, prnt_idcd, line_stat, line_levl) VALUES ('N1000WINFO', 'N1000WINFO1201ma', 'ma', '모로코', '1201', '0', '1');</v>
      </c>
    </row>
    <row r="140" spans="1:9">
      <c r="A140" s="7" t="s">
        <v>1443</v>
      </c>
      <c r="B140" s="6" t="str">
        <f t="shared" si="2"/>
        <v>N1000WINFO1201mc</v>
      </c>
      <c r="C140" s="6" t="s">
        <v>1206</v>
      </c>
      <c r="D140" s="6" t="s">
        <v>1207</v>
      </c>
      <c r="E140" s="8" t="s">
        <v>1442</v>
      </c>
      <c r="F140" s="8" t="s">
        <v>686</v>
      </c>
      <c r="G140" s="8" t="s">
        <v>684</v>
      </c>
      <c r="I140" s="7" t="str">
        <f>IF(B140&lt;&gt;"",CREATE_QUERY($B$1,A$2:G$2,A140:G140),"")</f>
        <v>INSERT INTO base_mast(hqof_idcd, base_idcd, base_code, base_name, prnt_idcd, line_stat, line_levl) VALUES ('N1000WINFO', 'N1000WINFO1201mc', 'mc', '모나코', '1201', '0', '1');</v>
      </c>
    </row>
    <row r="141" spans="1:9">
      <c r="A141" s="7" t="s">
        <v>1443</v>
      </c>
      <c r="B141" s="6" t="str">
        <f t="shared" si="2"/>
        <v>N1000WINFO1201md</v>
      </c>
      <c r="C141" s="6" t="s">
        <v>1208</v>
      </c>
      <c r="D141" s="6" t="s">
        <v>1209</v>
      </c>
      <c r="E141" s="8" t="s">
        <v>1442</v>
      </c>
      <c r="F141" s="8" t="s">
        <v>686</v>
      </c>
      <c r="G141" s="8" t="s">
        <v>684</v>
      </c>
      <c r="I141" s="7" t="str">
        <f>IF(B141&lt;&gt;"",CREATE_QUERY($B$1,A$2:G$2,A141:G141),"")</f>
        <v>INSERT INTO base_mast(hqof_idcd, base_idcd, base_code, base_name, prnt_idcd, line_stat, line_levl) VALUES ('N1000WINFO', 'N1000WINFO1201md', 'md', '몰다비아', '1201', '0', '1');</v>
      </c>
    </row>
    <row r="142" spans="1:9">
      <c r="A142" s="7" t="s">
        <v>1443</v>
      </c>
      <c r="B142" s="6" t="str">
        <f t="shared" si="2"/>
        <v>N1000WINFO1201mg</v>
      </c>
      <c r="C142" s="6" t="s">
        <v>1210</v>
      </c>
      <c r="D142" s="6" t="s">
        <v>1211</v>
      </c>
      <c r="E142" s="8" t="s">
        <v>1442</v>
      </c>
      <c r="F142" s="8" t="s">
        <v>686</v>
      </c>
      <c r="G142" s="8" t="s">
        <v>684</v>
      </c>
      <c r="I142" s="7" t="str">
        <f>IF(B142&lt;&gt;"",CREATE_QUERY($B$1,A$2:G$2,A142:G142),"")</f>
        <v>INSERT INTO base_mast(hqof_idcd, base_idcd, base_code, base_name, prnt_idcd, line_stat, line_levl) VALUES ('N1000WINFO', 'N1000WINFO1201mg', 'mg', '마다가스카르', '1201', '0', '1');</v>
      </c>
    </row>
    <row r="143" spans="1:9">
      <c r="A143" s="7" t="s">
        <v>1443</v>
      </c>
      <c r="B143" s="6" t="str">
        <f t="shared" si="2"/>
        <v>N1000WINFO1201mh</v>
      </c>
      <c r="C143" s="6" t="s">
        <v>1212</v>
      </c>
      <c r="D143" s="6" t="s">
        <v>1213</v>
      </c>
      <c r="E143" s="8" t="s">
        <v>1442</v>
      </c>
      <c r="F143" s="8" t="s">
        <v>686</v>
      </c>
      <c r="G143" s="8" t="s">
        <v>684</v>
      </c>
      <c r="I143" s="7" t="str">
        <f>IF(B143&lt;&gt;"",CREATE_QUERY($B$1,A$2:G$2,A143:G143),"")</f>
        <v>INSERT INTO base_mast(hqof_idcd, base_idcd, base_code, base_name, prnt_idcd, line_stat, line_levl) VALUES ('N1000WINFO', 'N1000WINFO1201mh', 'mh', '마셜 군도', '1201', '0', '1');</v>
      </c>
    </row>
    <row r="144" spans="1:9">
      <c r="A144" s="7" t="s">
        <v>1443</v>
      </c>
      <c r="B144" s="6" t="str">
        <f t="shared" si="2"/>
        <v>N1000WINFO1201mil</v>
      </c>
      <c r="C144" s="6" t="s">
        <v>1214</v>
      </c>
      <c r="D144" s="6" t="s">
        <v>1215</v>
      </c>
      <c r="E144" s="8" t="s">
        <v>1442</v>
      </c>
      <c r="F144" s="8" t="s">
        <v>686</v>
      </c>
      <c r="G144" s="8" t="s">
        <v>684</v>
      </c>
      <c r="I144" s="7" t="str">
        <f>IF(B144&lt;&gt;"",CREATE_QUERY($B$1,A$2:G$2,A144:G144),"")</f>
        <v>INSERT INTO base_mast(hqof_idcd, base_idcd, base_code, base_name, prnt_idcd, line_stat, line_levl) VALUES ('N1000WINFO', 'N1000WINFO1201mil', 'mil', '미군', '1201', '0', '1');</v>
      </c>
    </row>
    <row r="145" spans="1:9">
      <c r="A145" s="7" t="s">
        <v>1443</v>
      </c>
      <c r="B145" s="6" t="str">
        <f t="shared" si="2"/>
        <v>N1000WINFO1201mk</v>
      </c>
      <c r="C145" s="6" t="s">
        <v>1216</v>
      </c>
      <c r="D145" s="6" t="s">
        <v>1217</v>
      </c>
      <c r="E145" s="8" t="s">
        <v>1442</v>
      </c>
      <c r="F145" s="8" t="s">
        <v>686</v>
      </c>
      <c r="G145" s="8" t="s">
        <v>684</v>
      </c>
      <c r="I145" s="7" t="str">
        <f>IF(B145&lt;&gt;"",CREATE_QUERY($B$1,A$2:G$2,A145:G145),"")</f>
        <v>INSERT INTO base_mast(hqof_idcd, base_idcd, base_code, base_name, prnt_idcd, line_stat, line_levl) VALUES ('N1000WINFO', 'N1000WINFO1201mk', 'mk', '마케도니아', '1201', '0', '1');</v>
      </c>
    </row>
    <row r="146" spans="1:9">
      <c r="A146" s="7" t="s">
        <v>1443</v>
      </c>
      <c r="B146" s="6" t="str">
        <f t="shared" si="2"/>
        <v>N1000WINFO1201ml</v>
      </c>
      <c r="C146" s="6" t="s">
        <v>1218</v>
      </c>
      <c r="D146" s="6" t="s">
        <v>1219</v>
      </c>
      <c r="E146" s="8" t="s">
        <v>1442</v>
      </c>
      <c r="F146" s="8" t="s">
        <v>686</v>
      </c>
      <c r="G146" s="8" t="s">
        <v>684</v>
      </c>
      <c r="I146" s="7" t="str">
        <f>IF(B146&lt;&gt;"",CREATE_QUERY($B$1,A$2:G$2,A146:G146),"")</f>
        <v>INSERT INTO base_mast(hqof_idcd, base_idcd, base_code, base_name, prnt_idcd, line_stat, line_levl) VALUES ('N1000WINFO', 'N1000WINFO1201ml', 'ml', '말리', '1201', '0', '1');</v>
      </c>
    </row>
    <row r="147" spans="1:9">
      <c r="A147" s="7" t="s">
        <v>1443</v>
      </c>
      <c r="B147" s="6" t="str">
        <f t="shared" si="2"/>
        <v>N1000WINFO1201mm</v>
      </c>
      <c r="C147" s="6" t="s">
        <v>1220</v>
      </c>
      <c r="D147" s="6" t="s">
        <v>1221</v>
      </c>
      <c r="E147" s="8" t="s">
        <v>1442</v>
      </c>
      <c r="F147" s="8" t="s">
        <v>686</v>
      </c>
      <c r="G147" s="8" t="s">
        <v>684</v>
      </c>
      <c r="I147" s="7" t="str">
        <f>IF(B147&lt;&gt;"",CREATE_QUERY($B$1,A$2:G$2,A147:G147),"")</f>
        <v>INSERT INTO base_mast(hqof_idcd, base_idcd, base_code, base_name, prnt_idcd, line_stat, line_levl) VALUES ('N1000WINFO', 'N1000WINFO1201mm', 'mm', '미얀마', '1201', '0', '1');</v>
      </c>
    </row>
    <row r="148" spans="1:9">
      <c r="A148" s="7" t="s">
        <v>1443</v>
      </c>
      <c r="B148" s="6" t="str">
        <f t="shared" si="2"/>
        <v>N1000WINFO1201mn</v>
      </c>
      <c r="C148" s="6" t="s">
        <v>1222</v>
      </c>
      <c r="D148" s="6" t="s">
        <v>1223</v>
      </c>
      <c r="E148" s="8" t="s">
        <v>1442</v>
      </c>
      <c r="F148" s="8" t="s">
        <v>686</v>
      </c>
      <c r="G148" s="8" t="s">
        <v>684</v>
      </c>
      <c r="I148" s="7" t="str">
        <f>IF(B148&lt;&gt;"",CREATE_QUERY($B$1,A$2:G$2,A148:G148),"")</f>
        <v>INSERT INTO base_mast(hqof_idcd, base_idcd, base_code, base_name, prnt_idcd, line_stat, line_levl) VALUES ('N1000WINFO', 'N1000WINFO1201mn', 'mn', '몽골', '1201', '0', '1');</v>
      </c>
    </row>
    <row r="149" spans="1:9">
      <c r="A149" s="7" t="s">
        <v>1443</v>
      </c>
      <c r="B149" s="6" t="str">
        <f t="shared" si="2"/>
        <v>N1000WINFO1201mo</v>
      </c>
      <c r="C149" s="6" t="s">
        <v>1224</v>
      </c>
      <c r="D149" s="6" t="s">
        <v>1225</v>
      </c>
      <c r="E149" s="8" t="s">
        <v>1442</v>
      </c>
      <c r="F149" s="8" t="s">
        <v>686</v>
      </c>
      <c r="G149" s="8" t="s">
        <v>684</v>
      </c>
      <c r="I149" s="7" t="str">
        <f>IF(B149&lt;&gt;"",CREATE_QUERY($B$1,A$2:G$2,A149:G149),"")</f>
        <v>INSERT INTO base_mast(hqof_idcd, base_idcd, base_code, base_name, prnt_idcd, line_stat, line_levl) VALUES ('N1000WINFO', 'N1000WINFO1201mo', 'mo', '마카오', '1201', '0', '1');</v>
      </c>
    </row>
    <row r="150" spans="1:9">
      <c r="A150" s="7" t="s">
        <v>1443</v>
      </c>
      <c r="B150" s="6" t="str">
        <f t="shared" si="2"/>
        <v>N1000WINFO1201mp</v>
      </c>
      <c r="C150" s="6" t="s">
        <v>1226</v>
      </c>
      <c r="D150" s="6" t="s">
        <v>1227</v>
      </c>
      <c r="E150" s="8" t="s">
        <v>1442</v>
      </c>
      <c r="F150" s="8" t="s">
        <v>686</v>
      </c>
      <c r="G150" s="8" t="s">
        <v>684</v>
      </c>
      <c r="I150" s="7" t="str">
        <f>IF(B150&lt;&gt;"",CREATE_QUERY($B$1,A$2:G$2,A150:G150),"")</f>
        <v>INSERT INTO base_mast(hqof_idcd, base_idcd, base_code, base_name, prnt_idcd, line_stat, line_levl) VALUES ('N1000WINFO', 'N1000WINFO1201mp', 'mp', '북마리아나 군도', '1201', '0', '1');</v>
      </c>
    </row>
    <row r="151" spans="1:9">
      <c r="A151" s="7" t="s">
        <v>1443</v>
      </c>
      <c r="B151" s="6" t="str">
        <f t="shared" si="2"/>
        <v>N1000WINFO1201mq</v>
      </c>
      <c r="C151" s="6" t="s">
        <v>1228</v>
      </c>
      <c r="D151" s="6" t="s">
        <v>1229</v>
      </c>
      <c r="E151" s="8" t="s">
        <v>1442</v>
      </c>
      <c r="F151" s="8" t="s">
        <v>686</v>
      </c>
      <c r="G151" s="8" t="s">
        <v>684</v>
      </c>
      <c r="I151" s="7" t="str">
        <f>IF(B151&lt;&gt;"",CREATE_QUERY($B$1,A$2:G$2,A151:G151),"")</f>
        <v>INSERT INTO base_mast(hqof_idcd, base_idcd, base_code, base_name, prnt_idcd, line_stat, line_levl) VALUES ('N1000WINFO', 'N1000WINFO1201mq', 'mq', '말티니크(프랑스령)', '1201', '0', '1');</v>
      </c>
    </row>
    <row r="152" spans="1:9">
      <c r="A152" s="7" t="s">
        <v>1443</v>
      </c>
      <c r="B152" s="6" t="str">
        <f t="shared" si="2"/>
        <v>N1000WINFO1201mr</v>
      </c>
      <c r="C152" s="6" t="s">
        <v>1230</v>
      </c>
      <c r="D152" s="6" t="s">
        <v>1231</v>
      </c>
      <c r="E152" s="8" t="s">
        <v>1442</v>
      </c>
      <c r="F152" s="8" t="s">
        <v>686</v>
      </c>
      <c r="G152" s="8" t="s">
        <v>684</v>
      </c>
      <c r="I152" s="7" t="str">
        <f>IF(B152&lt;&gt;"",CREATE_QUERY($B$1,A$2:G$2,A152:G152),"")</f>
        <v>INSERT INTO base_mast(hqof_idcd, base_idcd, base_code, base_name, prnt_idcd, line_stat, line_levl) VALUES ('N1000WINFO', 'N1000WINFO1201mr', 'mr', '모리타니', '1201', '0', '1');</v>
      </c>
    </row>
    <row r="153" spans="1:9">
      <c r="A153" s="7" t="s">
        <v>1443</v>
      </c>
      <c r="B153" s="6" t="str">
        <f t="shared" si="2"/>
        <v>N1000WINFO1201ms</v>
      </c>
      <c r="C153" s="6" t="s">
        <v>1232</v>
      </c>
      <c r="D153" s="6" t="s">
        <v>1233</v>
      </c>
      <c r="E153" s="8" t="s">
        <v>1442</v>
      </c>
      <c r="F153" s="8" t="s">
        <v>686</v>
      </c>
      <c r="G153" s="8" t="s">
        <v>684</v>
      </c>
      <c r="I153" s="7" t="str">
        <f>IF(B153&lt;&gt;"",CREATE_QUERY($B$1,A$2:G$2,A153:G153),"")</f>
        <v>INSERT INTO base_mast(hqof_idcd, base_idcd, base_code, base_name, prnt_idcd, line_stat, line_levl) VALUES ('N1000WINFO', 'N1000WINFO1201ms', 'ms', '몬트세라트', '1201', '0', '1');</v>
      </c>
    </row>
    <row r="154" spans="1:9">
      <c r="A154" s="7" t="s">
        <v>1443</v>
      </c>
      <c r="B154" s="6" t="str">
        <f t="shared" si="2"/>
        <v>N1000WINFO1201mt</v>
      </c>
      <c r="C154" s="6" t="s">
        <v>1234</v>
      </c>
      <c r="D154" s="6" t="s">
        <v>1235</v>
      </c>
      <c r="E154" s="8" t="s">
        <v>1442</v>
      </c>
      <c r="F154" s="8" t="s">
        <v>686</v>
      </c>
      <c r="G154" s="8" t="s">
        <v>684</v>
      </c>
      <c r="I154" s="7" t="str">
        <f>IF(B154&lt;&gt;"",CREATE_QUERY($B$1,A$2:G$2,A154:G154),"")</f>
        <v>INSERT INTO base_mast(hqof_idcd, base_idcd, base_code, base_name, prnt_idcd, line_stat, line_levl) VALUES ('N1000WINFO', 'N1000WINFO1201mt', 'mt', '몰타', '1201', '0', '1');</v>
      </c>
    </row>
    <row r="155" spans="1:9">
      <c r="A155" s="7" t="s">
        <v>1443</v>
      </c>
      <c r="B155" s="6" t="str">
        <f t="shared" si="2"/>
        <v>N1000WINFO1201mu</v>
      </c>
      <c r="C155" s="6" t="s">
        <v>1236</v>
      </c>
      <c r="D155" s="6" t="s">
        <v>1237</v>
      </c>
      <c r="E155" s="8" t="s">
        <v>1442</v>
      </c>
      <c r="F155" s="8" t="s">
        <v>686</v>
      </c>
      <c r="G155" s="8" t="s">
        <v>684</v>
      </c>
      <c r="I155" s="7" t="str">
        <f>IF(B155&lt;&gt;"",CREATE_QUERY($B$1,A$2:G$2,A155:G155),"")</f>
        <v>INSERT INTO base_mast(hqof_idcd, base_idcd, base_code, base_name, prnt_idcd, line_stat, line_levl) VALUES ('N1000WINFO', 'N1000WINFO1201mu', 'mu', '모리셔스', '1201', '0', '1');</v>
      </c>
    </row>
    <row r="156" spans="1:9">
      <c r="A156" s="7" t="s">
        <v>1443</v>
      </c>
      <c r="B156" s="6" t="str">
        <f t="shared" si="2"/>
        <v>N1000WINFO1201mv</v>
      </c>
      <c r="C156" s="6" t="s">
        <v>1238</v>
      </c>
      <c r="D156" s="6" t="s">
        <v>1239</v>
      </c>
      <c r="E156" s="8" t="s">
        <v>1442</v>
      </c>
      <c r="F156" s="8" t="s">
        <v>686</v>
      </c>
      <c r="G156" s="8" t="s">
        <v>684</v>
      </c>
      <c r="I156" s="7" t="str">
        <f>IF(B156&lt;&gt;"",CREATE_QUERY($B$1,A$2:G$2,A156:G156),"")</f>
        <v>INSERT INTO base_mast(hqof_idcd, base_idcd, base_code, base_name, prnt_idcd, line_stat, line_levl) VALUES ('N1000WINFO', 'N1000WINFO1201mv', 'mv', '몰디브', '1201', '0', '1');</v>
      </c>
    </row>
    <row r="157" spans="1:9">
      <c r="A157" s="7" t="s">
        <v>1443</v>
      </c>
      <c r="B157" s="6" t="str">
        <f t="shared" si="2"/>
        <v>N1000WINFO1201mw</v>
      </c>
      <c r="C157" s="6" t="s">
        <v>1240</v>
      </c>
      <c r="D157" s="6" t="s">
        <v>1241</v>
      </c>
      <c r="E157" s="8" t="s">
        <v>1442</v>
      </c>
      <c r="F157" s="8" t="s">
        <v>686</v>
      </c>
      <c r="G157" s="8" t="s">
        <v>684</v>
      </c>
      <c r="I157" s="7" t="str">
        <f>IF(B157&lt;&gt;"",CREATE_QUERY($B$1,A$2:G$2,A157:G157),"")</f>
        <v>INSERT INTO base_mast(hqof_idcd, base_idcd, base_code, base_name, prnt_idcd, line_stat, line_levl) VALUES ('N1000WINFO', 'N1000WINFO1201mw', 'mw', '말라위', '1201', '0', '1');</v>
      </c>
    </row>
    <row r="158" spans="1:9">
      <c r="A158" s="7" t="s">
        <v>1443</v>
      </c>
      <c r="B158" s="6" t="str">
        <f t="shared" si="2"/>
        <v>N1000WINFO1201mx</v>
      </c>
      <c r="C158" s="6" t="s">
        <v>1242</v>
      </c>
      <c r="D158" s="6" t="s">
        <v>1243</v>
      </c>
      <c r="E158" s="8" t="s">
        <v>1442</v>
      </c>
      <c r="F158" s="8" t="s">
        <v>686</v>
      </c>
      <c r="G158" s="8" t="s">
        <v>684</v>
      </c>
      <c r="I158" s="7" t="str">
        <f>IF(B158&lt;&gt;"",CREATE_QUERY($B$1,A$2:G$2,A158:G158),"")</f>
        <v>INSERT INTO base_mast(hqof_idcd, base_idcd, base_code, base_name, prnt_idcd, line_stat, line_levl) VALUES ('N1000WINFO', 'N1000WINFO1201mx', 'mx', '멕시코', '1201', '0', '1');</v>
      </c>
    </row>
    <row r="159" spans="1:9">
      <c r="A159" s="7" t="s">
        <v>1443</v>
      </c>
      <c r="B159" s="6" t="str">
        <f t="shared" si="2"/>
        <v>N1000WINFO1201my</v>
      </c>
      <c r="C159" s="6" t="s">
        <v>1244</v>
      </c>
      <c r="D159" s="6" t="s">
        <v>1245</v>
      </c>
      <c r="E159" s="8" t="s">
        <v>1442</v>
      </c>
      <c r="F159" s="8" t="s">
        <v>686</v>
      </c>
      <c r="G159" s="8" t="s">
        <v>684</v>
      </c>
      <c r="I159" s="7" t="str">
        <f>IF(B159&lt;&gt;"",CREATE_QUERY($B$1,A$2:G$2,A159:G159),"")</f>
        <v>INSERT INTO base_mast(hqof_idcd, base_idcd, base_code, base_name, prnt_idcd, line_stat, line_levl) VALUES ('N1000WINFO', 'N1000WINFO1201my', 'my', '말레이시아', '1201', '0', '1');</v>
      </c>
    </row>
    <row r="160" spans="1:9">
      <c r="A160" s="7" t="s">
        <v>1443</v>
      </c>
      <c r="B160" s="6" t="str">
        <f t="shared" si="2"/>
        <v>N1000WINFO1201mz</v>
      </c>
      <c r="C160" s="6" t="s">
        <v>1246</v>
      </c>
      <c r="D160" s="6" t="s">
        <v>1247</v>
      </c>
      <c r="E160" s="8" t="s">
        <v>1442</v>
      </c>
      <c r="F160" s="8" t="s">
        <v>686</v>
      </c>
      <c r="G160" s="8" t="s">
        <v>684</v>
      </c>
      <c r="I160" s="7" t="str">
        <f>IF(B160&lt;&gt;"",CREATE_QUERY($B$1,A$2:G$2,A160:G160),"")</f>
        <v>INSERT INTO base_mast(hqof_idcd, base_idcd, base_code, base_name, prnt_idcd, line_stat, line_levl) VALUES ('N1000WINFO', 'N1000WINFO1201mz', 'mz', '모잠비크', '1201', '0', '1');</v>
      </c>
    </row>
    <row r="161" spans="1:9">
      <c r="A161" s="7" t="s">
        <v>1443</v>
      </c>
      <c r="B161" s="6" t="str">
        <f t="shared" si="2"/>
        <v>N1000WINFO1201na</v>
      </c>
      <c r="C161" s="6" t="s">
        <v>1248</v>
      </c>
      <c r="D161" s="6" t="s">
        <v>1249</v>
      </c>
      <c r="E161" s="8" t="s">
        <v>1442</v>
      </c>
      <c r="F161" s="8" t="s">
        <v>686</v>
      </c>
      <c r="G161" s="8" t="s">
        <v>684</v>
      </c>
      <c r="I161" s="7" t="str">
        <f>IF(B161&lt;&gt;"",CREATE_QUERY($B$1,A$2:G$2,A161:G161),"")</f>
        <v>INSERT INTO base_mast(hqof_idcd, base_idcd, base_code, base_name, prnt_idcd, line_stat, line_levl) VALUES ('N1000WINFO', 'N1000WINFO1201na', 'na', '나미비아', '1201', '0', '1');</v>
      </c>
    </row>
    <row r="162" spans="1:9">
      <c r="A162" s="7" t="s">
        <v>1443</v>
      </c>
      <c r="B162" s="6" t="str">
        <f t="shared" si="2"/>
        <v>N1000WINFO1201nc</v>
      </c>
      <c r="C162" s="6" t="s">
        <v>1250</v>
      </c>
      <c r="D162" s="6" t="s">
        <v>1251</v>
      </c>
      <c r="E162" s="8" t="s">
        <v>1442</v>
      </c>
      <c r="F162" s="8" t="s">
        <v>686</v>
      </c>
      <c r="G162" s="8" t="s">
        <v>684</v>
      </c>
      <c r="I162" s="7" t="str">
        <f>IF(B162&lt;&gt;"",CREATE_QUERY($B$1,A$2:G$2,A162:G162),"")</f>
        <v>INSERT INTO base_mast(hqof_idcd, base_idcd, base_code, base_name, prnt_idcd, line_stat, line_levl) VALUES ('N1000WINFO', 'N1000WINFO1201nc', 'nc', '뉴 칼레도니아(프랑스령)', '1201', '0', '1');</v>
      </c>
    </row>
    <row r="163" spans="1:9">
      <c r="A163" s="7" t="s">
        <v>1443</v>
      </c>
      <c r="B163" s="6" t="str">
        <f t="shared" si="2"/>
        <v>N1000WINFO1201ne</v>
      </c>
      <c r="C163" s="6" t="s">
        <v>1252</v>
      </c>
      <c r="D163" s="6" t="s">
        <v>1253</v>
      </c>
      <c r="E163" s="8" t="s">
        <v>1442</v>
      </c>
      <c r="F163" s="8" t="s">
        <v>686</v>
      </c>
      <c r="G163" s="8" t="s">
        <v>684</v>
      </c>
      <c r="I163" s="7" t="str">
        <f>IF(B163&lt;&gt;"",CREATE_QUERY($B$1,A$2:G$2,A163:G163),"")</f>
        <v>INSERT INTO base_mast(hqof_idcd, base_idcd, base_code, base_name, prnt_idcd, line_stat, line_levl) VALUES ('N1000WINFO', 'N1000WINFO1201ne', 'ne', '니제르', '1201', '0', '1');</v>
      </c>
    </row>
    <row r="164" spans="1:9">
      <c r="A164" s="7" t="s">
        <v>1443</v>
      </c>
      <c r="B164" s="6" t="str">
        <f t="shared" si="2"/>
        <v>N1000WINFO1201net</v>
      </c>
      <c r="C164" s="6" t="s">
        <v>1254</v>
      </c>
      <c r="D164" s="6" t="s">
        <v>1255</v>
      </c>
      <c r="E164" s="8" t="s">
        <v>1442</v>
      </c>
      <c r="F164" s="8" t="s">
        <v>686</v>
      </c>
      <c r="G164" s="8" t="s">
        <v>684</v>
      </c>
      <c r="I164" s="7" t="str">
        <f>IF(B164&lt;&gt;"",CREATE_QUERY($B$1,A$2:G$2,A164:G164),"")</f>
        <v>INSERT INTO base_mast(hqof_idcd, base_idcd, base_code, base_name, prnt_idcd, line_stat, line_levl) VALUES ('N1000WINFO', 'N1000WINFO1201net', 'net', '네트워크', '1201', '0', '1');</v>
      </c>
    </row>
    <row r="165" spans="1:9">
      <c r="A165" s="7" t="s">
        <v>1443</v>
      </c>
      <c r="B165" s="6" t="str">
        <f t="shared" si="2"/>
        <v>N1000WINFO1201nf</v>
      </c>
      <c r="C165" s="6" t="s">
        <v>1256</v>
      </c>
      <c r="D165" s="6" t="s">
        <v>1257</v>
      </c>
      <c r="E165" s="8" t="s">
        <v>1442</v>
      </c>
      <c r="F165" s="8" t="s">
        <v>686</v>
      </c>
      <c r="G165" s="8" t="s">
        <v>684</v>
      </c>
      <c r="I165" s="7" t="str">
        <f>IF(B165&lt;&gt;"",CREATE_QUERY($B$1,A$2:G$2,A165:G165),"")</f>
        <v>INSERT INTO base_mast(hqof_idcd, base_idcd, base_code, base_name, prnt_idcd, line_stat, line_levl) VALUES ('N1000WINFO', 'N1000WINFO1201nf', 'nf', '노퍽 섬', '1201', '0', '1');</v>
      </c>
    </row>
    <row r="166" spans="1:9">
      <c r="A166" s="7" t="s">
        <v>1443</v>
      </c>
      <c r="B166" s="6" t="str">
        <f t="shared" si="2"/>
        <v>N1000WINFO1201ng</v>
      </c>
      <c r="C166" s="6" t="s">
        <v>1258</v>
      </c>
      <c r="D166" s="6" t="s">
        <v>1259</v>
      </c>
      <c r="E166" s="8" t="s">
        <v>1442</v>
      </c>
      <c r="F166" s="8" t="s">
        <v>686</v>
      </c>
      <c r="G166" s="8" t="s">
        <v>684</v>
      </c>
      <c r="I166" s="7" t="str">
        <f>IF(B166&lt;&gt;"",CREATE_QUERY($B$1,A$2:G$2,A166:G166),"")</f>
        <v>INSERT INTO base_mast(hqof_idcd, base_idcd, base_code, base_name, prnt_idcd, line_stat, line_levl) VALUES ('N1000WINFO', 'N1000WINFO1201ng', 'ng', '나이지리아', '1201', '0', '1');</v>
      </c>
    </row>
    <row r="167" spans="1:9">
      <c r="A167" s="7" t="s">
        <v>1443</v>
      </c>
      <c r="B167" s="6" t="str">
        <f t="shared" si="2"/>
        <v>N1000WINFO1201ni</v>
      </c>
      <c r="C167" s="6" t="s">
        <v>1260</v>
      </c>
      <c r="D167" s="6" t="s">
        <v>1261</v>
      </c>
      <c r="E167" s="8" t="s">
        <v>1442</v>
      </c>
      <c r="F167" s="8" t="s">
        <v>686</v>
      </c>
      <c r="G167" s="8" t="s">
        <v>684</v>
      </c>
      <c r="I167" s="7" t="str">
        <f>IF(B167&lt;&gt;"",CREATE_QUERY($B$1,A$2:G$2,A167:G167),"")</f>
        <v>INSERT INTO base_mast(hqof_idcd, base_idcd, base_code, base_name, prnt_idcd, line_stat, line_levl) VALUES ('N1000WINFO', 'N1000WINFO1201ni', 'ni', '니카라과', '1201', '0', '1');</v>
      </c>
    </row>
    <row r="168" spans="1:9">
      <c r="A168" s="7" t="s">
        <v>1443</v>
      </c>
      <c r="B168" s="6" t="str">
        <f t="shared" si="2"/>
        <v>N1000WINFO1201nl</v>
      </c>
      <c r="C168" s="6" t="s">
        <v>1262</v>
      </c>
      <c r="D168" s="6" t="s">
        <v>1263</v>
      </c>
      <c r="E168" s="8" t="s">
        <v>1442</v>
      </c>
      <c r="F168" s="8" t="s">
        <v>686</v>
      </c>
      <c r="G168" s="8" t="s">
        <v>684</v>
      </c>
      <c r="I168" s="7" t="str">
        <f>IF(B168&lt;&gt;"",CREATE_QUERY($B$1,A$2:G$2,A168:G168),"")</f>
        <v>INSERT INTO base_mast(hqof_idcd, base_idcd, base_code, base_name, prnt_idcd, line_stat, line_levl) VALUES ('N1000WINFO', 'N1000WINFO1201nl', 'nl', '네덜란드', '1201', '0', '1');</v>
      </c>
    </row>
    <row r="169" spans="1:9">
      <c r="A169" s="7" t="s">
        <v>1443</v>
      </c>
      <c r="B169" s="6" t="str">
        <f t="shared" si="2"/>
        <v>N1000WINFO1201no</v>
      </c>
      <c r="C169" s="6" t="s">
        <v>1264</v>
      </c>
      <c r="D169" s="6" t="s">
        <v>1265</v>
      </c>
      <c r="E169" s="8" t="s">
        <v>1442</v>
      </c>
      <c r="F169" s="8" t="s">
        <v>686</v>
      </c>
      <c r="G169" s="8" t="s">
        <v>684</v>
      </c>
      <c r="I169" s="7" t="str">
        <f>IF(B169&lt;&gt;"",CREATE_QUERY($B$1,A$2:G$2,A169:G169),"")</f>
        <v>INSERT INTO base_mast(hqof_idcd, base_idcd, base_code, base_name, prnt_idcd, line_stat, line_levl) VALUES ('N1000WINFO', 'N1000WINFO1201no', 'no', '노르웨이', '1201', '0', '1');</v>
      </c>
    </row>
    <row r="170" spans="1:9">
      <c r="A170" s="7" t="s">
        <v>1443</v>
      </c>
      <c r="B170" s="6" t="str">
        <f t="shared" si="2"/>
        <v>N1000WINFO1201np</v>
      </c>
      <c r="C170" s="6" t="s">
        <v>1266</v>
      </c>
      <c r="D170" s="6" t="s">
        <v>1267</v>
      </c>
      <c r="E170" s="8" t="s">
        <v>1442</v>
      </c>
      <c r="F170" s="8" t="s">
        <v>686</v>
      </c>
      <c r="G170" s="8" t="s">
        <v>684</v>
      </c>
      <c r="I170" s="7" t="str">
        <f>IF(B170&lt;&gt;"",CREATE_QUERY($B$1,A$2:G$2,A170:G170),"")</f>
        <v>INSERT INTO base_mast(hqof_idcd, base_idcd, base_code, base_name, prnt_idcd, line_stat, line_levl) VALUES ('N1000WINFO', 'N1000WINFO1201np', 'np', '네팔', '1201', '0', '1');</v>
      </c>
    </row>
    <row r="171" spans="1:9">
      <c r="A171" s="7" t="s">
        <v>1443</v>
      </c>
      <c r="B171" s="6" t="str">
        <f t="shared" si="2"/>
        <v>N1000WINFO1201nr</v>
      </c>
      <c r="C171" s="6" t="s">
        <v>1268</v>
      </c>
      <c r="D171" s="6" t="s">
        <v>1269</v>
      </c>
      <c r="E171" s="8" t="s">
        <v>1442</v>
      </c>
      <c r="F171" s="8" t="s">
        <v>686</v>
      </c>
      <c r="G171" s="8" t="s">
        <v>684</v>
      </c>
      <c r="I171" s="7" t="str">
        <f>IF(B171&lt;&gt;"",CREATE_QUERY($B$1,A$2:G$2,A171:G171),"")</f>
        <v>INSERT INTO base_mast(hqof_idcd, base_idcd, base_code, base_name, prnt_idcd, line_stat, line_levl) VALUES ('N1000WINFO', 'N1000WINFO1201nr', 'nr', '나우루', '1201', '0', '1');</v>
      </c>
    </row>
    <row r="172" spans="1:9">
      <c r="A172" s="7" t="s">
        <v>1443</v>
      </c>
      <c r="B172" s="6" t="str">
        <f t="shared" si="2"/>
        <v>N1000WINFO1201nt</v>
      </c>
      <c r="C172" s="6" t="s">
        <v>1270</v>
      </c>
      <c r="D172" s="6" t="s">
        <v>1271</v>
      </c>
      <c r="E172" s="8" t="s">
        <v>1442</v>
      </c>
      <c r="F172" s="8" t="s">
        <v>686</v>
      </c>
      <c r="G172" s="8" t="s">
        <v>684</v>
      </c>
      <c r="I172" s="7" t="str">
        <f>IF(B172&lt;&gt;"",CREATE_QUERY($B$1,A$2:G$2,A172:G172),"")</f>
        <v>INSERT INTO base_mast(hqof_idcd, base_idcd, base_code, base_name, prnt_idcd, line_stat, line_levl) VALUES ('N1000WINFO', 'N1000WINFO1201nt', 'nt', '중립 지역', '1201', '0', '1');</v>
      </c>
    </row>
    <row r="173" spans="1:9">
      <c r="A173" s="7" t="s">
        <v>1443</v>
      </c>
      <c r="B173" s="6" t="str">
        <f t="shared" si="2"/>
        <v>N1000WINFO1201nu</v>
      </c>
      <c r="C173" s="6" t="s">
        <v>1272</v>
      </c>
      <c r="D173" s="6" t="s">
        <v>1273</v>
      </c>
      <c r="E173" s="8" t="s">
        <v>1442</v>
      </c>
      <c r="F173" s="8" t="s">
        <v>686</v>
      </c>
      <c r="G173" s="8" t="s">
        <v>684</v>
      </c>
      <c r="I173" s="7" t="str">
        <f>IF(B173&lt;&gt;"",CREATE_QUERY($B$1,A$2:G$2,A173:G173),"")</f>
        <v>INSERT INTO base_mast(hqof_idcd, base_idcd, base_code, base_name, prnt_idcd, line_stat, line_levl) VALUES ('N1000WINFO', 'N1000WINFO1201nu', 'nu', '니우에', '1201', '0', '1');</v>
      </c>
    </row>
    <row r="174" spans="1:9">
      <c r="A174" s="7" t="s">
        <v>1443</v>
      </c>
      <c r="B174" s="6" t="str">
        <f t="shared" si="2"/>
        <v>N1000WINFO1201nz</v>
      </c>
      <c r="C174" s="6" t="s">
        <v>1274</v>
      </c>
      <c r="D174" s="6" t="s">
        <v>1275</v>
      </c>
      <c r="E174" s="8" t="s">
        <v>1442</v>
      </c>
      <c r="F174" s="8" t="s">
        <v>686</v>
      </c>
      <c r="G174" s="8" t="s">
        <v>684</v>
      </c>
      <c r="I174" s="7" t="str">
        <f>IF(B174&lt;&gt;"",CREATE_QUERY($B$1,A$2:G$2,A174:G174),"")</f>
        <v>INSERT INTO base_mast(hqof_idcd, base_idcd, base_code, base_name, prnt_idcd, line_stat, line_levl) VALUES ('N1000WINFO', 'N1000WINFO1201nz', 'nz', '뉴질랜드', '1201', '0', '1');</v>
      </c>
    </row>
    <row r="175" spans="1:9">
      <c r="A175" s="7" t="s">
        <v>1443</v>
      </c>
      <c r="B175" s="6" t="str">
        <f t="shared" si="2"/>
        <v>N1000WINFO1201om</v>
      </c>
      <c r="C175" s="6" t="s">
        <v>1276</v>
      </c>
      <c r="D175" s="6" t="s">
        <v>1277</v>
      </c>
      <c r="E175" s="8" t="s">
        <v>1442</v>
      </c>
      <c r="F175" s="8" t="s">
        <v>686</v>
      </c>
      <c r="G175" s="8" t="s">
        <v>684</v>
      </c>
      <c r="I175" s="7" t="str">
        <f>IF(B175&lt;&gt;"",CREATE_QUERY($B$1,A$2:G$2,A175:G175),"")</f>
        <v>INSERT INTO base_mast(hqof_idcd, base_idcd, base_code, base_name, prnt_idcd, line_stat, line_levl) VALUES ('N1000WINFO', 'N1000WINFO1201om', 'om', '오멘', '1201', '0', '1');</v>
      </c>
    </row>
    <row r="176" spans="1:9">
      <c r="A176" s="7" t="s">
        <v>1443</v>
      </c>
      <c r="B176" s="6" t="str">
        <f t="shared" si="2"/>
        <v>N1000WINFO1201org</v>
      </c>
      <c r="C176" s="6" t="s">
        <v>1278</v>
      </c>
      <c r="D176" s="6" t="s">
        <v>1279</v>
      </c>
      <c r="E176" s="8" t="s">
        <v>1442</v>
      </c>
      <c r="F176" s="8" t="s">
        <v>686</v>
      </c>
      <c r="G176" s="8" t="s">
        <v>684</v>
      </c>
      <c r="I176" s="7" t="str">
        <f>IF(B176&lt;&gt;"",CREATE_QUERY($B$1,A$2:G$2,A176:G176),"")</f>
        <v>INSERT INTO base_mast(hqof_idcd, base_idcd, base_code, base_name, prnt_idcd, line_stat, line_levl) VALUES ('N1000WINFO', 'N1000WINFO1201org', 'org', '비영리 조직(sic)', '1201', '0', '1');</v>
      </c>
    </row>
    <row r="177" spans="1:9">
      <c r="A177" s="7" t="s">
        <v>1443</v>
      </c>
      <c r="B177" s="6" t="str">
        <f t="shared" si="2"/>
        <v>N1000WINFO1201pa</v>
      </c>
      <c r="C177" s="6" t="s">
        <v>1280</v>
      </c>
      <c r="D177" s="6" t="s">
        <v>1281</v>
      </c>
      <c r="E177" s="8" t="s">
        <v>1442</v>
      </c>
      <c r="F177" s="8" t="s">
        <v>686</v>
      </c>
      <c r="G177" s="8" t="s">
        <v>684</v>
      </c>
      <c r="I177" s="7" t="str">
        <f>IF(B177&lt;&gt;"",CREATE_QUERY($B$1,A$2:G$2,A177:G177),"")</f>
        <v>INSERT INTO base_mast(hqof_idcd, base_idcd, base_code, base_name, prnt_idcd, line_stat, line_levl) VALUES ('N1000WINFO', 'N1000WINFO1201pa', 'pa', '파나마', '1201', '0', '1');</v>
      </c>
    </row>
    <row r="178" spans="1:9">
      <c r="A178" s="7" t="s">
        <v>1443</v>
      </c>
      <c r="B178" s="6" t="str">
        <f t="shared" si="2"/>
        <v>N1000WINFO1201pe</v>
      </c>
      <c r="C178" s="6" t="s">
        <v>1282</v>
      </c>
      <c r="D178" s="6" t="s">
        <v>1283</v>
      </c>
      <c r="E178" s="8" t="s">
        <v>1442</v>
      </c>
      <c r="F178" s="8" t="s">
        <v>686</v>
      </c>
      <c r="G178" s="8" t="s">
        <v>684</v>
      </c>
      <c r="I178" s="7" t="str">
        <f>IF(B178&lt;&gt;"",CREATE_QUERY($B$1,A$2:G$2,A178:G178),"")</f>
        <v>INSERT INTO base_mast(hqof_idcd, base_idcd, base_code, base_name, prnt_idcd, line_stat, line_levl) VALUES ('N1000WINFO', 'N1000WINFO1201pe', 'pe', '페루', '1201', '0', '1');</v>
      </c>
    </row>
    <row r="179" spans="1:9">
      <c r="A179" s="7" t="s">
        <v>1443</v>
      </c>
      <c r="B179" s="6" t="str">
        <f t="shared" si="2"/>
        <v>N1000WINFO1201pf</v>
      </c>
      <c r="C179" s="6" t="s">
        <v>1284</v>
      </c>
      <c r="D179" s="6" t="s">
        <v>1285</v>
      </c>
      <c r="E179" s="8" t="s">
        <v>1442</v>
      </c>
      <c r="F179" s="8" t="s">
        <v>686</v>
      </c>
      <c r="G179" s="8" t="s">
        <v>684</v>
      </c>
      <c r="I179" s="7" t="str">
        <f>IF(B179&lt;&gt;"",CREATE_QUERY($B$1,A$2:G$2,A179:G179),"")</f>
        <v>INSERT INTO base_mast(hqof_idcd, base_idcd, base_code, base_name, prnt_idcd, line_stat, line_levl) VALUES ('N1000WINFO', 'N1000WINFO1201pf', 'pf', '폴리네시아(프랑스령)', '1201', '0', '1');</v>
      </c>
    </row>
    <row r="180" spans="1:9">
      <c r="A180" s="7" t="s">
        <v>1443</v>
      </c>
      <c r="B180" s="6" t="str">
        <f t="shared" si="2"/>
        <v>N1000WINFO1201pg</v>
      </c>
      <c r="C180" s="6" t="s">
        <v>1286</v>
      </c>
      <c r="D180" s="6" t="s">
        <v>1287</v>
      </c>
      <c r="E180" s="8" t="s">
        <v>1442</v>
      </c>
      <c r="F180" s="8" t="s">
        <v>686</v>
      </c>
      <c r="G180" s="8" t="s">
        <v>684</v>
      </c>
      <c r="I180" s="7" t="str">
        <f>IF(B180&lt;&gt;"",CREATE_QUERY($B$1,A$2:G$2,A180:G180),"")</f>
        <v>INSERT INTO base_mast(hqof_idcd, base_idcd, base_code, base_name, prnt_idcd, line_stat, line_levl) VALUES ('N1000WINFO', 'N1000WINFO1201pg', 'pg', '파푸아뉴기니', '1201', '0', '1');</v>
      </c>
    </row>
    <row r="181" spans="1:9">
      <c r="A181" s="7" t="s">
        <v>1443</v>
      </c>
      <c r="B181" s="6" t="str">
        <f t="shared" si="2"/>
        <v>N1000WINFO1201ph</v>
      </c>
      <c r="C181" s="6" t="s">
        <v>1288</v>
      </c>
      <c r="D181" s="6" t="s">
        <v>1289</v>
      </c>
      <c r="E181" s="8" t="s">
        <v>1442</v>
      </c>
      <c r="F181" s="8" t="s">
        <v>686</v>
      </c>
      <c r="G181" s="8" t="s">
        <v>684</v>
      </c>
      <c r="I181" s="7" t="str">
        <f>IF(B181&lt;&gt;"",CREATE_QUERY($B$1,A$2:G$2,A181:G181),"")</f>
        <v>INSERT INTO base_mast(hqof_idcd, base_idcd, base_code, base_name, prnt_idcd, line_stat, line_levl) VALUES ('N1000WINFO', 'N1000WINFO1201ph', 'ph', '필리핀', '1201', '0', '1');</v>
      </c>
    </row>
    <row r="182" spans="1:9">
      <c r="A182" s="7" t="s">
        <v>1443</v>
      </c>
      <c r="B182" s="6" t="str">
        <f t="shared" si="2"/>
        <v>N1000WINFO1201pk</v>
      </c>
      <c r="C182" s="6" t="s">
        <v>1290</v>
      </c>
      <c r="D182" s="6" t="s">
        <v>1291</v>
      </c>
      <c r="E182" s="8" t="s">
        <v>1442</v>
      </c>
      <c r="F182" s="8" t="s">
        <v>686</v>
      </c>
      <c r="G182" s="8" t="s">
        <v>684</v>
      </c>
      <c r="I182" s="7" t="str">
        <f>IF(B182&lt;&gt;"",CREATE_QUERY($B$1,A$2:G$2,A182:G182),"")</f>
        <v>INSERT INTO base_mast(hqof_idcd, base_idcd, base_code, base_name, prnt_idcd, line_stat, line_levl) VALUES ('N1000WINFO', 'N1000WINFO1201pk', 'pk', '파키스탄', '1201', '0', '1');</v>
      </c>
    </row>
    <row r="183" spans="1:9">
      <c r="A183" s="7" t="s">
        <v>1443</v>
      </c>
      <c r="B183" s="6" t="str">
        <f t="shared" si="2"/>
        <v>N1000WINFO1201pl</v>
      </c>
      <c r="C183" s="6" t="s">
        <v>1292</v>
      </c>
      <c r="D183" s="6" t="s">
        <v>1293</v>
      </c>
      <c r="E183" s="8" t="s">
        <v>1442</v>
      </c>
      <c r="F183" s="8" t="s">
        <v>686</v>
      </c>
      <c r="G183" s="8" t="s">
        <v>684</v>
      </c>
      <c r="I183" s="7" t="str">
        <f>IF(B183&lt;&gt;"",CREATE_QUERY($B$1,A$2:G$2,A183:G183),"")</f>
        <v>INSERT INTO base_mast(hqof_idcd, base_idcd, base_code, base_name, prnt_idcd, line_stat, line_levl) VALUES ('N1000WINFO', 'N1000WINFO1201pl', 'pl', '폴란드', '1201', '0', '1');</v>
      </c>
    </row>
    <row r="184" spans="1:9">
      <c r="A184" s="7" t="s">
        <v>1443</v>
      </c>
      <c r="B184" s="6" t="str">
        <f t="shared" si="2"/>
        <v>N1000WINFO1201pm</v>
      </c>
      <c r="C184" s="6" t="s">
        <v>1294</v>
      </c>
      <c r="D184" s="6" t="s">
        <v>1295</v>
      </c>
      <c r="E184" s="8" t="s">
        <v>1442</v>
      </c>
      <c r="F184" s="8" t="s">
        <v>686</v>
      </c>
      <c r="G184" s="8" t="s">
        <v>684</v>
      </c>
      <c r="I184" s="7" t="str">
        <f>IF(B184&lt;&gt;"",CREATE_QUERY($B$1,A$2:G$2,A184:G184),"")</f>
        <v>INSERT INTO base_mast(hqof_idcd, base_idcd, base_code, base_name, prnt_idcd, line_stat, line_levl) VALUES ('N1000WINFO', 'N1000WINFO1201pm', 'pm', '세인트 피에르 미켈론', '1201', '0', '1');</v>
      </c>
    </row>
    <row r="185" spans="1:9">
      <c r="A185" s="7" t="s">
        <v>1443</v>
      </c>
      <c r="B185" s="6" t="str">
        <f t="shared" si="2"/>
        <v>N1000WINFO1201pn</v>
      </c>
      <c r="C185" s="6" t="s">
        <v>1296</v>
      </c>
      <c r="D185" s="6" t="s">
        <v>1297</v>
      </c>
      <c r="E185" s="8" t="s">
        <v>1442</v>
      </c>
      <c r="F185" s="8" t="s">
        <v>686</v>
      </c>
      <c r="G185" s="8" t="s">
        <v>684</v>
      </c>
      <c r="I185" s="7" t="str">
        <f>IF(B185&lt;&gt;"",CREATE_QUERY($B$1,A$2:G$2,A185:G185),"")</f>
        <v>INSERT INTO base_mast(hqof_idcd, base_idcd, base_code, base_name, prnt_idcd, line_stat, line_levl) VALUES ('N1000WINFO', 'N1000WINFO1201pn', 'pn', '핏케언 군도', '1201', '0', '1');</v>
      </c>
    </row>
    <row r="186" spans="1:9">
      <c r="A186" s="7" t="s">
        <v>1443</v>
      </c>
      <c r="B186" s="6" t="str">
        <f t="shared" si="2"/>
        <v>N1000WINFO1201pr</v>
      </c>
      <c r="C186" s="6" t="s">
        <v>1298</v>
      </c>
      <c r="D186" s="6" t="s">
        <v>1299</v>
      </c>
      <c r="E186" s="8" t="s">
        <v>1442</v>
      </c>
      <c r="F186" s="8" t="s">
        <v>686</v>
      </c>
      <c r="G186" s="8" t="s">
        <v>684</v>
      </c>
      <c r="I186" s="7" t="str">
        <f>IF(B186&lt;&gt;"",CREATE_QUERY($B$1,A$2:G$2,A186:G186),"")</f>
        <v>INSERT INTO base_mast(hqof_idcd, base_idcd, base_code, base_name, prnt_idcd, line_stat, line_levl) VALUES ('N1000WINFO', 'N1000WINFO1201pr', 'pr', '푸에르토리코', '1201', '0', '1');</v>
      </c>
    </row>
    <row r="187" spans="1:9">
      <c r="A187" s="7" t="s">
        <v>1443</v>
      </c>
      <c r="B187" s="6" t="str">
        <f t="shared" si="2"/>
        <v>N1000WINFO1201pt</v>
      </c>
      <c r="C187" s="6" t="s">
        <v>1300</v>
      </c>
      <c r="D187" s="6" t="s">
        <v>1301</v>
      </c>
      <c r="E187" s="8" t="s">
        <v>1442</v>
      </c>
      <c r="F187" s="8" t="s">
        <v>686</v>
      </c>
      <c r="G187" s="8" t="s">
        <v>684</v>
      </c>
      <c r="I187" s="7" t="str">
        <f>IF(B187&lt;&gt;"",CREATE_QUERY($B$1,A$2:G$2,A187:G187),"")</f>
        <v>INSERT INTO base_mast(hqof_idcd, base_idcd, base_code, base_name, prnt_idcd, line_stat, line_levl) VALUES ('N1000WINFO', 'N1000WINFO1201pt', 'pt', '포르투갈', '1201', '0', '1');</v>
      </c>
    </row>
    <row r="188" spans="1:9">
      <c r="A188" s="7" t="s">
        <v>1443</v>
      </c>
      <c r="B188" s="6" t="str">
        <f t="shared" si="2"/>
        <v>N1000WINFO1201pw</v>
      </c>
      <c r="C188" s="6" t="s">
        <v>1302</v>
      </c>
      <c r="D188" s="6" t="s">
        <v>1303</v>
      </c>
      <c r="E188" s="8" t="s">
        <v>1442</v>
      </c>
      <c r="F188" s="8" t="s">
        <v>686</v>
      </c>
      <c r="G188" s="8" t="s">
        <v>684</v>
      </c>
      <c r="I188" s="7" t="str">
        <f>IF(B188&lt;&gt;"",CREATE_QUERY($B$1,A$2:G$2,A188:G188),"")</f>
        <v>INSERT INTO base_mast(hqof_idcd, base_idcd, base_code, base_name, prnt_idcd, line_stat, line_levl) VALUES ('N1000WINFO', 'N1000WINFO1201pw', 'pw', '팔라우', '1201', '0', '1');</v>
      </c>
    </row>
    <row r="189" spans="1:9">
      <c r="A189" s="7" t="s">
        <v>1443</v>
      </c>
      <c r="B189" s="6" t="str">
        <f t="shared" si="2"/>
        <v>N1000WINFO1201py</v>
      </c>
      <c r="C189" s="6" t="s">
        <v>1304</v>
      </c>
      <c r="D189" s="6" t="s">
        <v>1305</v>
      </c>
      <c r="E189" s="8" t="s">
        <v>1442</v>
      </c>
      <c r="F189" s="8" t="s">
        <v>686</v>
      </c>
      <c r="G189" s="8" t="s">
        <v>684</v>
      </c>
      <c r="I189" s="7" t="str">
        <f>IF(B189&lt;&gt;"",CREATE_QUERY($B$1,A$2:G$2,A189:G189),"")</f>
        <v>INSERT INTO base_mast(hqof_idcd, base_idcd, base_code, base_name, prnt_idcd, line_stat, line_levl) VALUES ('N1000WINFO', 'N1000WINFO1201py', 'py', '파라과이', '1201', '0', '1');</v>
      </c>
    </row>
    <row r="190" spans="1:9">
      <c r="A190" s="7" t="s">
        <v>1443</v>
      </c>
      <c r="B190" s="6" t="str">
        <f t="shared" si="2"/>
        <v>N1000WINFO1201qa</v>
      </c>
      <c r="C190" s="6" t="s">
        <v>1306</v>
      </c>
      <c r="D190" s="6" t="s">
        <v>1307</v>
      </c>
      <c r="E190" s="8" t="s">
        <v>1442</v>
      </c>
      <c r="F190" s="8" t="s">
        <v>686</v>
      </c>
      <c r="G190" s="8" t="s">
        <v>684</v>
      </c>
      <c r="I190" s="7" t="str">
        <f>IF(B190&lt;&gt;"",CREATE_QUERY($B$1,A$2:G$2,A190:G190),"")</f>
        <v>INSERT INTO base_mast(hqof_idcd, base_idcd, base_code, base_name, prnt_idcd, line_stat, line_levl) VALUES ('N1000WINFO', 'N1000WINFO1201qa', 'qa', '카타르', '1201', '0', '1');</v>
      </c>
    </row>
    <row r="191" spans="1:9">
      <c r="A191" s="7" t="s">
        <v>1443</v>
      </c>
      <c r="B191" s="6" t="str">
        <f t="shared" si="2"/>
        <v>N1000WINFO1201re</v>
      </c>
      <c r="C191" s="6" t="s">
        <v>1308</v>
      </c>
      <c r="D191" s="6" t="s">
        <v>1309</v>
      </c>
      <c r="E191" s="8" t="s">
        <v>1442</v>
      </c>
      <c r="F191" s="8" t="s">
        <v>686</v>
      </c>
      <c r="G191" s="8" t="s">
        <v>684</v>
      </c>
      <c r="I191" s="7" t="str">
        <f>IF(B191&lt;&gt;"",CREATE_QUERY($B$1,A$2:G$2,A191:G191),"")</f>
        <v>INSERT INTO base_mast(hqof_idcd, base_idcd, base_code, base_name, prnt_idcd, line_stat, line_levl) VALUES ('N1000WINFO', 'N1000WINFO1201re', 're', '리유니언(프랑스령)', '1201', '0', '1');</v>
      </c>
    </row>
    <row r="192" spans="1:9">
      <c r="A192" s="7" t="s">
        <v>1443</v>
      </c>
      <c r="B192" s="6" t="str">
        <f t="shared" si="2"/>
        <v>N1000WINFO1201ro</v>
      </c>
      <c r="C192" s="6" t="s">
        <v>1310</v>
      </c>
      <c r="D192" s="6" t="s">
        <v>1311</v>
      </c>
      <c r="E192" s="8" t="s">
        <v>1442</v>
      </c>
      <c r="F192" s="8" t="s">
        <v>686</v>
      </c>
      <c r="G192" s="8" t="s">
        <v>684</v>
      </c>
      <c r="I192" s="7" t="str">
        <f>IF(B192&lt;&gt;"",CREATE_QUERY($B$1,A$2:G$2,A192:G192),"")</f>
        <v>INSERT INTO base_mast(hqof_idcd, base_idcd, base_code, base_name, prnt_idcd, line_stat, line_levl) VALUES ('N1000WINFO', 'N1000WINFO1201ro', 'ro', '루마니아', '1201', '0', '1');</v>
      </c>
    </row>
    <row r="193" spans="1:9">
      <c r="A193" s="7" t="s">
        <v>1443</v>
      </c>
      <c r="B193" s="6" t="str">
        <f t="shared" si="2"/>
        <v>N1000WINFO1201ru</v>
      </c>
      <c r="C193" s="6" t="s">
        <v>1312</v>
      </c>
      <c r="D193" s="6" t="s">
        <v>1313</v>
      </c>
      <c r="E193" s="8" t="s">
        <v>1442</v>
      </c>
      <c r="F193" s="8" t="s">
        <v>686</v>
      </c>
      <c r="G193" s="8" t="s">
        <v>684</v>
      </c>
      <c r="I193" s="7" t="str">
        <f>IF(B193&lt;&gt;"",CREATE_QUERY($B$1,A$2:G$2,A193:G193),"")</f>
        <v>INSERT INTO base_mast(hqof_idcd, base_idcd, base_code, base_name, prnt_idcd, line_stat, line_levl) VALUES ('N1000WINFO', 'N1000WINFO1201ru', 'ru', '러시아', '1201', '0', '1');</v>
      </c>
    </row>
    <row r="194" spans="1:9">
      <c r="A194" s="7" t="s">
        <v>1443</v>
      </c>
      <c r="B194" s="6" t="str">
        <f t="shared" si="2"/>
        <v>N1000WINFO1201rw</v>
      </c>
      <c r="C194" s="6" t="s">
        <v>1314</v>
      </c>
      <c r="D194" s="6" t="s">
        <v>1315</v>
      </c>
      <c r="E194" s="8" t="s">
        <v>1442</v>
      </c>
      <c r="F194" s="8" t="s">
        <v>686</v>
      </c>
      <c r="G194" s="8" t="s">
        <v>684</v>
      </c>
      <c r="I194" s="7" t="str">
        <f>IF(B194&lt;&gt;"",CREATE_QUERY($B$1,A$2:G$2,A194:G194),"")</f>
        <v>INSERT INTO base_mast(hqof_idcd, base_idcd, base_code, base_name, prnt_idcd, line_stat, line_levl) VALUES ('N1000WINFO', 'N1000WINFO1201rw', 'rw', '르완다', '1201', '0', '1');</v>
      </c>
    </row>
    <row r="195" spans="1:9">
      <c r="A195" s="7" t="s">
        <v>1443</v>
      </c>
      <c r="B195" s="6" t="str">
        <f t="shared" si="2"/>
        <v>N1000WINFO1201sa</v>
      </c>
      <c r="C195" s="6" t="s">
        <v>1316</v>
      </c>
      <c r="D195" s="6" t="s">
        <v>1317</v>
      </c>
      <c r="E195" s="8" t="s">
        <v>1442</v>
      </c>
      <c r="F195" s="8" t="s">
        <v>686</v>
      </c>
      <c r="G195" s="8" t="s">
        <v>684</v>
      </c>
      <c r="I195" s="7" t="str">
        <f>IF(B195&lt;&gt;"",CREATE_QUERY($B$1,A$2:G$2,A195:G195),"")</f>
        <v>INSERT INTO base_mast(hqof_idcd, base_idcd, base_code, base_name, prnt_idcd, line_stat, line_levl) VALUES ('N1000WINFO', 'N1000WINFO1201sa', 'sa', '사우디아라비아', '1201', '0', '1');</v>
      </c>
    </row>
    <row r="196" spans="1:9">
      <c r="A196" s="7" t="s">
        <v>1443</v>
      </c>
      <c r="B196" s="6" t="str">
        <f t="shared" ref="B196:B253" si="3">A196&amp;E196&amp;C196</f>
        <v>N1000WINFO1201sb</v>
      </c>
      <c r="C196" s="6" t="s">
        <v>1318</v>
      </c>
      <c r="D196" s="6" t="s">
        <v>1319</v>
      </c>
      <c r="E196" s="8" t="s">
        <v>1442</v>
      </c>
      <c r="F196" s="8" t="s">
        <v>686</v>
      </c>
      <c r="G196" s="8" t="s">
        <v>684</v>
      </c>
      <c r="I196" s="7" t="str">
        <f>IF(B196&lt;&gt;"",CREATE_QUERY($B$1,A$2:G$2,A196:G196),"")</f>
        <v>INSERT INTO base_mast(hqof_idcd, base_idcd, base_code, base_name, prnt_idcd, line_stat, line_levl) VALUES ('N1000WINFO', 'N1000WINFO1201sb', 'sb', '솔로몬 군도', '1201', '0', '1');</v>
      </c>
    </row>
    <row r="197" spans="1:9">
      <c r="A197" s="7" t="s">
        <v>1443</v>
      </c>
      <c r="B197" s="6" t="str">
        <f t="shared" si="3"/>
        <v>N1000WINFO1201sc</v>
      </c>
      <c r="C197" s="6" t="s">
        <v>1320</v>
      </c>
      <c r="D197" s="6" t="s">
        <v>1321</v>
      </c>
      <c r="E197" s="8" t="s">
        <v>1442</v>
      </c>
      <c r="F197" s="8" t="s">
        <v>686</v>
      </c>
      <c r="G197" s="8" t="s">
        <v>684</v>
      </c>
      <c r="I197" s="7" t="str">
        <f>IF(B197&lt;&gt;"",CREATE_QUERY($B$1,A$2:G$2,A197:G197),"")</f>
        <v>INSERT INTO base_mast(hqof_idcd, base_idcd, base_code, base_name, prnt_idcd, line_stat, line_levl) VALUES ('N1000WINFO', 'N1000WINFO1201sc', 'sc', '세이셸', '1201', '0', '1');</v>
      </c>
    </row>
    <row r="198" spans="1:9">
      <c r="A198" s="7" t="s">
        <v>1443</v>
      </c>
      <c r="B198" s="6" t="str">
        <f t="shared" si="3"/>
        <v>N1000WINFO1201sd</v>
      </c>
      <c r="C198" s="6" t="s">
        <v>1322</v>
      </c>
      <c r="D198" s="6" t="s">
        <v>1323</v>
      </c>
      <c r="E198" s="8" t="s">
        <v>1442</v>
      </c>
      <c r="F198" s="8" t="s">
        <v>686</v>
      </c>
      <c r="G198" s="8" t="s">
        <v>684</v>
      </c>
      <c r="I198" s="7" t="str">
        <f>IF(B198&lt;&gt;"",CREATE_QUERY($B$1,A$2:G$2,A198:G198),"")</f>
        <v>INSERT INTO base_mast(hqof_idcd, base_idcd, base_code, base_name, prnt_idcd, line_stat, line_levl) VALUES ('N1000WINFO', 'N1000WINFO1201sd', 'sd', '수단', '1201', '0', '1');</v>
      </c>
    </row>
    <row r="199" spans="1:9">
      <c r="A199" s="7" t="s">
        <v>1443</v>
      </c>
      <c r="B199" s="6" t="str">
        <f t="shared" si="3"/>
        <v>N1000WINFO1201se</v>
      </c>
      <c r="C199" s="6" t="s">
        <v>1324</v>
      </c>
      <c r="D199" s="6" t="s">
        <v>1325</v>
      </c>
      <c r="E199" s="8" t="s">
        <v>1442</v>
      </c>
      <c r="F199" s="8" t="s">
        <v>686</v>
      </c>
      <c r="G199" s="8" t="s">
        <v>684</v>
      </c>
      <c r="I199" s="7" t="str">
        <f>IF(B199&lt;&gt;"",CREATE_QUERY($B$1,A$2:G$2,A199:G199),"")</f>
        <v>INSERT INTO base_mast(hqof_idcd, base_idcd, base_code, base_name, prnt_idcd, line_stat, line_levl) VALUES ('N1000WINFO', 'N1000WINFO1201se', 'se', '스웨덴', '1201', '0', '1');</v>
      </c>
    </row>
    <row r="200" spans="1:9">
      <c r="A200" s="7" t="s">
        <v>1443</v>
      </c>
      <c r="B200" s="6" t="str">
        <f t="shared" si="3"/>
        <v>N1000WINFO1201sg</v>
      </c>
      <c r="C200" s="6" t="s">
        <v>1326</v>
      </c>
      <c r="D200" s="6" t="s">
        <v>1327</v>
      </c>
      <c r="E200" s="8" t="s">
        <v>1442</v>
      </c>
      <c r="F200" s="8" t="s">
        <v>686</v>
      </c>
      <c r="G200" s="8" t="s">
        <v>684</v>
      </c>
      <c r="I200" s="7" t="str">
        <f>IF(B200&lt;&gt;"",CREATE_QUERY($B$1,A$2:G$2,A200:G200),"")</f>
        <v>INSERT INTO base_mast(hqof_idcd, base_idcd, base_code, base_name, prnt_idcd, line_stat, line_levl) VALUES ('N1000WINFO', 'N1000WINFO1201sg', 'sg', '싱가포르', '1201', '0', '1');</v>
      </c>
    </row>
    <row r="201" spans="1:9">
      <c r="A201" s="7" t="s">
        <v>1443</v>
      </c>
      <c r="B201" s="6" t="str">
        <f t="shared" si="3"/>
        <v>N1000WINFO1201sh</v>
      </c>
      <c r="C201" s="6" t="s">
        <v>1328</v>
      </c>
      <c r="D201" s="6" t="s">
        <v>1329</v>
      </c>
      <c r="E201" s="8" t="s">
        <v>1442</v>
      </c>
      <c r="F201" s="8" t="s">
        <v>686</v>
      </c>
      <c r="G201" s="8" t="s">
        <v>684</v>
      </c>
      <c r="I201" s="7" t="str">
        <f>IF(B201&lt;&gt;"",CREATE_QUERY($B$1,A$2:G$2,A201:G201),"")</f>
        <v>INSERT INTO base_mast(hqof_idcd, base_idcd, base_code, base_name, prnt_idcd, line_stat, line_levl) VALUES ('N1000WINFO', 'N1000WINFO1201sh', 'sh', '세인트 헬레나', '1201', '0', '1');</v>
      </c>
    </row>
    <row r="202" spans="1:9">
      <c r="A202" s="7" t="s">
        <v>1443</v>
      </c>
      <c r="B202" s="6" t="str">
        <f t="shared" si="3"/>
        <v>N1000WINFO1201si</v>
      </c>
      <c r="C202" s="6" t="s">
        <v>1330</v>
      </c>
      <c r="D202" s="6" t="s">
        <v>1331</v>
      </c>
      <c r="E202" s="8" t="s">
        <v>1442</v>
      </c>
      <c r="F202" s="8" t="s">
        <v>686</v>
      </c>
      <c r="G202" s="8" t="s">
        <v>684</v>
      </c>
      <c r="I202" s="7" t="str">
        <f>IF(B202&lt;&gt;"",CREATE_QUERY($B$1,A$2:G$2,A202:G202),"")</f>
        <v>INSERT INTO base_mast(hqof_idcd, base_idcd, base_code, base_name, prnt_idcd, line_stat, line_levl) VALUES ('N1000WINFO', 'N1000WINFO1201si', 'si', '슬로베니아', '1201', '0', '1');</v>
      </c>
    </row>
    <row r="203" spans="1:9">
      <c r="A203" s="7" t="s">
        <v>1443</v>
      </c>
      <c r="B203" s="6" t="str">
        <f t="shared" si="3"/>
        <v>N1000WINFO1201sj</v>
      </c>
      <c r="C203" s="6" t="s">
        <v>1332</v>
      </c>
      <c r="D203" s="6" t="s">
        <v>1333</v>
      </c>
      <c r="E203" s="8" t="s">
        <v>1442</v>
      </c>
      <c r="F203" s="8" t="s">
        <v>686</v>
      </c>
      <c r="G203" s="8" t="s">
        <v>684</v>
      </c>
      <c r="I203" s="7" t="str">
        <f>IF(B203&lt;&gt;"",CREATE_QUERY($B$1,A$2:G$2,A203:G203),"")</f>
        <v>INSERT INTO base_mast(hqof_idcd, base_idcd, base_code, base_name, prnt_idcd, line_stat, line_levl) VALUES ('N1000WINFO', 'N1000WINFO1201sj', 'sj', '스발바르드 얀마이옌 군도', '1201', '0', '1');</v>
      </c>
    </row>
    <row r="204" spans="1:9">
      <c r="A204" s="7" t="s">
        <v>1443</v>
      </c>
      <c r="B204" s="6" t="str">
        <f t="shared" si="3"/>
        <v>N1000WINFO1201sk</v>
      </c>
      <c r="C204" s="6" t="s">
        <v>1334</v>
      </c>
      <c r="D204" s="6" t="s">
        <v>1335</v>
      </c>
      <c r="E204" s="8" t="s">
        <v>1442</v>
      </c>
      <c r="F204" s="8" t="s">
        <v>686</v>
      </c>
      <c r="G204" s="8" t="s">
        <v>684</v>
      </c>
      <c r="I204" s="7" t="str">
        <f>IF(B204&lt;&gt;"",CREATE_QUERY($B$1,A$2:G$2,A204:G204),"")</f>
        <v>INSERT INTO base_mast(hqof_idcd, base_idcd, base_code, base_name, prnt_idcd, line_stat, line_levl) VALUES ('N1000WINFO', 'N1000WINFO1201sk', 'sk', '슬로바키아', '1201', '0', '1');</v>
      </c>
    </row>
    <row r="205" spans="1:9">
      <c r="A205" s="7" t="s">
        <v>1443</v>
      </c>
      <c r="B205" s="6" t="str">
        <f t="shared" si="3"/>
        <v>N1000WINFO1201sl</v>
      </c>
      <c r="C205" s="6" t="s">
        <v>1336</v>
      </c>
      <c r="D205" s="6" t="s">
        <v>1337</v>
      </c>
      <c r="E205" s="8" t="s">
        <v>1442</v>
      </c>
      <c r="F205" s="8" t="s">
        <v>686</v>
      </c>
      <c r="G205" s="8" t="s">
        <v>684</v>
      </c>
      <c r="I205" s="7" t="str">
        <f>IF(B205&lt;&gt;"",CREATE_QUERY($B$1,A$2:G$2,A205:G205),"")</f>
        <v>INSERT INTO base_mast(hqof_idcd, base_idcd, base_code, base_name, prnt_idcd, line_stat, line_levl) VALUES ('N1000WINFO', 'N1000WINFO1201sl', 'sl', '시에라리온', '1201', '0', '1');</v>
      </c>
    </row>
    <row r="206" spans="1:9">
      <c r="A206" s="7" t="s">
        <v>1443</v>
      </c>
      <c r="B206" s="6" t="str">
        <f t="shared" si="3"/>
        <v>N1000WINFO1201sm</v>
      </c>
      <c r="C206" s="6" t="s">
        <v>1338</v>
      </c>
      <c r="D206" s="6" t="s">
        <v>1339</v>
      </c>
      <c r="E206" s="8" t="s">
        <v>1442</v>
      </c>
      <c r="F206" s="8" t="s">
        <v>686</v>
      </c>
      <c r="G206" s="8" t="s">
        <v>684</v>
      </c>
      <c r="I206" s="7" t="str">
        <f>IF(B206&lt;&gt;"",CREATE_QUERY($B$1,A$2:G$2,A206:G206),"")</f>
        <v>INSERT INTO base_mast(hqof_idcd, base_idcd, base_code, base_name, prnt_idcd, line_stat, line_levl) VALUES ('N1000WINFO', 'N1000WINFO1201sm', 'sm', '산마리노', '1201', '0', '1');</v>
      </c>
    </row>
    <row r="207" spans="1:9">
      <c r="A207" s="7" t="s">
        <v>1443</v>
      </c>
      <c r="B207" s="6" t="str">
        <f t="shared" si="3"/>
        <v>N1000WINFO1201sn</v>
      </c>
      <c r="C207" s="6" t="s">
        <v>1340</v>
      </c>
      <c r="D207" s="6" t="s">
        <v>1341</v>
      </c>
      <c r="E207" s="8" t="s">
        <v>1442</v>
      </c>
      <c r="F207" s="8" t="s">
        <v>686</v>
      </c>
      <c r="G207" s="8" t="s">
        <v>684</v>
      </c>
      <c r="I207" s="7" t="str">
        <f>IF(B207&lt;&gt;"",CREATE_QUERY($B$1,A$2:G$2,A207:G207),"")</f>
        <v>INSERT INTO base_mast(hqof_idcd, base_idcd, base_code, base_name, prnt_idcd, line_stat, line_levl) VALUES ('N1000WINFO', 'N1000WINFO1201sn', 'sn', '세네갈', '1201', '0', '1');</v>
      </c>
    </row>
    <row r="208" spans="1:9">
      <c r="A208" s="7" t="s">
        <v>1443</v>
      </c>
      <c r="B208" s="6" t="str">
        <f t="shared" si="3"/>
        <v>N1000WINFO1201so</v>
      </c>
      <c r="C208" s="6" t="s">
        <v>1342</v>
      </c>
      <c r="D208" s="6" t="s">
        <v>1343</v>
      </c>
      <c r="E208" s="8" t="s">
        <v>1442</v>
      </c>
      <c r="F208" s="8" t="s">
        <v>686</v>
      </c>
      <c r="G208" s="8" t="s">
        <v>684</v>
      </c>
      <c r="I208" s="7" t="str">
        <f>IF(B208&lt;&gt;"",CREATE_QUERY($B$1,A$2:G$2,A208:G208),"")</f>
        <v>INSERT INTO base_mast(hqof_idcd, base_idcd, base_code, base_name, prnt_idcd, line_stat, line_levl) VALUES ('N1000WINFO', 'N1000WINFO1201so', 'so', '소말리아', '1201', '0', '1');</v>
      </c>
    </row>
    <row r="209" spans="1:9">
      <c r="A209" s="7" t="s">
        <v>1443</v>
      </c>
      <c r="B209" s="6" t="str">
        <f t="shared" si="3"/>
        <v>N1000WINFO1201sr</v>
      </c>
      <c r="C209" s="6" t="s">
        <v>1344</v>
      </c>
      <c r="D209" s="6" t="s">
        <v>1345</v>
      </c>
      <c r="E209" s="8" t="s">
        <v>1442</v>
      </c>
      <c r="F209" s="8" t="s">
        <v>686</v>
      </c>
      <c r="G209" s="8" t="s">
        <v>684</v>
      </c>
      <c r="I209" s="7" t="str">
        <f>IF(B209&lt;&gt;"",CREATE_QUERY($B$1,A$2:G$2,A209:G209),"")</f>
        <v>INSERT INTO base_mast(hqof_idcd, base_idcd, base_code, base_name, prnt_idcd, line_stat, line_levl) VALUES ('N1000WINFO', 'N1000WINFO1201sr', 'sr', '수리남', '1201', '0', '1');</v>
      </c>
    </row>
    <row r="210" spans="1:9">
      <c r="A210" s="7" t="s">
        <v>1443</v>
      </c>
      <c r="B210" s="6" t="str">
        <f t="shared" si="3"/>
        <v>N1000WINFO1201st</v>
      </c>
      <c r="C210" s="6" t="s">
        <v>1346</v>
      </c>
      <c r="D210" s="6" t="s">
        <v>1347</v>
      </c>
      <c r="E210" s="8" t="s">
        <v>1442</v>
      </c>
      <c r="F210" s="8" t="s">
        <v>686</v>
      </c>
      <c r="G210" s="8" t="s">
        <v>684</v>
      </c>
      <c r="I210" s="7" t="str">
        <f>IF(B210&lt;&gt;"",CREATE_QUERY($B$1,A$2:G$2,A210:G210),"")</f>
        <v>INSERT INTO base_mast(hqof_idcd, base_idcd, base_code, base_name, prnt_idcd, line_stat, line_levl) VALUES ('N1000WINFO', 'N1000WINFO1201st', 'st', '상투메 프린시페', '1201', '0', '1');</v>
      </c>
    </row>
    <row r="211" spans="1:9">
      <c r="A211" s="7" t="s">
        <v>1443</v>
      </c>
      <c r="B211" s="6" t="str">
        <f t="shared" si="3"/>
        <v>N1000WINFO1201su</v>
      </c>
      <c r="C211" s="6" t="s">
        <v>1348</v>
      </c>
      <c r="D211" s="6" t="s">
        <v>1349</v>
      </c>
      <c r="E211" s="8" t="s">
        <v>1442</v>
      </c>
      <c r="F211" s="8" t="s">
        <v>686</v>
      </c>
      <c r="G211" s="8" t="s">
        <v>684</v>
      </c>
      <c r="I211" s="7" t="str">
        <f>IF(B211&lt;&gt;"",CREATE_QUERY($B$1,A$2:G$2,A211:G211),"")</f>
        <v>INSERT INTO base_mast(hqof_idcd, base_idcd, base_code, base_name, prnt_idcd, line_stat, line_levl) VALUES ('N1000WINFO', 'N1000WINFO1201su', 'su', '구 USSR', '1201', '0', '1');</v>
      </c>
    </row>
    <row r="212" spans="1:9">
      <c r="A212" s="7" t="s">
        <v>1443</v>
      </c>
      <c r="B212" s="6" t="str">
        <f t="shared" si="3"/>
        <v>N1000WINFO1201sv</v>
      </c>
      <c r="C212" s="6" t="s">
        <v>1350</v>
      </c>
      <c r="D212" s="6" t="s">
        <v>1351</v>
      </c>
      <c r="E212" s="8" t="s">
        <v>1442</v>
      </c>
      <c r="F212" s="8" t="s">
        <v>686</v>
      </c>
      <c r="G212" s="8" t="s">
        <v>684</v>
      </c>
      <c r="I212" s="7" t="str">
        <f>IF(B212&lt;&gt;"",CREATE_QUERY($B$1,A$2:G$2,A212:G212),"")</f>
        <v>INSERT INTO base_mast(hqof_idcd, base_idcd, base_code, base_name, prnt_idcd, line_stat, line_levl) VALUES ('N1000WINFO', 'N1000WINFO1201sv', 'sv', '엘살바도르', '1201', '0', '1');</v>
      </c>
    </row>
    <row r="213" spans="1:9">
      <c r="A213" s="7" t="s">
        <v>1443</v>
      </c>
      <c r="B213" s="6" t="str">
        <f t="shared" si="3"/>
        <v>N1000WINFO1201sy</v>
      </c>
      <c r="C213" s="6" t="s">
        <v>1352</v>
      </c>
      <c r="D213" s="6" t="s">
        <v>1353</v>
      </c>
      <c r="E213" s="8" t="s">
        <v>1442</v>
      </c>
      <c r="F213" s="8" t="s">
        <v>686</v>
      </c>
      <c r="G213" s="8" t="s">
        <v>684</v>
      </c>
      <c r="I213" s="7" t="str">
        <f>IF(B213&lt;&gt;"",CREATE_QUERY($B$1,A$2:G$2,A213:G213),"")</f>
        <v>INSERT INTO base_mast(hqof_idcd, base_idcd, base_code, base_name, prnt_idcd, line_stat, line_levl) VALUES ('N1000WINFO', 'N1000WINFO1201sy', 'sy', '시리아', '1201', '0', '1');</v>
      </c>
    </row>
    <row r="214" spans="1:9">
      <c r="A214" s="7" t="s">
        <v>1443</v>
      </c>
      <c r="B214" s="6" t="str">
        <f t="shared" si="3"/>
        <v>N1000WINFO1201sz</v>
      </c>
      <c r="C214" s="6" t="s">
        <v>1354</v>
      </c>
      <c r="D214" s="6" t="s">
        <v>1355</v>
      </c>
      <c r="E214" s="8" t="s">
        <v>1442</v>
      </c>
      <c r="F214" s="8" t="s">
        <v>686</v>
      </c>
      <c r="G214" s="8" t="s">
        <v>684</v>
      </c>
      <c r="I214" s="7" t="str">
        <f>IF(B214&lt;&gt;"",CREATE_QUERY($B$1,A$2:G$2,A214:G214),"")</f>
        <v>INSERT INTO base_mast(hqof_idcd, base_idcd, base_code, base_name, prnt_idcd, line_stat, line_levl) VALUES ('N1000WINFO', 'N1000WINFO1201sz', 'sz', '스와질랜드', '1201', '0', '1');</v>
      </c>
    </row>
    <row r="215" spans="1:9">
      <c r="A215" s="7" t="s">
        <v>1443</v>
      </c>
      <c r="B215" s="6" t="str">
        <f t="shared" si="3"/>
        <v>N1000WINFO1201tc</v>
      </c>
      <c r="C215" s="6" t="s">
        <v>1356</v>
      </c>
      <c r="D215" s="6" t="s">
        <v>1357</v>
      </c>
      <c r="E215" s="8" t="s">
        <v>1442</v>
      </c>
      <c r="F215" s="8" t="s">
        <v>686</v>
      </c>
      <c r="G215" s="8" t="s">
        <v>684</v>
      </c>
      <c r="I215" s="7" t="str">
        <f>IF(B215&lt;&gt;"",CREATE_QUERY($B$1,A$2:G$2,A215:G215),"")</f>
        <v>INSERT INTO base_mast(hqof_idcd, base_idcd, base_code, base_name, prnt_idcd, line_stat, line_levl) VALUES ('N1000WINFO', 'N1000WINFO1201tc', 'tc', '터크스 카이코스 군도', '1201', '0', '1');</v>
      </c>
    </row>
    <row r="216" spans="1:9">
      <c r="A216" s="7" t="s">
        <v>1443</v>
      </c>
      <c r="B216" s="6" t="str">
        <f t="shared" si="3"/>
        <v>N1000WINFO1201td</v>
      </c>
      <c r="C216" s="6" t="s">
        <v>1358</v>
      </c>
      <c r="D216" s="6" t="s">
        <v>1359</v>
      </c>
      <c r="E216" s="8" t="s">
        <v>1442</v>
      </c>
      <c r="F216" s="8" t="s">
        <v>686</v>
      </c>
      <c r="G216" s="8" t="s">
        <v>684</v>
      </c>
      <c r="I216" s="7" t="str">
        <f>IF(B216&lt;&gt;"",CREATE_QUERY($B$1,A$2:G$2,A216:G216),"")</f>
        <v>INSERT INTO base_mast(hqof_idcd, base_idcd, base_code, base_name, prnt_idcd, line_stat, line_levl) VALUES ('N1000WINFO', 'N1000WINFO1201td', 'td', '차드', '1201', '0', '1');</v>
      </c>
    </row>
    <row r="217" spans="1:9">
      <c r="A217" s="7" t="s">
        <v>1443</v>
      </c>
      <c r="B217" s="6" t="str">
        <f t="shared" si="3"/>
        <v>N1000WINFO1201tf</v>
      </c>
      <c r="C217" s="6" t="s">
        <v>1360</v>
      </c>
      <c r="D217" s="6" t="s">
        <v>1361</v>
      </c>
      <c r="E217" s="8" t="s">
        <v>1442</v>
      </c>
      <c r="F217" s="8" t="s">
        <v>686</v>
      </c>
      <c r="G217" s="8" t="s">
        <v>684</v>
      </c>
      <c r="I217" s="7" t="str">
        <f>IF(B217&lt;&gt;"",CREATE_QUERY($B$1,A$2:G$2,A217:G217),"")</f>
        <v>INSERT INTO base_mast(hqof_idcd, base_idcd, base_code, base_name, prnt_idcd, line_stat, line_levl) VALUES ('N1000WINFO', 'N1000WINFO1201tf', 'tf', '프랑스 남부 지방', '1201', '0', '1');</v>
      </c>
    </row>
    <row r="218" spans="1:9">
      <c r="A218" s="7" t="s">
        <v>1443</v>
      </c>
      <c r="B218" s="6" t="str">
        <f t="shared" si="3"/>
        <v>N1000WINFO1201tg</v>
      </c>
      <c r="C218" s="6" t="s">
        <v>1362</v>
      </c>
      <c r="D218" s="6" t="s">
        <v>1363</v>
      </c>
      <c r="E218" s="8" t="s">
        <v>1442</v>
      </c>
      <c r="F218" s="8" t="s">
        <v>686</v>
      </c>
      <c r="G218" s="8" t="s">
        <v>684</v>
      </c>
      <c r="I218" s="7" t="str">
        <f>IF(B218&lt;&gt;"",CREATE_QUERY($B$1,A$2:G$2,A218:G218),"")</f>
        <v>INSERT INTO base_mast(hqof_idcd, base_idcd, base_code, base_name, prnt_idcd, line_stat, line_levl) VALUES ('N1000WINFO', 'N1000WINFO1201tg', 'tg', '토고', '1201', '0', '1');</v>
      </c>
    </row>
    <row r="219" spans="1:9">
      <c r="A219" s="7" t="s">
        <v>1443</v>
      </c>
      <c r="B219" s="6" t="str">
        <f t="shared" si="3"/>
        <v>N1000WINFO1201th</v>
      </c>
      <c r="C219" s="6" t="s">
        <v>1364</v>
      </c>
      <c r="D219" s="6" t="s">
        <v>1365</v>
      </c>
      <c r="E219" s="8" t="s">
        <v>1442</v>
      </c>
      <c r="F219" s="8" t="s">
        <v>686</v>
      </c>
      <c r="G219" s="8" t="s">
        <v>684</v>
      </c>
      <c r="I219" s="7" t="str">
        <f>IF(B219&lt;&gt;"",CREATE_QUERY($B$1,A$2:G$2,A219:G219),"")</f>
        <v>INSERT INTO base_mast(hqof_idcd, base_idcd, base_code, base_name, prnt_idcd, line_stat, line_levl) VALUES ('N1000WINFO', 'N1000WINFO1201th', 'th', '태국', '1201', '0', '1');</v>
      </c>
    </row>
    <row r="220" spans="1:9">
      <c r="A220" s="7" t="s">
        <v>1443</v>
      </c>
      <c r="B220" s="6" t="str">
        <f t="shared" si="3"/>
        <v>N1000WINFO1201tj</v>
      </c>
      <c r="C220" s="6" t="s">
        <v>1366</v>
      </c>
      <c r="D220" s="6" t="s">
        <v>1367</v>
      </c>
      <c r="E220" s="8" t="s">
        <v>1442</v>
      </c>
      <c r="F220" s="8" t="s">
        <v>686</v>
      </c>
      <c r="G220" s="8" t="s">
        <v>684</v>
      </c>
      <c r="I220" s="7" t="str">
        <f>IF(B220&lt;&gt;"",CREATE_QUERY($B$1,A$2:G$2,A220:G220),"")</f>
        <v>INSERT INTO base_mast(hqof_idcd, base_idcd, base_code, base_name, prnt_idcd, line_stat, line_levl) VALUES ('N1000WINFO', 'N1000WINFO1201tj', 'tj', '타지키스탄', '1201', '0', '1');</v>
      </c>
    </row>
    <row r="221" spans="1:9">
      <c r="A221" s="7" t="s">
        <v>1443</v>
      </c>
      <c r="B221" s="6" t="str">
        <f t="shared" si="3"/>
        <v>N1000WINFO1201tk</v>
      </c>
      <c r="C221" s="6" t="s">
        <v>1368</v>
      </c>
      <c r="D221" s="6" t="s">
        <v>1369</v>
      </c>
      <c r="E221" s="8" t="s">
        <v>1442</v>
      </c>
      <c r="F221" s="8" t="s">
        <v>686</v>
      </c>
      <c r="G221" s="8" t="s">
        <v>684</v>
      </c>
      <c r="I221" s="7" t="str">
        <f>IF(B221&lt;&gt;"",CREATE_QUERY($B$1,A$2:G$2,A221:G221),"")</f>
        <v>INSERT INTO base_mast(hqof_idcd, base_idcd, base_code, base_name, prnt_idcd, line_stat, line_levl) VALUES ('N1000WINFO', 'N1000WINFO1201tk', 'tk', '토켈라우', '1201', '0', '1');</v>
      </c>
    </row>
    <row r="222" spans="1:9">
      <c r="A222" s="7" t="s">
        <v>1443</v>
      </c>
      <c r="B222" s="6" t="str">
        <f t="shared" si="3"/>
        <v>N1000WINFO1201tm</v>
      </c>
      <c r="C222" s="6" t="s">
        <v>1370</v>
      </c>
      <c r="D222" s="6" t="s">
        <v>1371</v>
      </c>
      <c r="E222" s="8" t="s">
        <v>1442</v>
      </c>
      <c r="F222" s="8" t="s">
        <v>686</v>
      </c>
      <c r="G222" s="8" t="s">
        <v>684</v>
      </c>
      <c r="I222" s="7" t="str">
        <f>IF(B222&lt;&gt;"",CREATE_QUERY($B$1,A$2:G$2,A222:G222),"")</f>
        <v>INSERT INTO base_mast(hqof_idcd, base_idcd, base_code, base_name, prnt_idcd, line_stat, line_levl) VALUES ('N1000WINFO', 'N1000WINFO1201tm', 'tm', '투르크메니스탄', '1201', '0', '1');</v>
      </c>
    </row>
    <row r="223" spans="1:9">
      <c r="A223" s="7" t="s">
        <v>1443</v>
      </c>
      <c r="B223" s="6" t="str">
        <f t="shared" si="3"/>
        <v>N1000WINFO1201tn</v>
      </c>
      <c r="C223" s="6" t="s">
        <v>1372</v>
      </c>
      <c r="D223" s="6" t="s">
        <v>1373</v>
      </c>
      <c r="E223" s="8" t="s">
        <v>1442</v>
      </c>
      <c r="F223" s="8" t="s">
        <v>686</v>
      </c>
      <c r="G223" s="8" t="s">
        <v>684</v>
      </c>
      <c r="I223" s="7" t="str">
        <f>IF(B223&lt;&gt;"",CREATE_QUERY($B$1,A$2:G$2,A223:G223),"")</f>
        <v>INSERT INTO base_mast(hqof_idcd, base_idcd, base_code, base_name, prnt_idcd, line_stat, line_levl) VALUES ('N1000WINFO', 'N1000WINFO1201tn', 'tn', '튀니지', '1201', '0', '1');</v>
      </c>
    </row>
    <row r="224" spans="1:9">
      <c r="A224" s="7" t="s">
        <v>1443</v>
      </c>
      <c r="B224" s="6" t="str">
        <f t="shared" si="3"/>
        <v>N1000WINFO1201to</v>
      </c>
      <c r="C224" s="6" t="s">
        <v>1374</v>
      </c>
      <c r="D224" s="6" t="s">
        <v>1375</v>
      </c>
      <c r="E224" s="8" t="s">
        <v>1442</v>
      </c>
      <c r="F224" s="8" t="s">
        <v>686</v>
      </c>
      <c r="G224" s="8" t="s">
        <v>684</v>
      </c>
      <c r="I224" s="7" t="str">
        <f>IF(B224&lt;&gt;"",CREATE_QUERY($B$1,A$2:G$2,A224:G224),"")</f>
        <v>INSERT INTO base_mast(hqof_idcd, base_idcd, base_code, base_name, prnt_idcd, line_stat, line_levl) VALUES ('N1000WINFO', 'N1000WINFO1201to', 'to', '통가', '1201', '0', '1');</v>
      </c>
    </row>
    <row r="225" spans="1:9">
      <c r="A225" s="7" t="s">
        <v>1443</v>
      </c>
      <c r="B225" s="6" t="str">
        <f t="shared" si="3"/>
        <v>N1000WINFO1201tp</v>
      </c>
      <c r="C225" s="6" t="s">
        <v>1376</v>
      </c>
      <c r="D225" s="6" t="s">
        <v>1377</v>
      </c>
      <c r="E225" s="8" t="s">
        <v>1442</v>
      </c>
      <c r="F225" s="8" t="s">
        <v>686</v>
      </c>
      <c r="G225" s="8" t="s">
        <v>684</v>
      </c>
      <c r="I225" s="7" t="str">
        <f>IF(B225&lt;&gt;"",CREATE_QUERY($B$1,A$2:G$2,A225:G225),"")</f>
        <v>INSERT INTO base_mast(hqof_idcd, base_idcd, base_code, base_name, prnt_idcd, line_stat, line_levl) VALUES ('N1000WINFO', 'N1000WINFO1201tp', 'tp', '동티모르', '1201', '0', '1');</v>
      </c>
    </row>
    <row r="226" spans="1:9">
      <c r="A226" s="7" t="s">
        <v>1443</v>
      </c>
      <c r="B226" s="6" t="str">
        <f t="shared" si="3"/>
        <v>N1000WINFO1201tr</v>
      </c>
      <c r="C226" s="6" t="s">
        <v>1378</v>
      </c>
      <c r="D226" s="6" t="s">
        <v>1379</v>
      </c>
      <c r="E226" s="8" t="s">
        <v>1442</v>
      </c>
      <c r="F226" s="8" t="s">
        <v>686</v>
      </c>
      <c r="G226" s="8" t="s">
        <v>684</v>
      </c>
      <c r="I226" s="7" t="str">
        <f>IF(B226&lt;&gt;"",CREATE_QUERY($B$1,A$2:G$2,A226:G226),"")</f>
        <v>INSERT INTO base_mast(hqof_idcd, base_idcd, base_code, base_name, prnt_idcd, line_stat, line_levl) VALUES ('N1000WINFO', 'N1000WINFO1201tr', 'tr', '터키', '1201', '0', '1');</v>
      </c>
    </row>
    <row r="227" spans="1:9">
      <c r="A227" s="7" t="s">
        <v>1443</v>
      </c>
      <c r="B227" s="6" t="str">
        <f t="shared" si="3"/>
        <v>N1000WINFO1201tt</v>
      </c>
      <c r="C227" s="6" t="s">
        <v>1380</v>
      </c>
      <c r="D227" s="6" t="s">
        <v>1381</v>
      </c>
      <c r="E227" s="8" t="s">
        <v>1442</v>
      </c>
      <c r="F227" s="8" t="s">
        <v>686</v>
      </c>
      <c r="G227" s="8" t="s">
        <v>684</v>
      </c>
      <c r="I227" s="7" t="str">
        <f>IF(B227&lt;&gt;"",CREATE_QUERY($B$1,A$2:G$2,A227:G227),"")</f>
        <v>INSERT INTO base_mast(hqof_idcd, base_idcd, base_code, base_name, prnt_idcd, line_stat, line_levl) VALUES ('N1000WINFO', 'N1000WINFO1201tt', 'tt', '트리니다드 토바고', '1201', '0', '1');</v>
      </c>
    </row>
    <row r="228" spans="1:9">
      <c r="A228" s="7" t="s">
        <v>1443</v>
      </c>
      <c r="B228" s="6" t="str">
        <f t="shared" si="3"/>
        <v>N1000WINFO1201tv</v>
      </c>
      <c r="C228" s="6" t="s">
        <v>1382</v>
      </c>
      <c r="D228" s="6" t="s">
        <v>1383</v>
      </c>
      <c r="E228" s="8" t="s">
        <v>1442</v>
      </c>
      <c r="F228" s="8" t="s">
        <v>686</v>
      </c>
      <c r="G228" s="8" t="s">
        <v>684</v>
      </c>
      <c r="I228" s="7" t="str">
        <f>IF(B228&lt;&gt;"",CREATE_QUERY($B$1,A$2:G$2,A228:G228),"")</f>
        <v>INSERT INTO base_mast(hqof_idcd, base_idcd, base_code, base_name, prnt_idcd, line_stat, line_levl) VALUES ('N1000WINFO', 'N1000WINFO1201tv', 'tv', '투발루', '1201', '0', '1');</v>
      </c>
    </row>
    <row r="229" spans="1:9">
      <c r="A229" s="7" t="s">
        <v>1443</v>
      </c>
      <c r="B229" s="6" t="str">
        <f t="shared" si="3"/>
        <v>N1000WINFO1201tw</v>
      </c>
      <c r="C229" s="6" t="s">
        <v>1384</v>
      </c>
      <c r="D229" s="6" t="s">
        <v>1385</v>
      </c>
      <c r="E229" s="8" t="s">
        <v>1442</v>
      </c>
      <c r="F229" s="8" t="s">
        <v>686</v>
      </c>
      <c r="G229" s="8" t="s">
        <v>684</v>
      </c>
      <c r="I229" s="7" t="str">
        <f>IF(B229&lt;&gt;"",CREATE_QUERY($B$1,A$2:G$2,A229:G229),"")</f>
        <v>INSERT INTO base_mast(hqof_idcd, base_idcd, base_code, base_name, prnt_idcd, line_stat, line_levl) VALUES ('N1000WINFO', 'N1000WINFO1201tw', 'tw', '대만', '1201', '0', '1');</v>
      </c>
    </row>
    <row r="230" spans="1:9">
      <c r="A230" s="7" t="s">
        <v>1443</v>
      </c>
      <c r="B230" s="6" t="str">
        <f t="shared" si="3"/>
        <v>N1000WINFO1201tz</v>
      </c>
      <c r="C230" s="6" t="s">
        <v>1386</v>
      </c>
      <c r="D230" s="6" t="s">
        <v>1387</v>
      </c>
      <c r="E230" s="8" t="s">
        <v>1442</v>
      </c>
      <c r="F230" s="8" t="s">
        <v>686</v>
      </c>
      <c r="G230" s="8" t="s">
        <v>684</v>
      </c>
      <c r="I230" s="7" t="str">
        <f>IF(B230&lt;&gt;"",CREATE_QUERY($B$1,A$2:G$2,A230:G230),"")</f>
        <v>INSERT INTO base_mast(hqof_idcd, base_idcd, base_code, base_name, prnt_idcd, line_stat, line_levl) VALUES ('N1000WINFO', 'N1000WINFO1201tz', 'tz', '탄자니아', '1201', '0', '1');</v>
      </c>
    </row>
    <row r="231" spans="1:9">
      <c r="A231" s="7" t="s">
        <v>1443</v>
      </c>
      <c r="B231" s="6" t="str">
        <f t="shared" si="3"/>
        <v>N1000WINFO1201ua</v>
      </c>
      <c r="C231" s="6" t="s">
        <v>1388</v>
      </c>
      <c r="D231" s="6" t="s">
        <v>1389</v>
      </c>
      <c r="E231" s="8" t="s">
        <v>1442</v>
      </c>
      <c r="F231" s="8" t="s">
        <v>686</v>
      </c>
      <c r="G231" s="8" t="s">
        <v>684</v>
      </c>
      <c r="I231" s="7" t="str">
        <f>IF(B231&lt;&gt;"",CREATE_QUERY($B$1,A$2:G$2,A231:G231),"")</f>
        <v>INSERT INTO base_mast(hqof_idcd, base_idcd, base_code, base_name, prnt_idcd, line_stat, line_levl) VALUES ('N1000WINFO', 'N1000WINFO1201ua', 'ua', '우크라이나', '1201', '0', '1');</v>
      </c>
    </row>
    <row r="232" spans="1:9">
      <c r="A232" s="7" t="s">
        <v>1443</v>
      </c>
      <c r="B232" s="6" t="str">
        <f t="shared" si="3"/>
        <v>N1000WINFO1201ug</v>
      </c>
      <c r="C232" s="6" t="s">
        <v>1390</v>
      </c>
      <c r="D232" s="6" t="s">
        <v>1391</v>
      </c>
      <c r="E232" s="8" t="s">
        <v>1442</v>
      </c>
      <c r="F232" s="8" t="s">
        <v>686</v>
      </c>
      <c r="G232" s="8" t="s">
        <v>684</v>
      </c>
      <c r="I232" s="7" t="str">
        <f>IF(B232&lt;&gt;"",CREATE_QUERY($B$1,A$2:G$2,A232:G232),"")</f>
        <v>INSERT INTO base_mast(hqof_idcd, base_idcd, base_code, base_name, prnt_idcd, line_stat, line_levl) VALUES ('N1000WINFO', 'N1000WINFO1201ug', 'ug', '우간다', '1201', '0', '1');</v>
      </c>
    </row>
    <row r="233" spans="1:9">
      <c r="A233" s="7" t="s">
        <v>1443</v>
      </c>
      <c r="B233" s="6" t="str">
        <f t="shared" si="3"/>
        <v>N1000WINFO1201uk</v>
      </c>
      <c r="C233" s="6" t="s">
        <v>1392</v>
      </c>
      <c r="D233" s="6" t="s">
        <v>1089</v>
      </c>
      <c r="E233" s="8" t="s">
        <v>1442</v>
      </c>
      <c r="F233" s="8" t="s">
        <v>686</v>
      </c>
      <c r="G233" s="8" t="s">
        <v>684</v>
      </c>
      <c r="I233" s="7" t="str">
        <f>IF(B233&lt;&gt;"",CREATE_QUERY($B$1,A$2:G$2,A233:G233),"")</f>
        <v>INSERT INTO base_mast(hqof_idcd, base_idcd, base_code, base_name, prnt_idcd, line_stat, line_levl) VALUES ('N1000WINFO', 'N1000WINFO1201uk', 'uk', '영국', '1201', '0', '1');</v>
      </c>
    </row>
    <row r="234" spans="1:9">
      <c r="A234" s="7" t="s">
        <v>1443</v>
      </c>
      <c r="B234" s="6" t="str">
        <f t="shared" si="3"/>
        <v>N1000WINFO1201um</v>
      </c>
      <c r="C234" s="6" t="s">
        <v>1393</v>
      </c>
      <c r="D234" s="6" t="s">
        <v>1394</v>
      </c>
      <c r="E234" s="8" t="s">
        <v>1442</v>
      </c>
      <c r="F234" s="8" t="s">
        <v>686</v>
      </c>
      <c r="G234" s="8" t="s">
        <v>684</v>
      </c>
      <c r="I234" s="7" t="str">
        <f>IF(B234&lt;&gt;"",CREATE_QUERY($B$1,A$2:G$2,A234:G234),"")</f>
        <v>INSERT INTO base_mast(hqof_idcd, base_idcd, base_code, base_name, prnt_idcd, line_stat, line_levl) VALUES ('N1000WINFO', 'N1000WINFO1201um', 'um', '미국령 군도', '1201', '0', '1');</v>
      </c>
    </row>
    <row r="235" spans="1:9">
      <c r="A235" s="7" t="s">
        <v>1443</v>
      </c>
      <c r="B235" s="6" t="str">
        <f t="shared" si="3"/>
        <v>N1000WINFO1201us</v>
      </c>
      <c r="C235" s="6" t="s">
        <v>1395</v>
      </c>
      <c r="D235" s="6" t="s">
        <v>1396</v>
      </c>
      <c r="E235" s="8" t="s">
        <v>1442</v>
      </c>
      <c r="F235" s="8" t="s">
        <v>686</v>
      </c>
      <c r="G235" s="8" t="s">
        <v>684</v>
      </c>
      <c r="I235" s="7" t="str">
        <f>IF(B235&lt;&gt;"",CREATE_QUERY($B$1,A$2:G$2,A235:G235),"")</f>
        <v>INSERT INTO base_mast(hqof_idcd, base_idcd, base_code, base_name, prnt_idcd, line_stat, line_levl) VALUES ('N1000WINFO', 'N1000WINFO1201us', 'us', '미국', '1201', '0', '1');</v>
      </c>
    </row>
    <row r="236" spans="1:9">
      <c r="A236" s="7" t="s">
        <v>1443</v>
      </c>
      <c r="B236" s="6" t="str">
        <f t="shared" si="3"/>
        <v>N1000WINFO1201uy</v>
      </c>
      <c r="C236" s="6" t="s">
        <v>1397</v>
      </c>
      <c r="D236" s="6" t="s">
        <v>1398</v>
      </c>
      <c r="E236" s="8" t="s">
        <v>1442</v>
      </c>
      <c r="F236" s="8" t="s">
        <v>686</v>
      </c>
      <c r="G236" s="8" t="s">
        <v>684</v>
      </c>
      <c r="I236" s="7" t="str">
        <f>IF(B236&lt;&gt;"",CREATE_QUERY($B$1,A$2:G$2,A236:G236),"")</f>
        <v>INSERT INTO base_mast(hqof_idcd, base_idcd, base_code, base_name, prnt_idcd, line_stat, line_levl) VALUES ('N1000WINFO', 'N1000WINFO1201uy', 'uy', '우루과이', '1201', '0', '1');</v>
      </c>
    </row>
    <row r="237" spans="1:9">
      <c r="A237" s="7" t="s">
        <v>1443</v>
      </c>
      <c r="B237" s="6" t="str">
        <f t="shared" si="3"/>
        <v>N1000WINFO1201uz</v>
      </c>
      <c r="C237" s="6" t="s">
        <v>1399</v>
      </c>
      <c r="D237" s="6" t="s">
        <v>1400</v>
      </c>
      <c r="E237" s="8" t="s">
        <v>1442</v>
      </c>
      <c r="F237" s="8" t="s">
        <v>686</v>
      </c>
      <c r="G237" s="8" t="s">
        <v>684</v>
      </c>
      <c r="I237" s="7" t="str">
        <f>IF(B237&lt;&gt;"",CREATE_QUERY($B$1,A$2:G$2,A237:G237),"")</f>
        <v>INSERT INTO base_mast(hqof_idcd, base_idcd, base_code, base_name, prnt_idcd, line_stat, line_levl) VALUES ('N1000WINFO', 'N1000WINFO1201uz', 'uz', '우즈베키스탄', '1201', '0', '1');</v>
      </c>
    </row>
    <row r="238" spans="1:9">
      <c r="A238" s="7" t="s">
        <v>1443</v>
      </c>
      <c r="B238" s="6" t="str">
        <f t="shared" si="3"/>
        <v>N1000WINFO1201va</v>
      </c>
      <c r="C238" s="6" t="s">
        <v>1401</v>
      </c>
      <c r="D238" s="6" t="s">
        <v>1402</v>
      </c>
      <c r="E238" s="8" t="s">
        <v>1442</v>
      </c>
      <c r="F238" s="8" t="s">
        <v>686</v>
      </c>
      <c r="G238" s="8" t="s">
        <v>684</v>
      </c>
      <c r="I238" s="7" t="str">
        <f>IF(B238&lt;&gt;"",CREATE_QUERY($B$1,A$2:G$2,A238:G238),"")</f>
        <v>INSERT INTO base_mast(hqof_idcd, base_idcd, base_code, base_name, prnt_idcd, line_stat, line_levl) VALUES ('N1000WINFO', 'N1000WINFO1201va', 'va', '바티칸 시국', '1201', '0', '1');</v>
      </c>
    </row>
    <row r="239" spans="1:9">
      <c r="A239" s="7" t="s">
        <v>1443</v>
      </c>
      <c r="B239" s="6" t="str">
        <f t="shared" si="3"/>
        <v>N1000WINFO1201vc</v>
      </c>
      <c r="C239" s="6" t="s">
        <v>1403</v>
      </c>
      <c r="D239" s="6" t="s">
        <v>1404</v>
      </c>
      <c r="E239" s="8" t="s">
        <v>1442</v>
      </c>
      <c r="F239" s="8" t="s">
        <v>686</v>
      </c>
      <c r="G239" s="8" t="s">
        <v>684</v>
      </c>
      <c r="I239" s="7" t="str">
        <f>IF(B239&lt;&gt;"",CREATE_QUERY($B$1,A$2:G$2,A239:G239),"")</f>
        <v>INSERT INTO base_mast(hqof_idcd, base_idcd, base_code, base_name, prnt_idcd, line_stat, line_levl) VALUES ('N1000WINFO', 'N1000WINFO1201vc', 'vc', '세인트 빈센트 그레나딘스', '1201', '0', '1');</v>
      </c>
    </row>
    <row r="240" spans="1:9">
      <c r="A240" s="7" t="s">
        <v>1443</v>
      </c>
      <c r="B240" s="6" t="str">
        <f t="shared" si="3"/>
        <v>N1000WINFO1201ve</v>
      </c>
      <c r="C240" s="6" t="s">
        <v>1405</v>
      </c>
      <c r="D240" s="6" t="s">
        <v>1406</v>
      </c>
      <c r="E240" s="8" t="s">
        <v>1442</v>
      </c>
      <c r="F240" s="8" t="s">
        <v>686</v>
      </c>
      <c r="G240" s="8" t="s">
        <v>684</v>
      </c>
      <c r="I240" s="7" t="str">
        <f>IF(B240&lt;&gt;"",CREATE_QUERY($B$1,A$2:G$2,A240:G240),"")</f>
        <v>INSERT INTO base_mast(hqof_idcd, base_idcd, base_code, base_name, prnt_idcd, line_stat, line_levl) VALUES ('N1000WINFO', 'N1000WINFO1201ve', 've', '베네수엘라', '1201', '0', '1');</v>
      </c>
    </row>
    <row r="241" spans="1:9">
      <c r="A241" s="7" t="s">
        <v>1443</v>
      </c>
      <c r="B241" s="6" t="str">
        <f t="shared" si="3"/>
        <v>N1000WINFO1201vg</v>
      </c>
      <c r="C241" s="6" t="s">
        <v>1407</v>
      </c>
      <c r="D241" s="6" t="s">
        <v>1408</v>
      </c>
      <c r="E241" s="8" t="s">
        <v>1442</v>
      </c>
      <c r="F241" s="8" t="s">
        <v>686</v>
      </c>
      <c r="G241" s="8" t="s">
        <v>684</v>
      </c>
      <c r="I241" s="7" t="str">
        <f>IF(B241&lt;&gt;"",CREATE_QUERY($B$1,A$2:G$2,A241:G241),"")</f>
        <v>INSERT INTO base_mast(hqof_idcd, base_idcd, base_code, base_name, prnt_idcd, line_stat, line_levl) VALUES ('N1000WINFO', 'N1000WINFO1201vg', 'vg', '버진 군도(영국령)', '1201', '0', '1');</v>
      </c>
    </row>
    <row r="242" spans="1:9">
      <c r="A242" s="7" t="s">
        <v>1443</v>
      </c>
      <c r="B242" s="6" t="str">
        <f t="shared" si="3"/>
        <v>N1000WINFO1201vi</v>
      </c>
      <c r="C242" s="6" t="s">
        <v>1409</v>
      </c>
      <c r="D242" s="6" t="s">
        <v>1410</v>
      </c>
      <c r="E242" s="8" t="s">
        <v>1442</v>
      </c>
      <c r="F242" s="8" t="s">
        <v>686</v>
      </c>
      <c r="G242" s="8" t="s">
        <v>684</v>
      </c>
      <c r="I242" s="7" t="str">
        <f>IF(B242&lt;&gt;"",CREATE_QUERY($B$1,A$2:G$2,A242:G242),"")</f>
        <v>INSERT INTO base_mast(hqof_idcd, base_idcd, base_code, base_name, prnt_idcd, line_stat, line_levl) VALUES ('N1000WINFO', 'N1000WINFO1201vi', 'vi', '버진 군도(미국령)', '1201', '0', '1');</v>
      </c>
    </row>
    <row r="243" spans="1:9">
      <c r="A243" s="7" t="s">
        <v>1443</v>
      </c>
      <c r="B243" s="6" t="str">
        <f t="shared" si="3"/>
        <v>N1000WINFO1201vn</v>
      </c>
      <c r="C243" s="6" t="s">
        <v>1411</v>
      </c>
      <c r="D243" s="6" t="s">
        <v>1412</v>
      </c>
      <c r="E243" s="8" t="s">
        <v>1442</v>
      </c>
      <c r="F243" s="8" t="s">
        <v>686</v>
      </c>
      <c r="G243" s="8" t="s">
        <v>684</v>
      </c>
      <c r="I243" s="7" t="str">
        <f>IF(B243&lt;&gt;"",CREATE_QUERY($B$1,A$2:G$2,A243:G243),"")</f>
        <v>INSERT INTO base_mast(hqof_idcd, base_idcd, base_code, base_name, prnt_idcd, line_stat, line_levl) VALUES ('N1000WINFO', 'N1000WINFO1201vn', 'vn', '베트남', '1201', '0', '1');</v>
      </c>
    </row>
    <row r="244" spans="1:9">
      <c r="A244" s="7" t="s">
        <v>1443</v>
      </c>
      <c r="B244" s="6" t="str">
        <f t="shared" si="3"/>
        <v>N1000WINFO1201vu</v>
      </c>
      <c r="C244" s="6" t="s">
        <v>1413</v>
      </c>
      <c r="D244" s="6" t="s">
        <v>1414</v>
      </c>
      <c r="E244" s="8" t="s">
        <v>1442</v>
      </c>
      <c r="F244" s="8" t="s">
        <v>686</v>
      </c>
      <c r="G244" s="8" t="s">
        <v>684</v>
      </c>
      <c r="I244" s="7" t="str">
        <f>IF(B244&lt;&gt;"",CREATE_QUERY($B$1,A$2:G$2,A244:G244),"")</f>
        <v>INSERT INTO base_mast(hqof_idcd, base_idcd, base_code, base_name, prnt_idcd, line_stat, line_levl) VALUES ('N1000WINFO', 'N1000WINFO1201vu', 'vu', '바누아투', '1201', '0', '1');</v>
      </c>
    </row>
    <row r="245" spans="1:9">
      <c r="A245" s="7" t="s">
        <v>1443</v>
      </c>
      <c r="B245" s="6" t="str">
        <f t="shared" si="3"/>
        <v>N1000WINFO1201wf</v>
      </c>
      <c r="C245" s="6" t="s">
        <v>1415</v>
      </c>
      <c r="D245" s="6" t="s">
        <v>1416</v>
      </c>
      <c r="E245" s="8" t="s">
        <v>1442</v>
      </c>
      <c r="F245" s="8" t="s">
        <v>686</v>
      </c>
      <c r="G245" s="8" t="s">
        <v>684</v>
      </c>
      <c r="I245" s="7" t="str">
        <f>IF(B245&lt;&gt;"",CREATE_QUERY($B$1,A$2:G$2,A245:G245),"")</f>
        <v>INSERT INTO base_mast(hqof_idcd, base_idcd, base_code, base_name, prnt_idcd, line_stat, line_levl) VALUES ('N1000WINFO', 'N1000WINFO1201wf', 'wf', '월리스 푸투나', '1201', '0', '1');</v>
      </c>
    </row>
    <row r="246" spans="1:9">
      <c r="A246" s="7" t="s">
        <v>1443</v>
      </c>
      <c r="B246" s="6" t="str">
        <f t="shared" si="3"/>
        <v>N1000WINFO1201ws</v>
      </c>
      <c r="C246" s="6" t="s">
        <v>1417</v>
      </c>
      <c r="D246" s="6" t="s">
        <v>1418</v>
      </c>
      <c r="E246" s="8" t="s">
        <v>1442</v>
      </c>
      <c r="F246" s="8" t="s">
        <v>686</v>
      </c>
      <c r="G246" s="8" t="s">
        <v>684</v>
      </c>
      <c r="I246" s="7" t="str">
        <f>IF(B246&lt;&gt;"",CREATE_QUERY($B$1,A$2:G$2,A246:G246),"")</f>
        <v>INSERT INTO base_mast(hqof_idcd, base_idcd, base_code, base_name, prnt_idcd, line_stat, line_levl) VALUES ('N1000WINFO', 'N1000WINFO1201ws', 'ws', '사모아', '1201', '0', '1');</v>
      </c>
    </row>
    <row r="247" spans="1:9">
      <c r="A247" s="7" t="s">
        <v>1443</v>
      </c>
      <c r="B247" s="6" t="str">
        <f t="shared" si="3"/>
        <v>N1000WINFO1201ye</v>
      </c>
      <c r="C247" s="6" t="s">
        <v>1419</v>
      </c>
      <c r="D247" s="6" t="s">
        <v>1420</v>
      </c>
      <c r="E247" s="8" t="s">
        <v>1442</v>
      </c>
      <c r="F247" s="8" t="s">
        <v>686</v>
      </c>
      <c r="G247" s="8" t="s">
        <v>684</v>
      </c>
      <c r="I247" s="7" t="str">
        <f>IF(B247&lt;&gt;"",CREATE_QUERY($B$1,A$2:G$2,A247:G247),"")</f>
        <v>INSERT INTO base_mast(hqof_idcd, base_idcd, base_code, base_name, prnt_idcd, line_stat, line_levl) VALUES ('N1000WINFO', 'N1000WINFO1201ye', 'ye', '예멘', '1201', '0', '1');</v>
      </c>
    </row>
    <row r="248" spans="1:9">
      <c r="A248" s="7" t="s">
        <v>1443</v>
      </c>
      <c r="B248" s="6" t="str">
        <f t="shared" si="3"/>
        <v>N1000WINFO1201yt</v>
      </c>
      <c r="C248" s="6" t="s">
        <v>1421</v>
      </c>
      <c r="D248" s="6" t="s">
        <v>1422</v>
      </c>
      <c r="E248" s="8" t="s">
        <v>1442</v>
      </c>
      <c r="F248" s="8" t="s">
        <v>686</v>
      </c>
      <c r="G248" s="8" t="s">
        <v>684</v>
      </c>
      <c r="I248" s="7" t="str">
        <f>IF(B248&lt;&gt;"",CREATE_QUERY($B$1,A$2:G$2,A248:G248),"")</f>
        <v>INSERT INTO base_mast(hqof_idcd, base_idcd, base_code, base_name, prnt_idcd, line_stat, line_levl) VALUES ('N1000WINFO', 'N1000WINFO1201yt', 'yt', '마요트', '1201', '0', '1');</v>
      </c>
    </row>
    <row r="249" spans="1:9">
      <c r="A249" s="7" t="s">
        <v>1443</v>
      </c>
      <c r="B249" s="6" t="str">
        <f t="shared" si="3"/>
        <v>N1000WINFO1201yu</v>
      </c>
      <c r="C249" s="6" t="s">
        <v>1423</v>
      </c>
      <c r="D249" s="6" t="s">
        <v>1424</v>
      </c>
      <c r="E249" s="8" t="s">
        <v>1442</v>
      </c>
      <c r="F249" s="8" t="s">
        <v>686</v>
      </c>
      <c r="G249" s="8" t="s">
        <v>684</v>
      </c>
      <c r="I249" s="7" t="str">
        <f>IF(B249&lt;&gt;"",CREATE_QUERY($B$1,A$2:G$2,A249:G249),"")</f>
        <v>INSERT INTO base_mast(hqof_idcd, base_idcd, base_code, base_name, prnt_idcd, line_stat, line_levl) VALUES ('N1000WINFO', 'N1000WINFO1201yu', 'yu', '유고슬라비아', '1201', '0', '1');</v>
      </c>
    </row>
    <row r="250" spans="1:9">
      <c r="A250" s="7" t="s">
        <v>1443</v>
      </c>
      <c r="B250" s="6" t="str">
        <f t="shared" si="3"/>
        <v>N1000WINFO1201za</v>
      </c>
      <c r="C250" s="6" t="s">
        <v>1425</v>
      </c>
      <c r="D250" s="6" t="s">
        <v>1426</v>
      </c>
      <c r="E250" s="8" t="s">
        <v>1442</v>
      </c>
      <c r="F250" s="8" t="s">
        <v>686</v>
      </c>
      <c r="G250" s="8" t="s">
        <v>684</v>
      </c>
      <c r="I250" s="7" t="str">
        <f>IF(B250&lt;&gt;"",CREATE_QUERY($B$1,A$2:G$2,A250:G250),"")</f>
        <v>INSERT INTO base_mast(hqof_idcd, base_idcd, base_code, base_name, prnt_idcd, line_stat, line_levl) VALUES ('N1000WINFO', 'N1000WINFO1201za', 'za', '남아프리카', '1201', '0', '1');</v>
      </c>
    </row>
    <row r="251" spans="1:9">
      <c r="A251" s="7" t="s">
        <v>1443</v>
      </c>
      <c r="B251" s="6" t="str">
        <f t="shared" si="3"/>
        <v>N1000WINFO1201zm</v>
      </c>
      <c r="C251" s="6" t="s">
        <v>1427</v>
      </c>
      <c r="D251" s="6" t="s">
        <v>1428</v>
      </c>
      <c r="E251" s="8" t="s">
        <v>1442</v>
      </c>
      <c r="F251" s="8" t="s">
        <v>686</v>
      </c>
      <c r="G251" s="8" t="s">
        <v>684</v>
      </c>
      <c r="I251" s="7" t="str">
        <f>IF(B251&lt;&gt;"",CREATE_QUERY($B$1,A$2:G$2,A251:G251),"")</f>
        <v>INSERT INTO base_mast(hqof_idcd, base_idcd, base_code, base_name, prnt_idcd, line_stat, line_levl) VALUES ('N1000WINFO', 'N1000WINFO1201zm', 'zm', '잠비아', '1201', '0', '1');</v>
      </c>
    </row>
    <row r="252" spans="1:9">
      <c r="A252" s="7" t="s">
        <v>1443</v>
      </c>
      <c r="B252" s="6" t="str">
        <f t="shared" si="3"/>
        <v>N1000WINFO1201zr</v>
      </c>
      <c r="C252" s="6" t="s">
        <v>1429</v>
      </c>
      <c r="D252" s="6" t="s">
        <v>1430</v>
      </c>
      <c r="E252" s="8" t="s">
        <v>1442</v>
      </c>
      <c r="F252" s="8" t="s">
        <v>686</v>
      </c>
      <c r="G252" s="8" t="s">
        <v>684</v>
      </c>
      <c r="I252" s="7" t="str">
        <f>IF(B252&lt;&gt;"",CREATE_QUERY($B$1,A$2:G$2,A252:G252),"")</f>
        <v>INSERT INTO base_mast(hqof_idcd, base_idcd, base_code, base_name, prnt_idcd, line_stat, line_levl) VALUES ('N1000WINFO', 'N1000WINFO1201zr', 'zr', '자이르', '1201', '0', '1');</v>
      </c>
    </row>
    <row r="253" spans="1:9">
      <c r="A253" s="7" t="s">
        <v>1443</v>
      </c>
      <c r="B253" s="6" t="str">
        <f t="shared" si="3"/>
        <v>N1000WINFO1201zw</v>
      </c>
      <c r="C253" s="6" t="s">
        <v>1431</v>
      </c>
      <c r="D253" s="6" t="s">
        <v>1432</v>
      </c>
      <c r="E253" s="8" t="s">
        <v>1442</v>
      </c>
      <c r="F253" s="8" t="s">
        <v>686</v>
      </c>
      <c r="G253" s="8" t="s">
        <v>684</v>
      </c>
      <c r="I253" s="7" t="str">
        <f>IF(B253&lt;&gt;"",CREATE_QUERY($B$1,A$2:G$2,A253:G253),"")</f>
        <v>INSERT INTO base_mast(hqof_idcd, base_idcd, base_code, base_name, prnt_idcd, line_stat, line_levl) VALUES ('N1000WINFO', 'N1000WINFO1201zw', 'zw', '짐바브웨', '1201', '0', '1');</v>
      </c>
    </row>
    <row r="255" spans="1:9">
      <c r="A255" s="7" t="s">
        <v>1443</v>
      </c>
      <c r="B255" s="6" t="str">
        <f>A255&amp;E255&amp;C255</f>
        <v>N1000WINFO1202ad</v>
      </c>
      <c r="C255" s="6" t="s">
        <v>1433</v>
      </c>
      <c r="D255" s="6" t="s">
        <v>934</v>
      </c>
      <c r="E255" s="8" t="s">
        <v>1444</v>
      </c>
      <c r="F255" s="8" t="s">
        <v>686</v>
      </c>
      <c r="G255" s="8" t="s">
        <v>684</v>
      </c>
      <c r="I255" s="7" t="str">
        <f>IF(B255&lt;&gt;"",CREATE_QUERY($B$1,A$2:G$2,A255:G255),"")</f>
        <v>INSERT INTO base_mast(hqof_idcd, base_idcd, base_code, base_name, prnt_idcd, line_stat, line_levl) VALUES ('N1000WINFO', 'N1000WINFO1202ad', 'ad', '안도라', '1202', '0', '1');</v>
      </c>
    </row>
    <row r="256" spans="1:9">
      <c r="A256" s="7" t="s">
        <v>1443</v>
      </c>
      <c r="B256" s="6" t="str">
        <f t="shared" ref="B256:B319" si="4">A256&amp;E256&amp;C256</f>
        <v>N1000WINFO1202ae</v>
      </c>
      <c r="C256" s="6" t="s">
        <v>935</v>
      </c>
      <c r="D256" s="6" t="s">
        <v>936</v>
      </c>
      <c r="E256" s="8" t="s">
        <v>1444</v>
      </c>
      <c r="F256" s="8" t="s">
        <v>686</v>
      </c>
      <c r="G256" s="8" t="s">
        <v>684</v>
      </c>
      <c r="I256" s="7" t="str">
        <f>IF(B256&lt;&gt;"",CREATE_QUERY($B$1,A$2:G$2,A256:G256),"")</f>
        <v>INSERT INTO base_mast(hqof_idcd, base_idcd, base_code, base_name, prnt_idcd, line_stat, line_levl) VALUES ('N1000WINFO', 'N1000WINFO1202ae', 'ae', '아랍에미리트', '1202', '0', '1');</v>
      </c>
    </row>
    <row r="257" spans="1:9">
      <c r="A257" s="7" t="s">
        <v>1443</v>
      </c>
      <c r="B257" s="6" t="str">
        <f t="shared" si="4"/>
        <v>N1000WINFO1202af</v>
      </c>
      <c r="C257" s="6" t="s">
        <v>937</v>
      </c>
      <c r="D257" s="6" t="s">
        <v>938</v>
      </c>
      <c r="E257" s="8" t="s">
        <v>1444</v>
      </c>
      <c r="F257" s="8" t="s">
        <v>686</v>
      </c>
      <c r="G257" s="8" t="s">
        <v>684</v>
      </c>
      <c r="I257" s="7" t="str">
        <f>IF(B257&lt;&gt;"",CREATE_QUERY($B$1,A$2:G$2,A257:G257),"")</f>
        <v>INSERT INTO base_mast(hqof_idcd, base_idcd, base_code, base_name, prnt_idcd, line_stat, line_levl) VALUES ('N1000WINFO', 'N1000WINFO1202af', 'af', '아프가니스탄', '1202', '0', '1');</v>
      </c>
    </row>
    <row r="258" spans="1:9">
      <c r="A258" s="7" t="s">
        <v>1443</v>
      </c>
      <c r="B258" s="6" t="str">
        <f t="shared" si="4"/>
        <v>N1000WINFO1202ag</v>
      </c>
      <c r="C258" s="6" t="s">
        <v>939</v>
      </c>
      <c r="D258" s="6" t="s">
        <v>940</v>
      </c>
      <c r="E258" s="8" t="s">
        <v>1444</v>
      </c>
      <c r="F258" s="8" t="s">
        <v>686</v>
      </c>
      <c r="G258" s="8" t="s">
        <v>684</v>
      </c>
      <c r="I258" s="7" t="str">
        <f>IF(B258&lt;&gt;"",CREATE_QUERY($B$1,A$2:G$2,A258:G258),"")</f>
        <v>INSERT INTO base_mast(hqof_idcd, base_idcd, base_code, base_name, prnt_idcd, line_stat, line_levl) VALUES ('N1000WINFO', 'N1000WINFO1202ag', 'ag', '앤티가 바부다', '1202', '0', '1');</v>
      </c>
    </row>
    <row r="259" spans="1:9">
      <c r="A259" s="7" t="s">
        <v>1443</v>
      </c>
      <c r="B259" s="6" t="str">
        <f t="shared" si="4"/>
        <v>N1000WINFO1202ai</v>
      </c>
      <c r="C259" s="6" t="s">
        <v>941</v>
      </c>
      <c r="D259" s="6" t="s">
        <v>942</v>
      </c>
      <c r="E259" s="8" t="s">
        <v>1444</v>
      </c>
      <c r="F259" s="8" t="s">
        <v>686</v>
      </c>
      <c r="G259" s="8" t="s">
        <v>684</v>
      </c>
      <c r="I259" s="7" t="str">
        <f>IF(B259&lt;&gt;"",CREATE_QUERY($B$1,A$2:G$2,A259:G259),"")</f>
        <v>INSERT INTO base_mast(hqof_idcd, base_idcd, base_code, base_name, prnt_idcd, line_stat, line_levl) VALUES ('N1000WINFO', 'N1000WINFO1202ai', 'ai', '앙귈라', '1202', '0', '1');</v>
      </c>
    </row>
    <row r="260" spans="1:9">
      <c r="A260" s="7" t="s">
        <v>1443</v>
      </c>
      <c r="B260" s="6" t="str">
        <f t="shared" si="4"/>
        <v>N1000WINFO1202al</v>
      </c>
      <c r="C260" s="6" t="s">
        <v>943</v>
      </c>
      <c r="D260" s="6" t="s">
        <v>944</v>
      </c>
      <c r="E260" s="8" t="s">
        <v>1444</v>
      </c>
      <c r="F260" s="8" t="s">
        <v>686</v>
      </c>
      <c r="G260" s="8" t="s">
        <v>684</v>
      </c>
      <c r="I260" s="7" t="str">
        <f>IF(B260&lt;&gt;"",CREATE_QUERY($B$1,A$2:G$2,A260:G260),"")</f>
        <v>INSERT INTO base_mast(hqof_idcd, base_idcd, base_code, base_name, prnt_idcd, line_stat, line_levl) VALUES ('N1000WINFO', 'N1000WINFO1202al', 'al', '알바니아', '1202', '0', '1');</v>
      </c>
    </row>
    <row r="261" spans="1:9">
      <c r="A261" s="7" t="s">
        <v>1443</v>
      </c>
      <c r="B261" s="6" t="str">
        <f t="shared" si="4"/>
        <v>N1000WINFO1202am</v>
      </c>
      <c r="C261" s="6" t="s">
        <v>945</v>
      </c>
      <c r="D261" s="6" t="s">
        <v>946</v>
      </c>
      <c r="E261" s="8" t="s">
        <v>1444</v>
      </c>
      <c r="F261" s="8" t="s">
        <v>686</v>
      </c>
      <c r="G261" s="8" t="s">
        <v>684</v>
      </c>
      <c r="I261" s="7" t="str">
        <f>IF(B261&lt;&gt;"",CREATE_QUERY($B$1,A$2:G$2,A261:G261),"")</f>
        <v>INSERT INTO base_mast(hqof_idcd, base_idcd, base_code, base_name, prnt_idcd, line_stat, line_levl) VALUES ('N1000WINFO', 'N1000WINFO1202am', 'am', '아르메니아', '1202', '0', '1');</v>
      </c>
    </row>
    <row r="262" spans="1:9">
      <c r="A262" s="7" t="s">
        <v>1443</v>
      </c>
      <c r="B262" s="6" t="str">
        <f t="shared" si="4"/>
        <v>N1000WINFO1202an</v>
      </c>
      <c r="C262" s="6" t="s">
        <v>947</v>
      </c>
      <c r="D262" s="6" t="s">
        <v>948</v>
      </c>
      <c r="E262" s="8" t="s">
        <v>1444</v>
      </c>
      <c r="F262" s="8" t="s">
        <v>686</v>
      </c>
      <c r="G262" s="8" t="s">
        <v>684</v>
      </c>
      <c r="I262" s="7" t="str">
        <f>IF(B262&lt;&gt;"",CREATE_QUERY($B$1,A$2:G$2,A262:G262),"")</f>
        <v>INSERT INTO base_mast(hqof_idcd, base_idcd, base_code, base_name, prnt_idcd, line_stat, line_levl) VALUES ('N1000WINFO', 'N1000WINFO1202an', 'an', '네덜란드령 안틸레스', '1202', '0', '1');</v>
      </c>
    </row>
    <row r="263" spans="1:9">
      <c r="A263" s="7" t="s">
        <v>1443</v>
      </c>
      <c r="B263" s="6" t="str">
        <f t="shared" si="4"/>
        <v>N1000WINFO1202ao</v>
      </c>
      <c r="C263" s="6" t="s">
        <v>949</v>
      </c>
      <c r="D263" s="6" t="s">
        <v>950</v>
      </c>
      <c r="E263" s="8" t="s">
        <v>1444</v>
      </c>
      <c r="F263" s="8" t="s">
        <v>686</v>
      </c>
      <c r="G263" s="8" t="s">
        <v>684</v>
      </c>
      <c r="I263" s="7" t="str">
        <f>IF(B263&lt;&gt;"",CREATE_QUERY($B$1,A$2:G$2,A263:G263),"")</f>
        <v>INSERT INTO base_mast(hqof_idcd, base_idcd, base_code, base_name, prnt_idcd, line_stat, line_levl) VALUES ('N1000WINFO', 'N1000WINFO1202ao', 'ao', '앙골라', '1202', '0', '1');</v>
      </c>
    </row>
    <row r="264" spans="1:9">
      <c r="A264" s="7" t="s">
        <v>1443</v>
      </c>
      <c r="B264" s="6" t="str">
        <f t="shared" si="4"/>
        <v>N1000WINFO1202aq</v>
      </c>
      <c r="C264" s="6" t="s">
        <v>951</v>
      </c>
      <c r="D264" s="6" t="s">
        <v>952</v>
      </c>
      <c r="E264" s="8" t="s">
        <v>1444</v>
      </c>
      <c r="F264" s="8" t="s">
        <v>686</v>
      </c>
      <c r="G264" s="8" t="s">
        <v>684</v>
      </c>
      <c r="I264" s="7" t="str">
        <f>IF(B264&lt;&gt;"",CREATE_QUERY($B$1,A$2:G$2,A264:G264),"")</f>
        <v>INSERT INTO base_mast(hqof_idcd, base_idcd, base_code, base_name, prnt_idcd, line_stat, line_levl) VALUES ('N1000WINFO', 'N1000WINFO1202aq', 'aq', '남극', '1202', '0', '1');</v>
      </c>
    </row>
    <row r="265" spans="1:9">
      <c r="A265" s="7" t="s">
        <v>1443</v>
      </c>
      <c r="B265" s="6" t="str">
        <f t="shared" si="4"/>
        <v>N1000WINFO1202ar</v>
      </c>
      <c r="C265" s="6" t="s">
        <v>953</v>
      </c>
      <c r="D265" s="6" t="s">
        <v>954</v>
      </c>
      <c r="E265" s="8" t="s">
        <v>1444</v>
      </c>
      <c r="F265" s="8" t="s">
        <v>686</v>
      </c>
      <c r="G265" s="8" t="s">
        <v>684</v>
      </c>
      <c r="I265" s="7" t="str">
        <f>IF(B265&lt;&gt;"",CREATE_QUERY($B$1,A$2:G$2,A265:G265),"")</f>
        <v>INSERT INTO base_mast(hqof_idcd, base_idcd, base_code, base_name, prnt_idcd, line_stat, line_levl) VALUES ('N1000WINFO', 'N1000WINFO1202ar', 'ar', '아르헨티나', '1202', '0', '1');</v>
      </c>
    </row>
    <row r="266" spans="1:9">
      <c r="A266" s="7" t="s">
        <v>1443</v>
      </c>
      <c r="B266" s="6" t="str">
        <f t="shared" si="4"/>
        <v>N1000WINFO1202arpa</v>
      </c>
      <c r="C266" s="6" t="s">
        <v>955</v>
      </c>
      <c r="D266" s="6" t="s">
        <v>956</v>
      </c>
      <c r="E266" s="8" t="s">
        <v>1444</v>
      </c>
      <c r="F266" s="8" t="s">
        <v>686</v>
      </c>
      <c r="G266" s="8" t="s">
        <v>684</v>
      </c>
      <c r="I266" s="7" t="str">
        <f>IF(B266&lt;&gt;"",CREATE_QUERY($B$1,A$2:G$2,A266:G266),"")</f>
        <v>INSERT INTO base_mast(hqof_idcd, base_idcd, base_code, base_name, prnt_idcd, line_stat, line_levl) VALUES ('N1000WINFO', 'N1000WINFO1202arpa', 'arpa', '구식 아르파네트', '1202', '0', '1');</v>
      </c>
    </row>
    <row r="267" spans="1:9">
      <c r="A267" s="7" t="s">
        <v>1443</v>
      </c>
      <c r="B267" s="6" t="str">
        <f t="shared" si="4"/>
        <v>N1000WINFO1202as</v>
      </c>
      <c r="C267" s="6" t="s">
        <v>957</v>
      </c>
      <c r="D267" s="6" t="s">
        <v>958</v>
      </c>
      <c r="E267" s="8" t="s">
        <v>1444</v>
      </c>
      <c r="F267" s="8" t="s">
        <v>686</v>
      </c>
      <c r="G267" s="8" t="s">
        <v>684</v>
      </c>
      <c r="I267" s="7" t="str">
        <f>IF(B267&lt;&gt;"",CREATE_QUERY($B$1,A$2:G$2,A267:G267),"")</f>
        <v>INSERT INTO base_mast(hqof_idcd, base_idcd, base_code, base_name, prnt_idcd, line_stat, line_levl) VALUES ('N1000WINFO', 'N1000WINFO1202as', 'as', '미국령 사모아', '1202', '0', '1');</v>
      </c>
    </row>
    <row r="268" spans="1:9">
      <c r="A268" s="7" t="s">
        <v>1443</v>
      </c>
      <c r="B268" s="6" t="str">
        <f t="shared" si="4"/>
        <v>N1000WINFO1202at</v>
      </c>
      <c r="C268" s="6" t="s">
        <v>959</v>
      </c>
      <c r="D268" s="6" t="s">
        <v>960</v>
      </c>
      <c r="E268" s="8" t="s">
        <v>1444</v>
      </c>
      <c r="F268" s="8" t="s">
        <v>686</v>
      </c>
      <c r="G268" s="8" t="s">
        <v>684</v>
      </c>
      <c r="I268" s="7" t="str">
        <f>IF(B268&lt;&gt;"",CREATE_QUERY($B$1,A$2:G$2,A268:G268),"")</f>
        <v>INSERT INTO base_mast(hqof_idcd, base_idcd, base_code, base_name, prnt_idcd, line_stat, line_levl) VALUES ('N1000WINFO', 'N1000WINFO1202at', 'at', '오스트리아', '1202', '0', '1');</v>
      </c>
    </row>
    <row r="269" spans="1:9">
      <c r="A269" s="7" t="s">
        <v>1443</v>
      </c>
      <c r="B269" s="6" t="str">
        <f t="shared" si="4"/>
        <v>N1000WINFO1202au</v>
      </c>
      <c r="C269" s="6" t="s">
        <v>961</v>
      </c>
      <c r="D269" s="6" t="s">
        <v>962</v>
      </c>
      <c r="E269" s="8" t="s">
        <v>1444</v>
      </c>
      <c r="F269" s="8" t="s">
        <v>686</v>
      </c>
      <c r="G269" s="8" t="s">
        <v>684</v>
      </c>
      <c r="I269" s="7" t="str">
        <f>IF(B269&lt;&gt;"",CREATE_QUERY($B$1,A$2:G$2,A269:G269),"")</f>
        <v>INSERT INTO base_mast(hqof_idcd, base_idcd, base_code, base_name, prnt_idcd, line_stat, line_levl) VALUES ('N1000WINFO', 'N1000WINFO1202au', 'au', '오스트레일리아', '1202', '0', '1');</v>
      </c>
    </row>
    <row r="270" spans="1:9">
      <c r="A270" s="7" t="s">
        <v>1443</v>
      </c>
      <c r="B270" s="6" t="str">
        <f t="shared" si="4"/>
        <v>N1000WINFO1202aw</v>
      </c>
      <c r="C270" s="6" t="s">
        <v>963</v>
      </c>
      <c r="D270" s="6" t="s">
        <v>964</v>
      </c>
      <c r="E270" s="8" t="s">
        <v>1444</v>
      </c>
      <c r="F270" s="8" t="s">
        <v>686</v>
      </c>
      <c r="G270" s="8" t="s">
        <v>684</v>
      </c>
      <c r="I270" s="7" t="str">
        <f>IF(B270&lt;&gt;"",CREATE_QUERY($B$1,A$2:G$2,A270:G270),"")</f>
        <v>INSERT INTO base_mast(hqof_idcd, base_idcd, base_code, base_name, prnt_idcd, line_stat, line_levl) VALUES ('N1000WINFO', 'N1000WINFO1202aw', 'aw', '아루바', '1202', '0', '1');</v>
      </c>
    </row>
    <row r="271" spans="1:9">
      <c r="A271" s="7" t="s">
        <v>1443</v>
      </c>
      <c r="B271" s="6" t="str">
        <f t="shared" si="4"/>
        <v>N1000WINFO1202az</v>
      </c>
      <c r="C271" s="6" t="s">
        <v>965</v>
      </c>
      <c r="D271" s="6" t="s">
        <v>966</v>
      </c>
      <c r="E271" s="8" t="s">
        <v>1444</v>
      </c>
      <c r="F271" s="8" t="s">
        <v>686</v>
      </c>
      <c r="G271" s="8" t="s">
        <v>684</v>
      </c>
      <c r="I271" s="7" t="str">
        <f>IF(B271&lt;&gt;"",CREATE_QUERY($B$1,A$2:G$2,A271:G271),"")</f>
        <v>INSERT INTO base_mast(hqof_idcd, base_idcd, base_code, base_name, prnt_idcd, line_stat, line_levl) VALUES ('N1000WINFO', 'N1000WINFO1202az', 'az', '아제르바이젠', '1202', '0', '1');</v>
      </c>
    </row>
    <row r="272" spans="1:9">
      <c r="A272" s="7" t="s">
        <v>1443</v>
      </c>
      <c r="B272" s="6" t="str">
        <f t="shared" si="4"/>
        <v>N1000WINFO1202ba</v>
      </c>
      <c r="C272" s="6" t="s">
        <v>967</v>
      </c>
      <c r="D272" s="6" t="s">
        <v>968</v>
      </c>
      <c r="E272" s="8" t="s">
        <v>1444</v>
      </c>
      <c r="F272" s="8" t="s">
        <v>686</v>
      </c>
      <c r="G272" s="8" t="s">
        <v>684</v>
      </c>
      <c r="I272" s="7" t="str">
        <f>IF(B272&lt;&gt;"",CREATE_QUERY($B$1,A$2:G$2,A272:G272),"")</f>
        <v>INSERT INTO base_mast(hqof_idcd, base_idcd, base_code, base_name, prnt_idcd, line_stat, line_levl) VALUES ('N1000WINFO', 'N1000WINFO1202ba', 'ba', '보스니아 헤르체고비나', '1202', '0', '1');</v>
      </c>
    </row>
    <row r="273" spans="1:9">
      <c r="A273" s="7" t="s">
        <v>1443</v>
      </c>
      <c r="B273" s="6" t="str">
        <f t="shared" si="4"/>
        <v>N1000WINFO1202bb</v>
      </c>
      <c r="C273" s="6" t="s">
        <v>969</v>
      </c>
      <c r="D273" s="6" t="s">
        <v>970</v>
      </c>
      <c r="E273" s="8" t="s">
        <v>1444</v>
      </c>
      <c r="F273" s="8" t="s">
        <v>686</v>
      </c>
      <c r="G273" s="8" t="s">
        <v>684</v>
      </c>
      <c r="I273" s="7" t="str">
        <f>IF(B273&lt;&gt;"",CREATE_QUERY($B$1,A$2:G$2,A273:G273),"")</f>
        <v>INSERT INTO base_mast(hqof_idcd, base_idcd, base_code, base_name, prnt_idcd, line_stat, line_levl) VALUES ('N1000WINFO', 'N1000WINFO1202bb', 'bb', '바베이도스', '1202', '0', '1');</v>
      </c>
    </row>
    <row r="274" spans="1:9">
      <c r="A274" s="7" t="s">
        <v>1443</v>
      </c>
      <c r="B274" s="6" t="str">
        <f t="shared" si="4"/>
        <v>N1000WINFO1202bd</v>
      </c>
      <c r="C274" s="6" t="s">
        <v>971</v>
      </c>
      <c r="D274" s="6" t="s">
        <v>972</v>
      </c>
      <c r="E274" s="8" t="s">
        <v>1444</v>
      </c>
      <c r="F274" s="8" t="s">
        <v>686</v>
      </c>
      <c r="G274" s="8" t="s">
        <v>684</v>
      </c>
      <c r="I274" s="7" t="str">
        <f>IF(B274&lt;&gt;"",CREATE_QUERY($B$1,A$2:G$2,A274:G274),"")</f>
        <v>INSERT INTO base_mast(hqof_idcd, base_idcd, base_code, base_name, prnt_idcd, line_stat, line_levl) VALUES ('N1000WINFO', 'N1000WINFO1202bd', 'bd', '방글라데시', '1202', '0', '1');</v>
      </c>
    </row>
    <row r="275" spans="1:9">
      <c r="A275" s="7" t="s">
        <v>1443</v>
      </c>
      <c r="B275" s="6" t="str">
        <f t="shared" si="4"/>
        <v>N1000WINFO1202be</v>
      </c>
      <c r="C275" s="6" t="s">
        <v>973</v>
      </c>
      <c r="D275" s="6" t="s">
        <v>974</v>
      </c>
      <c r="E275" s="8" t="s">
        <v>1444</v>
      </c>
      <c r="F275" s="8" t="s">
        <v>686</v>
      </c>
      <c r="G275" s="8" t="s">
        <v>684</v>
      </c>
      <c r="I275" s="7" t="str">
        <f>IF(B275&lt;&gt;"",CREATE_QUERY($B$1,A$2:G$2,A275:G275),"")</f>
        <v>INSERT INTO base_mast(hqof_idcd, base_idcd, base_code, base_name, prnt_idcd, line_stat, line_levl) VALUES ('N1000WINFO', 'N1000WINFO1202be', 'be', '벨기에', '1202', '0', '1');</v>
      </c>
    </row>
    <row r="276" spans="1:9">
      <c r="A276" s="7" t="s">
        <v>1443</v>
      </c>
      <c r="B276" s="6" t="str">
        <f t="shared" si="4"/>
        <v>N1000WINFO1202bf</v>
      </c>
      <c r="C276" s="6" t="s">
        <v>975</v>
      </c>
      <c r="D276" s="6" t="s">
        <v>976</v>
      </c>
      <c r="E276" s="8" t="s">
        <v>1444</v>
      </c>
      <c r="F276" s="8" t="s">
        <v>686</v>
      </c>
      <c r="G276" s="8" t="s">
        <v>684</v>
      </c>
      <c r="I276" s="7" t="str">
        <f>IF(B276&lt;&gt;"",CREATE_QUERY($B$1,A$2:G$2,A276:G276),"")</f>
        <v>INSERT INTO base_mast(hqof_idcd, base_idcd, base_code, base_name, prnt_idcd, line_stat, line_levl) VALUES ('N1000WINFO', 'N1000WINFO1202bf', 'bf', '부르키나파소', '1202', '0', '1');</v>
      </c>
    </row>
    <row r="277" spans="1:9">
      <c r="A277" s="7" t="s">
        <v>1443</v>
      </c>
      <c r="B277" s="6" t="str">
        <f t="shared" si="4"/>
        <v>N1000WINFO1202bg</v>
      </c>
      <c r="C277" s="6" t="s">
        <v>977</v>
      </c>
      <c r="D277" s="6" t="s">
        <v>978</v>
      </c>
      <c r="E277" s="8" t="s">
        <v>1444</v>
      </c>
      <c r="F277" s="8" t="s">
        <v>686</v>
      </c>
      <c r="G277" s="8" t="s">
        <v>684</v>
      </c>
      <c r="I277" s="7" t="str">
        <f>IF(B277&lt;&gt;"",CREATE_QUERY($B$1,A$2:G$2,A277:G277),"")</f>
        <v>INSERT INTO base_mast(hqof_idcd, base_idcd, base_code, base_name, prnt_idcd, line_stat, line_levl) VALUES ('N1000WINFO', 'N1000WINFO1202bg', 'bg', '불가리아', '1202', '0', '1');</v>
      </c>
    </row>
    <row r="278" spans="1:9">
      <c r="A278" s="7" t="s">
        <v>1443</v>
      </c>
      <c r="B278" s="6" t="str">
        <f t="shared" si="4"/>
        <v>N1000WINFO1202bh</v>
      </c>
      <c r="C278" s="6" t="s">
        <v>979</v>
      </c>
      <c r="D278" s="6" t="s">
        <v>980</v>
      </c>
      <c r="E278" s="8" t="s">
        <v>1444</v>
      </c>
      <c r="F278" s="8" t="s">
        <v>686</v>
      </c>
      <c r="G278" s="8" t="s">
        <v>684</v>
      </c>
      <c r="I278" s="7" t="str">
        <f>IF(B278&lt;&gt;"",CREATE_QUERY($B$1,A$2:G$2,A278:G278),"")</f>
        <v>INSERT INTO base_mast(hqof_idcd, base_idcd, base_code, base_name, prnt_idcd, line_stat, line_levl) VALUES ('N1000WINFO', 'N1000WINFO1202bh', 'bh', '바레인', '1202', '0', '1');</v>
      </c>
    </row>
    <row r="279" spans="1:9">
      <c r="A279" s="7" t="s">
        <v>1443</v>
      </c>
      <c r="B279" s="6" t="str">
        <f t="shared" si="4"/>
        <v>N1000WINFO1202bi</v>
      </c>
      <c r="C279" s="6" t="s">
        <v>981</v>
      </c>
      <c r="D279" s="6" t="s">
        <v>982</v>
      </c>
      <c r="E279" s="8" t="s">
        <v>1444</v>
      </c>
      <c r="F279" s="8" t="s">
        <v>686</v>
      </c>
      <c r="G279" s="8" t="s">
        <v>684</v>
      </c>
      <c r="I279" s="7" t="str">
        <f>IF(B279&lt;&gt;"",CREATE_QUERY($B$1,A$2:G$2,A279:G279),"")</f>
        <v>INSERT INTO base_mast(hqof_idcd, base_idcd, base_code, base_name, prnt_idcd, line_stat, line_levl) VALUES ('N1000WINFO', 'N1000WINFO1202bi', 'bi', '부룬디', '1202', '0', '1');</v>
      </c>
    </row>
    <row r="280" spans="1:9">
      <c r="A280" s="7" t="s">
        <v>1443</v>
      </c>
      <c r="B280" s="6" t="str">
        <f t="shared" si="4"/>
        <v>N1000WINFO1202bj</v>
      </c>
      <c r="C280" s="6" t="s">
        <v>983</v>
      </c>
      <c r="D280" s="6" t="s">
        <v>984</v>
      </c>
      <c r="E280" s="8" t="s">
        <v>1444</v>
      </c>
      <c r="F280" s="8" t="s">
        <v>686</v>
      </c>
      <c r="G280" s="8" t="s">
        <v>684</v>
      </c>
      <c r="I280" s="7" t="str">
        <f>IF(B280&lt;&gt;"",CREATE_QUERY($B$1,A$2:G$2,A280:G280),"")</f>
        <v>INSERT INTO base_mast(hqof_idcd, base_idcd, base_code, base_name, prnt_idcd, line_stat, line_levl) VALUES ('N1000WINFO', 'N1000WINFO1202bj', 'bj', '베냉', '1202', '0', '1');</v>
      </c>
    </row>
    <row r="281" spans="1:9">
      <c r="A281" s="7" t="s">
        <v>1443</v>
      </c>
      <c r="B281" s="6" t="str">
        <f t="shared" si="4"/>
        <v>N1000WINFO1202bm</v>
      </c>
      <c r="C281" s="6" t="s">
        <v>985</v>
      </c>
      <c r="D281" s="6" t="s">
        <v>986</v>
      </c>
      <c r="E281" s="8" t="s">
        <v>1444</v>
      </c>
      <c r="F281" s="8" t="s">
        <v>686</v>
      </c>
      <c r="G281" s="8" t="s">
        <v>684</v>
      </c>
      <c r="I281" s="7" t="str">
        <f>IF(B281&lt;&gt;"",CREATE_QUERY($B$1,A$2:G$2,A281:G281),"")</f>
        <v>INSERT INTO base_mast(hqof_idcd, base_idcd, base_code, base_name, prnt_idcd, line_stat, line_levl) VALUES ('N1000WINFO', 'N1000WINFO1202bm', 'bm', '버뮤다', '1202', '0', '1');</v>
      </c>
    </row>
    <row r="282" spans="1:9">
      <c r="A282" s="7" t="s">
        <v>1443</v>
      </c>
      <c r="B282" s="6" t="str">
        <f t="shared" si="4"/>
        <v>N1000WINFO1202bn</v>
      </c>
      <c r="C282" s="6" t="s">
        <v>987</v>
      </c>
      <c r="D282" s="6" t="s">
        <v>988</v>
      </c>
      <c r="E282" s="8" t="s">
        <v>1444</v>
      </c>
      <c r="F282" s="8" t="s">
        <v>686</v>
      </c>
      <c r="G282" s="8" t="s">
        <v>684</v>
      </c>
      <c r="I282" s="7" t="str">
        <f>IF(B282&lt;&gt;"",CREATE_QUERY($B$1,A$2:G$2,A282:G282),"")</f>
        <v>INSERT INTO base_mast(hqof_idcd, base_idcd, base_code, base_name, prnt_idcd, line_stat, line_levl) VALUES ('N1000WINFO', 'N1000WINFO1202bn', 'bn', '브루나이', '1202', '0', '1');</v>
      </c>
    </row>
    <row r="283" spans="1:9">
      <c r="A283" s="7" t="s">
        <v>1443</v>
      </c>
      <c r="B283" s="6" t="str">
        <f t="shared" si="4"/>
        <v>N1000WINFO1202bo</v>
      </c>
      <c r="C283" s="6" t="s">
        <v>989</v>
      </c>
      <c r="D283" s="6" t="s">
        <v>990</v>
      </c>
      <c r="E283" s="8" t="s">
        <v>1444</v>
      </c>
      <c r="F283" s="8" t="s">
        <v>686</v>
      </c>
      <c r="G283" s="8" t="s">
        <v>684</v>
      </c>
      <c r="I283" s="7" t="str">
        <f>IF(B283&lt;&gt;"",CREATE_QUERY($B$1,A$2:G$2,A283:G283),"")</f>
        <v>INSERT INTO base_mast(hqof_idcd, base_idcd, base_code, base_name, prnt_idcd, line_stat, line_levl) VALUES ('N1000WINFO', 'N1000WINFO1202bo', 'bo', '볼리비아', '1202', '0', '1');</v>
      </c>
    </row>
    <row r="284" spans="1:9">
      <c r="A284" s="7" t="s">
        <v>1443</v>
      </c>
      <c r="B284" s="6" t="str">
        <f t="shared" si="4"/>
        <v>N1000WINFO1202br</v>
      </c>
      <c r="C284" s="6" t="s">
        <v>991</v>
      </c>
      <c r="D284" s="6" t="s">
        <v>992</v>
      </c>
      <c r="E284" s="8" t="s">
        <v>1444</v>
      </c>
      <c r="F284" s="8" t="s">
        <v>686</v>
      </c>
      <c r="G284" s="8" t="s">
        <v>684</v>
      </c>
      <c r="I284" s="7" t="str">
        <f>IF(B284&lt;&gt;"",CREATE_QUERY($B$1,A$2:G$2,A284:G284),"")</f>
        <v>INSERT INTO base_mast(hqof_idcd, base_idcd, base_code, base_name, prnt_idcd, line_stat, line_levl) VALUES ('N1000WINFO', 'N1000WINFO1202br', 'br', '브라질', '1202', '0', '1');</v>
      </c>
    </row>
    <row r="285" spans="1:9">
      <c r="A285" s="7" t="s">
        <v>1443</v>
      </c>
      <c r="B285" s="6" t="str">
        <f t="shared" si="4"/>
        <v>N1000WINFO1202bs</v>
      </c>
      <c r="C285" s="6" t="s">
        <v>993</v>
      </c>
      <c r="D285" s="6" t="s">
        <v>994</v>
      </c>
      <c r="E285" s="8" t="s">
        <v>1444</v>
      </c>
      <c r="F285" s="8" t="s">
        <v>686</v>
      </c>
      <c r="G285" s="8" t="s">
        <v>684</v>
      </c>
      <c r="I285" s="7" t="str">
        <f>IF(B285&lt;&gt;"",CREATE_QUERY($B$1,A$2:G$2,A285:G285),"")</f>
        <v>INSERT INTO base_mast(hqof_idcd, base_idcd, base_code, base_name, prnt_idcd, line_stat, line_levl) VALUES ('N1000WINFO', 'N1000WINFO1202bs', 'bs', '바하마', '1202', '0', '1');</v>
      </c>
    </row>
    <row r="286" spans="1:9">
      <c r="A286" s="7" t="s">
        <v>1443</v>
      </c>
      <c r="B286" s="6" t="str">
        <f t="shared" si="4"/>
        <v>N1000WINFO1202bt</v>
      </c>
      <c r="C286" s="6" t="s">
        <v>995</v>
      </c>
      <c r="D286" s="6" t="s">
        <v>996</v>
      </c>
      <c r="E286" s="8" t="s">
        <v>1444</v>
      </c>
      <c r="F286" s="8" t="s">
        <v>686</v>
      </c>
      <c r="G286" s="8" t="s">
        <v>684</v>
      </c>
      <c r="I286" s="7" t="str">
        <f>IF(B286&lt;&gt;"",CREATE_QUERY($B$1,A$2:G$2,A286:G286),"")</f>
        <v>INSERT INTO base_mast(hqof_idcd, base_idcd, base_code, base_name, prnt_idcd, line_stat, line_levl) VALUES ('N1000WINFO', 'N1000WINFO1202bt', 'bt', '부탄', '1202', '0', '1');</v>
      </c>
    </row>
    <row r="287" spans="1:9">
      <c r="A287" s="7" t="s">
        <v>1443</v>
      </c>
      <c r="B287" s="6" t="str">
        <f t="shared" si="4"/>
        <v>N1000WINFO1202bv</v>
      </c>
      <c r="C287" s="6" t="s">
        <v>997</v>
      </c>
      <c r="D287" s="6" t="s">
        <v>998</v>
      </c>
      <c r="E287" s="8" t="s">
        <v>1444</v>
      </c>
      <c r="F287" s="8" t="s">
        <v>686</v>
      </c>
      <c r="G287" s="8" t="s">
        <v>684</v>
      </c>
      <c r="I287" s="7" t="str">
        <f>IF(B287&lt;&gt;"",CREATE_QUERY($B$1,A$2:G$2,A287:G287),"")</f>
        <v>INSERT INTO base_mast(hqof_idcd, base_idcd, base_code, base_name, prnt_idcd, line_stat, line_levl) VALUES ('N1000WINFO', 'N1000WINFO1202bv', 'bv', '부베이 섬', '1202', '0', '1');</v>
      </c>
    </row>
    <row r="288" spans="1:9">
      <c r="A288" s="7" t="s">
        <v>1443</v>
      </c>
      <c r="B288" s="6" t="str">
        <f t="shared" si="4"/>
        <v>N1000WINFO1202bw</v>
      </c>
      <c r="C288" s="6" t="s">
        <v>999</v>
      </c>
      <c r="D288" s="6" t="s">
        <v>1000</v>
      </c>
      <c r="E288" s="8" t="s">
        <v>1444</v>
      </c>
      <c r="F288" s="8" t="s">
        <v>686</v>
      </c>
      <c r="G288" s="8" t="s">
        <v>684</v>
      </c>
      <c r="I288" s="7" t="str">
        <f>IF(B288&lt;&gt;"",CREATE_QUERY($B$1,A$2:G$2,A288:G288),"")</f>
        <v>INSERT INTO base_mast(hqof_idcd, base_idcd, base_code, base_name, prnt_idcd, line_stat, line_levl) VALUES ('N1000WINFO', 'N1000WINFO1202bw', 'bw', '보츠와나', '1202', '0', '1');</v>
      </c>
    </row>
    <row r="289" spans="1:9">
      <c r="A289" s="7" t="s">
        <v>1443</v>
      </c>
      <c r="B289" s="6" t="str">
        <f t="shared" si="4"/>
        <v>N1000WINFO1202by</v>
      </c>
      <c r="C289" s="6" t="s">
        <v>1001</v>
      </c>
      <c r="D289" s="6" t="s">
        <v>1002</v>
      </c>
      <c r="E289" s="8" t="s">
        <v>1444</v>
      </c>
      <c r="F289" s="8" t="s">
        <v>686</v>
      </c>
      <c r="G289" s="8" t="s">
        <v>684</v>
      </c>
      <c r="I289" s="7" t="str">
        <f>IF(B289&lt;&gt;"",CREATE_QUERY($B$1,A$2:G$2,A289:G289),"")</f>
        <v>INSERT INTO base_mast(hqof_idcd, base_idcd, base_code, base_name, prnt_idcd, line_stat, line_levl) VALUES ('N1000WINFO', 'N1000WINFO1202by', 'by', '벨로루시', '1202', '0', '1');</v>
      </c>
    </row>
    <row r="290" spans="1:9">
      <c r="A290" s="7" t="s">
        <v>1443</v>
      </c>
      <c r="B290" s="6" t="str">
        <f t="shared" si="4"/>
        <v>N1000WINFO1202bz</v>
      </c>
      <c r="C290" s="6" t="s">
        <v>1003</v>
      </c>
      <c r="D290" s="6" t="s">
        <v>1004</v>
      </c>
      <c r="E290" s="8" t="s">
        <v>1444</v>
      </c>
      <c r="F290" s="8" t="s">
        <v>686</v>
      </c>
      <c r="G290" s="8" t="s">
        <v>684</v>
      </c>
      <c r="I290" s="7" t="str">
        <f>IF(B290&lt;&gt;"",CREATE_QUERY($B$1,A$2:G$2,A290:G290),"")</f>
        <v>INSERT INTO base_mast(hqof_idcd, base_idcd, base_code, base_name, prnt_idcd, line_stat, line_levl) VALUES ('N1000WINFO', 'N1000WINFO1202bz', 'bz', '벨리즈', '1202', '0', '1');</v>
      </c>
    </row>
    <row r="291" spans="1:9">
      <c r="A291" s="7" t="s">
        <v>1443</v>
      </c>
      <c r="B291" s="6" t="str">
        <f t="shared" si="4"/>
        <v>N1000WINFO1202ca</v>
      </c>
      <c r="C291" s="6" t="s">
        <v>1005</v>
      </c>
      <c r="D291" s="6" t="s">
        <v>1006</v>
      </c>
      <c r="E291" s="8" t="s">
        <v>1444</v>
      </c>
      <c r="F291" s="8" t="s">
        <v>686</v>
      </c>
      <c r="G291" s="8" t="s">
        <v>684</v>
      </c>
      <c r="I291" s="7" t="str">
        <f>IF(B291&lt;&gt;"",CREATE_QUERY($B$1,A$2:G$2,A291:G291),"")</f>
        <v>INSERT INTO base_mast(hqof_idcd, base_idcd, base_code, base_name, prnt_idcd, line_stat, line_levl) VALUES ('N1000WINFO', 'N1000WINFO1202ca', 'ca', '캐나다', '1202', '0', '1');</v>
      </c>
    </row>
    <row r="292" spans="1:9">
      <c r="A292" s="7" t="s">
        <v>1443</v>
      </c>
      <c r="B292" s="6" t="str">
        <f t="shared" si="4"/>
        <v>N1000WINFO1202cc</v>
      </c>
      <c r="C292" s="6" t="s">
        <v>1007</v>
      </c>
      <c r="D292" s="6" t="s">
        <v>1008</v>
      </c>
      <c r="E292" s="8" t="s">
        <v>1444</v>
      </c>
      <c r="F292" s="8" t="s">
        <v>686</v>
      </c>
      <c r="G292" s="8" t="s">
        <v>684</v>
      </c>
      <c r="I292" s="7" t="str">
        <f>IF(B292&lt;&gt;"",CREATE_QUERY($B$1,A$2:G$2,A292:G292),"")</f>
        <v>INSERT INTO base_mast(hqof_idcd, base_idcd, base_code, base_name, prnt_idcd, line_stat, line_levl) VALUES ('N1000WINFO', 'N1000WINFO1202cc', 'cc', '코코스 군도', '1202', '0', '1');</v>
      </c>
    </row>
    <row r="293" spans="1:9">
      <c r="A293" s="7" t="s">
        <v>1443</v>
      </c>
      <c r="B293" s="6" t="str">
        <f t="shared" si="4"/>
        <v>N1000WINFO1202cf</v>
      </c>
      <c r="C293" s="6" t="s">
        <v>1009</v>
      </c>
      <c r="D293" s="6" t="s">
        <v>1010</v>
      </c>
      <c r="E293" s="8" t="s">
        <v>1444</v>
      </c>
      <c r="F293" s="8" t="s">
        <v>686</v>
      </c>
      <c r="G293" s="8" t="s">
        <v>684</v>
      </c>
      <c r="I293" s="7" t="str">
        <f>IF(B293&lt;&gt;"",CREATE_QUERY($B$1,A$2:G$2,A293:G293),"")</f>
        <v>INSERT INTO base_mast(hqof_idcd, base_idcd, base_code, base_name, prnt_idcd, line_stat, line_levl) VALUES ('N1000WINFO', 'N1000WINFO1202cf', 'cf', '중앙 아프리카', '1202', '0', '1');</v>
      </c>
    </row>
    <row r="294" spans="1:9">
      <c r="A294" s="7" t="s">
        <v>1443</v>
      </c>
      <c r="B294" s="6" t="str">
        <f t="shared" si="4"/>
        <v>N1000WINFO1202cd</v>
      </c>
      <c r="C294" s="6" t="s">
        <v>1011</v>
      </c>
      <c r="D294" s="6" t="s">
        <v>1012</v>
      </c>
      <c r="E294" s="8" t="s">
        <v>1444</v>
      </c>
      <c r="F294" s="8" t="s">
        <v>686</v>
      </c>
      <c r="G294" s="8" t="s">
        <v>684</v>
      </c>
      <c r="I294" s="7" t="str">
        <f>IF(B294&lt;&gt;"",CREATE_QUERY($B$1,A$2:G$2,A294:G294),"")</f>
        <v>INSERT INTO base_mast(hqof_idcd, base_idcd, base_code, base_name, prnt_idcd, line_stat, line_levl) VALUES ('N1000WINFO', 'N1000WINFO1202cd', 'cd', '콩고 민주 공화국', '1202', '0', '1');</v>
      </c>
    </row>
    <row r="295" spans="1:9">
      <c r="A295" s="7" t="s">
        <v>1443</v>
      </c>
      <c r="B295" s="6" t="str">
        <f t="shared" si="4"/>
        <v>N1000WINFO1202cg</v>
      </c>
      <c r="C295" s="6" t="s">
        <v>1013</v>
      </c>
      <c r="D295" s="6" t="s">
        <v>1014</v>
      </c>
      <c r="E295" s="8" t="s">
        <v>1444</v>
      </c>
      <c r="F295" s="8" t="s">
        <v>686</v>
      </c>
      <c r="G295" s="8" t="s">
        <v>684</v>
      </c>
      <c r="I295" s="7" t="str">
        <f>IF(B295&lt;&gt;"",CREATE_QUERY($B$1,A$2:G$2,A295:G295),"")</f>
        <v>INSERT INTO base_mast(hqof_idcd, base_idcd, base_code, base_name, prnt_idcd, line_stat, line_levl) VALUES ('N1000WINFO', 'N1000WINFO1202cg', 'cg', '콩고', '1202', '0', '1');</v>
      </c>
    </row>
    <row r="296" spans="1:9">
      <c r="A296" s="7" t="s">
        <v>1443</v>
      </c>
      <c r="B296" s="6" t="str">
        <f t="shared" si="4"/>
        <v>N1000WINFO1202ch</v>
      </c>
      <c r="C296" s="6" t="s">
        <v>1015</v>
      </c>
      <c r="D296" s="6" t="s">
        <v>1016</v>
      </c>
      <c r="E296" s="8" t="s">
        <v>1444</v>
      </c>
      <c r="F296" s="8" t="s">
        <v>686</v>
      </c>
      <c r="G296" s="8" t="s">
        <v>684</v>
      </c>
      <c r="I296" s="7" t="str">
        <f>IF(B296&lt;&gt;"",CREATE_QUERY($B$1,A$2:G$2,A296:G296),"")</f>
        <v>INSERT INTO base_mast(hqof_idcd, base_idcd, base_code, base_name, prnt_idcd, line_stat, line_levl) VALUES ('N1000WINFO', 'N1000WINFO1202ch', 'ch', '스위스', '1202', '0', '1');</v>
      </c>
    </row>
    <row r="297" spans="1:9">
      <c r="A297" s="7" t="s">
        <v>1443</v>
      </c>
      <c r="B297" s="6" t="str">
        <f t="shared" si="4"/>
        <v>N1000WINFO1202ci</v>
      </c>
      <c r="C297" s="6" t="s">
        <v>1017</v>
      </c>
      <c r="D297" s="6" t="s">
        <v>1018</v>
      </c>
      <c r="E297" s="8" t="s">
        <v>1444</v>
      </c>
      <c r="F297" s="8" t="s">
        <v>686</v>
      </c>
      <c r="G297" s="8" t="s">
        <v>684</v>
      </c>
      <c r="I297" s="7" t="str">
        <f>IF(B297&lt;&gt;"",CREATE_QUERY($B$1,A$2:G$2,A297:G297),"")</f>
        <v>INSERT INTO base_mast(hqof_idcd, base_idcd, base_code, base_name, prnt_idcd, line_stat, line_levl) VALUES ('N1000WINFO', 'N1000WINFO1202ci', 'ci', '코트디부와르', '1202', '0', '1');</v>
      </c>
    </row>
    <row r="298" spans="1:9">
      <c r="A298" s="7" t="s">
        <v>1443</v>
      </c>
      <c r="B298" s="6" t="str">
        <f t="shared" si="4"/>
        <v>N1000WINFO1202ck</v>
      </c>
      <c r="C298" s="6" t="s">
        <v>1019</v>
      </c>
      <c r="D298" s="6" t="s">
        <v>1020</v>
      </c>
      <c r="E298" s="8" t="s">
        <v>1444</v>
      </c>
      <c r="F298" s="8" t="s">
        <v>686</v>
      </c>
      <c r="G298" s="8" t="s">
        <v>684</v>
      </c>
      <c r="I298" s="7" t="str">
        <f>IF(B298&lt;&gt;"",CREATE_QUERY($B$1,A$2:G$2,A298:G298),"")</f>
        <v>INSERT INTO base_mast(hqof_idcd, base_idcd, base_code, base_name, prnt_idcd, line_stat, line_levl) VALUES ('N1000WINFO', 'N1000WINFO1202ck', 'ck', '쿠크 군도', '1202', '0', '1');</v>
      </c>
    </row>
    <row r="299" spans="1:9">
      <c r="A299" s="7" t="s">
        <v>1443</v>
      </c>
      <c r="B299" s="6" t="str">
        <f t="shared" si="4"/>
        <v>N1000WINFO1202cl</v>
      </c>
      <c r="C299" s="6" t="s">
        <v>1021</v>
      </c>
      <c r="D299" s="6" t="s">
        <v>1022</v>
      </c>
      <c r="E299" s="8" t="s">
        <v>1444</v>
      </c>
      <c r="F299" s="8" t="s">
        <v>686</v>
      </c>
      <c r="G299" s="8" t="s">
        <v>684</v>
      </c>
      <c r="I299" s="7" t="str">
        <f>IF(B299&lt;&gt;"",CREATE_QUERY($B$1,A$2:G$2,A299:G299),"")</f>
        <v>INSERT INTO base_mast(hqof_idcd, base_idcd, base_code, base_name, prnt_idcd, line_stat, line_levl) VALUES ('N1000WINFO', 'N1000WINFO1202cl', 'cl', '칠레', '1202', '0', '1');</v>
      </c>
    </row>
    <row r="300" spans="1:9">
      <c r="A300" s="7" t="s">
        <v>1443</v>
      </c>
      <c r="B300" s="6" t="str">
        <f t="shared" si="4"/>
        <v>N1000WINFO1202cm</v>
      </c>
      <c r="C300" s="6" t="s">
        <v>1023</v>
      </c>
      <c r="D300" s="6" t="s">
        <v>1024</v>
      </c>
      <c r="E300" s="8" t="s">
        <v>1444</v>
      </c>
      <c r="F300" s="8" t="s">
        <v>686</v>
      </c>
      <c r="G300" s="8" t="s">
        <v>684</v>
      </c>
      <c r="I300" s="7" t="str">
        <f>IF(B300&lt;&gt;"",CREATE_QUERY($B$1,A$2:G$2,A300:G300),"")</f>
        <v>INSERT INTO base_mast(hqof_idcd, base_idcd, base_code, base_name, prnt_idcd, line_stat, line_levl) VALUES ('N1000WINFO', 'N1000WINFO1202cm', 'cm', '카메룬', '1202', '0', '1');</v>
      </c>
    </row>
    <row r="301" spans="1:9">
      <c r="A301" s="7" t="s">
        <v>1443</v>
      </c>
      <c r="B301" s="6" t="str">
        <f t="shared" si="4"/>
        <v>N1000WINFO1202cn</v>
      </c>
      <c r="C301" s="6" t="s">
        <v>1025</v>
      </c>
      <c r="D301" s="6" t="s">
        <v>1026</v>
      </c>
      <c r="E301" s="8" t="s">
        <v>1444</v>
      </c>
      <c r="F301" s="8" t="s">
        <v>686</v>
      </c>
      <c r="G301" s="8" t="s">
        <v>684</v>
      </c>
      <c r="I301" s="7" t="str">
        <f>IF(B301&lt;&gt;"",CREATE_QUERY($B$1,A$2:G$2,A301:G301),"")</f>
        <v>INSERT INTO base_mast(hqof_idcd, base_idcd, base_code, base_name, prnt_idcd, line_stat, line_levl) VALUES ('N1000WINFO', 'N1000WINFO1202cn', 'cn', '중국', '1202', '0', '1');</v>
      </c>
    </row>
    <row r="302" spans="1:9">
      <c r="A302" s="7" t="s">
        <v>1443</v>
      </c>
      <c r="B302" s="6" t="str">
        <f t="shared" si="4"/>
        <v>N1000WINFO1202co</v>
      </c>
      <c r="C302" s="6" t="s">
        <v>1027</v>
      </c>
      <c r="D302" s="6" t="s">
        <v>1028</v>
      </c>
      <c r="E302" s="8" t="s">
        <v>1444</v>
      </c>
      <c r="F302" s="8" t="s">
        <v>686</v>
      </c>
      <c r="G302" s="8" t="s">
        <v>684</v>
      </c>
      <c r="I302" s="7" t="str">
        <f>IF(B302&lt;&gt;"",CREATE_QUERY($B$1,A$2:G$2,A302:G302),"")</f>
        <v>INSERT INTO base_mast(hqof_idcd, base_idcd, base_code, base_name, prnt_idcd, line_stat, line_levl) VALUES ('N1000WINFO', 'N1000WINFO1202co', 'co', '콜롬비아', '1202', '0', '1');</v>
      </c>
    </row>
    <row r="303" spans="1:9">
      <c r="A303" s="7" t="s">
        <v>1443</v>
      </c>
      <c r="B303" s="6" t="str">
        <f t="shared" si="4"/>
        <v>N1000WINFO1202com</v>
      </c>
      <c r="C303" s="6" t="s">
        <v>1029</v>
      </c>
      <c r="D303" s="6" t="s">
        <v>1030</v>
      </c>
      <c r="E303" s="8" t="s">
        <v>1444</v>
      </c>
      <c r="F303" s="8" t="s">
        <v>686</v>
      </c>
      <c r="G303" s="8" t="s">
        <v>684</v>
      </c>
      <c r="I303" s="7" t="str">
        <f>IF(B303&lt;&gt;"",CREATE_QUERY($B$1,A$2:G$2,A303:G303),"")</f>
        <v>INSERT INTO base_mast(hqof_idcd, base_idcd, base_code, base_name, prnt_idcd, line_stat, line_levl) VALUES ('N1000WINFO', 'N1000WINFO1202com', 'com', '상용', '1202', '0', '1');</v>
      </c>
    </row>
    <row r="304" spans="1:9">
      <c r="A304" s="7" t="s">
        <v>1443</v>
      </c>
      <c r="B304" s="6" t="str">
        <f t="shared" si="4"/>
        <v>N1000WINFO1202cr</v>
      </c>
      <c r="C304" s="6" t="s">
        <v>1031</v>
      </c>
      <c r="D304" s="6" t="s">
        <v>1032</v>
      </c>
      <c r="E304" s="8" t="s">
        <v>1444</v>
      </c>
      <c r="F304" s="8" t="s">
        <v>686</v>
      </c>
      <c r="G304" s="8" t="s">
        <v>684</v>
      </c>
      <c r="I304" s="7" t="str">
        <f>IF(B304&lt;&gt;"",CREATE_QUERY($B$1,A$2:G$2,A304:G304),"")</f>
        <v>INSERT INTO base_mast(hqof_idcd, base_idcd, base_code, base_name, prnt_idcd, line_stat, line_levl) VALUES ('N1000WINFO', 'N1000WINFO1202cr', 'cr', '코스타리카', '1202', '0', '1');</v>
      </c>
    </row>
    <row r="305" spans="1:9">
      <c r="A305" s="7" t="s">
        <v>1443</v>
      </c>
      <c r="B305" s="6" t="str">
        <f t="shared" si="4"/>
        <v>N1000WINFO1202cs</v>
      </c>
      <c r="C305" s="6" t="s">
        <v>1033</v>
      </c>
      <c r="D305" s="6" t="s">
        <v>1034</v>
      </c>
      <c r="E305" s="8" t="s">
        <v>1444</v>
      </c>
      <c r="F305" s="8" t="s">
        <v>686</v>
      </c>
      <c r="G305" s="8" t="s">
        <v>684</v>
      </c>
      <c r="I305" s="7" t="str">
        <f>IF(B305&lt;&gt;"",CREATE_QUERY($B$1,A$2:G$2,A305:G305),"")</f>
        <v>INSERT INTO base_mast(hqof_idcd, base_idcd, base_code, base_name, prnt_idcd, line_stat, line_levl) VALUES ('N1000WINFO', 'N1000WINFO1202cs', 'cs', '구 체코슬로바키아', '1202', '0', '1');</v>
      </c>
    </row>
    <row r="306" spans="1:9">
      <c r="A306" s="7" t="s">
        <v>1443</v>
      </c>
      <c r="B306" s="6" t="str">
        <f t="shared" si="4"/>
        <v>N1000WINFO1202cu</v>
      </c>
      <c r="C306" s="6" t="s">
        <v>1035</v>
      </c>
      <c r="D306" s="6" t="s">
        <v>1036</v>
      </c>
      <c r="E306" s="8" t="s">
        <v>1444</v>
      </c>
      <c r="F306" s="8" t="s">
        <v>686</v>
      </c>
      <c r="G306" s="8" t="s">
        <v>684</v>
      </c>
      <c r="I306" s="7" t="str">
        <f>IF(B306&lt;&gt;"",CREATE_QUERY($B$1,A$2:G$2,A306:G306),"")</f>
        <v>INSERT INTO base_mast(hqof_idcd, base_idcd, base_code, base_name, prnt_idcd, line_stat, line_levl) VALUES ('N1000WINFO', 'N1000WINFO1202cu', 'cu', '쿠바', '1202', '0', '1');</v>
      </c>
    </row>
    <row r="307" spans="1:9">
      <c r="A307" s="7" t="s">
        <v>1443</v>
      </c>
      <c r="B307" s="6" t="str">
        <f t="shared" si="4"/>
        <v>N1000WINFO1202cv</v>
      </c>
      <c r="C307" s="6" t="s">
        <v>1037</v>
      </c>
      <c r="D307" s="6" t="s">
        <v>1038</v>
      </c>
      <c r="E307" s="8" t="s">
        <v>1444</v>
      </c>
      <c r="F307" s="8" t="s">
        <v>686</v>
      </c>
      <c r="G307" s="8" t="s">
        <v>684</v>
      </c>
      <c r="I307" s="7" t="str">
        <f>IF(B307&lt;&gt;"",CREATE_QUERY($B$1,A$2:G$2,A307:G307),"")</f>
        <v>INSERT INTO base_mast(hqof_idcd, base_idcd, base_code, base_name, prnt_idcd, line_stat, line_levl) VALUES ('N1000WINFO', 'N1000WINFO1202cv', 'cv', '카보베르데', '1202', '0', '1');</v>
      </c>
    </row>
    <row r="308" spans="1:9">
      <c r="A308" s="7" t="s">
        <v>1443</v>
      </c>
      <c r="B308" s="6" t="str">
        <f t="shared" si="4"/>
        <v>N1000WINFO1202cx</v>
      </c>
      <c r="C308" s="6" t="s">
        <v>1039</v>
      </c>
      <c r="D308" s="6" t="s">
        <v>1040</v>
      </c>
      <c r="E308" s="8" t="s">
        <v>1444</v>
      </c>
      <c r="F308" s="8" t="s">
        <v>686</v>
      </c>
      <c r="G308" s="8" t="s">
        <v>684</v>
      </c>
      <c r="I308" s="7" t="str">
        <f>IF(B308&lt;&gt;"",CREATE_QUERY($B$1,A$2:G$2,A308:G308),"")</f>
        <v>INSERT INTO base_mast(hqof_idcd, base_idcd, base_code, base_name, prnt_idcd, line_stat, line_levl) VALUES ('N1000WINFO', 'N1000WINFO1202cx', 'cx', '크리스마스 섬', '1202', '0', '1');</v>
      </c>
    </row>
    <row r="309" spans="1:9">
      <c r="A309" s="7" t="s">
        <v>1443</v>
      </c>
      <c r="B309" s="6" t="str">
        <f t="shared" si="4"/>
        <v>N1000WINFO1202cy</v>
      </c>
      <c r="C309" s="6" t="s">
        <v>1041</v>
      </c>
      <c r="D309" s="6" t="s">
        <v>1042</v>
      </c>
      <c r="E309" s="8" t="s">
        <v>1444</v>
      </c>
      <c r="F309" s="8" t="s">
        <v>686</v>
      </c>
      <c r="G309" s="8" t="s">
        <v>684</v>
      </c>
      <c r="I309" s="7" t="str">
        <f>IF(B309&lt;&gt;"",CREATE_QUERY($B$1,A$2:G$2,A309:G309),"")</f>
        <v>INSERT INTO base_mast(hqof_idcd, base_idcd, base_code, base_name, prnt_idcd, line_stat, line_levl) VALUES ('N1000WINFO', 'N1000WINFO1202cy', 'cy', '사이프러스', '1202', '0', '1');</v>
      </c>
    </row>
    <row r="310" spans="1:9">
      <c r="A310" s="7" t="s">
        <v>1443</v>
      </c>
      <c r="B310" s="6" t="str">
        <f t="shared" si="4"/>
        <v>N1000WINFO1202cz</v>
      </c>
      <c r="C310" s="6" t="s">
        <v>1043</v>
      </c>
      <c r="D310" s="6" t="s">
        <v>1044</v>
      </c>
      <c r="E310" s="8" t="s">
        <v>1444</v>
      </c>
      <c r="F310" s="8" t="s">
        <v>686</v>
      </c>
      <c r="G310" s="8" t="s">
        <v>684</v>
      </c>
      <c r="I310" s="7" t="str">
        <f>IF(B310&lt;&gt;"",CREATE_QUERY($B$1,A$2:G$2,A310:G310),"")</f>
        <v>INSERT INTO base_mast(hqof_idcd, base_idcd, base_code, base_name, prnt_idcd, line_stat, line_levl) VALUES ('N1000WINFO', 'N1000WINFO1202cz', 'cz', '체코', '1202', '0', '1');</v>
      </c>
    </row>
    <row r="311" spans="1:9">
      <c r="A311" s="7" t="s">
        <v>1443</v>
      </c>
      <c r="B311" s="6" t="str">
        <f t="shared" si="4"/>
        <v>N1000WINFO1202de</v>
      </c>
      <c r="C311" s="6" t="s">
        <v>1045</v>
      </c>
      <c r="D311" s="6" t="s">
        <v>1046</v>
      </c>
      <c r="E311" s="8" t="s">
        <v>1444</v>
      </c>
      <c r="F311" s="8" t="s">
        <v>686</v>
      </c>
      <c r="G311" s="8" t="s">
        <v>684</v>
      </c>
      <c r="I311" s="7" t="str">
        <f>IF(B311&lt;&gt;"",CREATE_QUERY($B$1,A$2:G$2,A311:G311),"")</f>
        <v>INSERT INTO base_mast(hqof_idcd, base_idcd, base_code, base_name, prnt_idcd, line_stat, line_levl) VALUES ('N1000WINFO', 'N1000WINFO1202de', 'de', '독일', '1202', '0', '1');</v>
      </c>
    </row>
    <row r="312" spans="1:9">
      <c r="A312" s="7" t="s">
        <v>1443</v>
      </c>
      <c r="B312" s="6" t="str">
        <f t="shared" si="4"/>
        <v>N1000WINFO1202dj</v>
      </c>
      <c r="C312" s="6" t="s">
        <v>1047</v>
      </c>
      <c r="D312" s="6" t="s">
        <v>1048</v>
      </c>
      <c r="E312" s="8" t="s">
        <v>1444</v>
      </c>
      <c r="F312" s="8" t="s">
        <v>686</v>
      </c>
      <c r="G312" s="8" t="s">
        <v>684</v>
      </c>
      <c r="I312" s="7" t="str">
        <f>IF(B312&lt;&gt;"",CREATE_QUERY($B$1,A$2:G$2,A312:G312),"")</f>
        <v>INSERT INTO base_mast(hqof_idcd, base_idcd, base_code, base_name, prnt_idcd, line_stat, line_levl) VALUES ('N1000WINFO', 'N1000WINFO1202dj', 'dj', '지부티', '1202', '0', '1');</v>
      </c>
    </row>
    <row r="313" spans="1:9">
      <c r="A313" s="7" t="s">
        <v>1443</v>
      </c>
      <c r="B313" s="6" t="str">
        <f t="shared" si="4"/>
        <v>N1000WINFO1202dk</v>
      </c>
      <c r="C313" s="6" t="s">
        <v>1049</v>
      </c>
      <c r="D313" s="6" t="s">
        <v>1050</v>
      </c>
      <c r="E313" s="8" t="s">
        <v>1444</v>
      </c>
      <c r="F313" s="8" t="s">
        <v>686</v>
      </c>
      <c r="G313" s="8" t="s">
        <v>684</v>
      </c>
      <c r="I313" s="7" t="str">
        <f>IF(B313&lt;&gt;"",CREATE_QUERY($B$1,A$2:G$2,A313:G313),"")</f>
        <v>INSERT INTO base_mast(hqof_idcd, base_idcd, base_code, base_name, prnt_idcd, line_stat, line_levl) VALUES ('N1000WINFO', 'N1000WINFO1202dk', 'dk', '덴마크', '1202', '0', '1');</v>
      </c>
    </row>
    <row r="314" spans="1:9">
      <c r="A314" s="7" t="s">
        <v>1443</v>
      </c>
      <c r="B314" s="6" t="str">
        <f t="shared" si="4"/>
        <v>N1000WINFO1202dm</v>
      </c>
      <c r="C314" s="6" t="s">
        <v>1051</v>
      </c>
      <c r="D314" s="6" t="s">
        <v>1052</v>
      </c>
      <c r="E314" s="8" t="s">
        <v>1444</v>
      </c>
      <c r="F314" s="8" t="s">
        <v>686</v>
      </c>
      <c r="G314" s="8" t="s">
        <v>684</v>
      </c>
      <c r="I314" s="7" t="str">
        <f>IF(B314&lt;&gt;"",CREATE_QUERY($B$1,A$2:G$2,A314:G314),"")</f>
        <v>INSERT INTO base_mast(hqof_idcd, base_idcd, base_code, base_name, prnt_idcd, line_stat, line_levl) VALUES ('N1000WINFO', 'N1000WINFO1202dm', 'dm', '도미니카', '1202', '0', '1');</v>
      </c>
    </row>
    <row r="315" spans="1:9">
      <c r="A315" s="7" t="s">
        <v>1443</v>
      </c>
      <c r="B315" s="6" t="str">
        <f t="shared" si="4"/>
        <v>N1000WINFO1202do</v>
      </c>
      <c r="C315" s="6" t="s">
        <v>1053</v>
      </c>
      <c r="D315" s="6" t="s">
        <v>1054</v>
      </c>
      <c r="E315" s="8" t="s">
        <v>1444</v>
      </c>
      <c r="F315" s="8" t="s">
        <v>686</v>
      </c>
      <c r="G315" s="8" t="s">
        <v>684</v>
      </c>
      <c r="I315" s="7" t="str">
        <f>IF(B315&lt;&gt;"",CREATE_QUERY($B$1,A$2:G$2,A315:G315),"")</f>
        <v>INSERT INTO base_mast(hqof_idcd, base_idcd, base_code, base_name, prnt_idcd, line_stat, line_levl) VALUES ('N1000WINFO', 'N1000WINFO1202do', 'do', '도미니카 공화국', '1202', '0', '1');</v>
      </c>
    </row>
    <row r="316" spans="1:9">
      <c r="A316" s="7" t="s">
        <v>1443</v>
      </c>
      <c r="B316" s="6" t="str">
        <f t="shared" si="4"/>
        <v>N1000WINFO1202dz</v>
      </c>
      <c r="C316" s="6" t="s">
        <v>1055</v>
      </c>
      <c r="D316" s="6" t="s">
        <v>1056</v>
      </c>
      <c r="E316" s="8" t="s">
        <v>1444</v>
      </c>
      <c r="F316" s="8" t="s">
        <v>686</v>
      </c>
      <c r="G316" s="8" t="s">
        <v>684</v>
      </c>
      <c r="I316" s="7" t="str">
        <f>IF(B316&lt;&gt;"",CREATE_QUERY($B$1,A$2:G$2,A316:G316),"")</f>
        <v>INSERT INTO base_mast(hqof_idcd, base_idcd, base_code, base_name, prnt_idcd, line_stat, line_levl) VALUES ('N1000WINFO', 'N1000WINFO1202dz', 'dz', '알제리', '1202', '0', '1');</v>
      </c>
    </row>
    <row r="317" spans="1:9">
      <c r="A317" s="7" t="s">
        <v>1443</v>
      </c>
      <c r="B317" s="6" t="str">
        <f t="shared" si="4"/>
        <v>N1000WINFO1202ec</v>
      </c>
      <c r="C317" s="6" t="s">
        <v>1057</v>
      </c>
      <c r="D317" s="6" t="s">
        <v>1058</v>
      </c>
      <c r="E317" s="8" t="s">
        <v>1444</v>
      </c>
      <c r="F317" s="8" t="s">
        <v>686</v>
      </c>
      <c r="G317" s="8" t="s">
        <v>684</v>
      </c>
      <c r="I317" s="7" t="str">
        <f>IF(B317&lt;&gt;"",CREATE_QUERY($B$1,A$2:G$2,A317:G317),"")</f>
        <v>INSERT INTO base_mast(hqof_idcd, base_idcd, base_code, base_name, prnt_idcd, line_stat, line_levl) VALUES ('N1000WINFO', 'N1000WINFO1202ec', 'ec', '에쿠아도르', '1202', '0', '1');</v>
      </c>
    </row>
    <row r="318" spans="1:9">
      <c r="A318" s="7" t="s">
        <v>1443</v>
      </c>
      <c r="B318" s="6" t="str">
        <f t="shared" si="4"/>
        <v>N1000WINFO1202edu</v>
      </c>
      <c r="C318" s="6" t="s">
        <v>1059</v>
      </c>
      <c r="D318" s="6" t="s">
        <v>1060</v>
      </c>
      <c r="E318" s="8" t="s">
        <v>1444</v>
      </c>
      <c r="F318" s="8" t="s">
        <v>686</v>
      </c>
      <c r="G318" s="8" t="s">
        <v>684</v>
      </c>
      <c r="I318" s="7" t="str">
        <f>IF(B318&lt;&gt;"",CREATE_QUERY($B$1,A$2:G$2,A318:G318),"")</f>
        <v>INSERT INTO base_mast(hqof_idcd, base_idcd, base_code, base_name, prnt_idcd, line_stat, line_levl) VALUES ('N1000WINFO', 'N1000WINFO1202edu', 'edu', '교육적', '1202', '0', '1');</v>
      </c>
    </row>
    <row r="319" spans="1:9">
      <c r="A319" s="7" t="s">
        <v>1443</v>
      </c>
      <c r="B319" s="6" t="str">
        <f t="shared" si="4"/>
        <v>N1000WINFO1202ee</v>
      </c>
      <c r="C319" s="6" t="s">
        <v>1061</v>
      </c>
      <c r="D319" s="6" t="s">
        <v>1062</v>
      </c>
      <c r="E319" s="8" t="s">
        <v>1444</v>
      </c>
      <c r="F319" s="8" t="s">
        <v>686</v>
      </c>
      <c r="G319" s="8" t="s">
        <v>684</v>
      </c>
      <c r="I319" s="7" t="str">
        <f>IF(B319&lt;&gt;"",CREATE_QUERY($B$1,A$2:G$2,A319:G319),"")</f>
        <v>INSERT INTO base_mast(hqof_idcd, base_idcd, base_code, base_name, prnt_idcd, line_stat, line_levl) VALUES ('N1000WINFO', 'N1000WINFO1202ee', 'ee', '에스토니아', '1202', '0', '1');</v>
      </c>
    </row>
    <row r="320" spans="1:9">
      <c r="A320" s="7" t="s">
        <v>1443</v>
      </c>
      <c r="B320" s="6" t="str">
        <f t="shared" ref="B320:B383" si="5">A320&amp;E320&amp;C320</f>
        <v>N1000WINFO1202eg</v>
      </c>
      <c r="C320" s="6" t="s">
        <v>1063</v>
      </c>
      <c r="D320" s="6" t="s">
        <v>1064</v>
      </c>
      <c r="E320" s="8" t="s">
        <v>1444</v>
      </c>
      <c r="F320" s="8" t="s">
        <v>686</v>
      </c>
      <c r="G320" s="8" t="s">
        <v>684</v>
      </c>
      <c r="I320" s="7" t="str">
        <f>IF(B320&lt;&gt;"",CREATE_QUERY($B$1,A$2:G$2,A320:G320),"")</f>
        <v>INSERT INTO base_mast(hqof_idcd, base_idcd, base_code, base_name, prnt_idcd, line_stat, line_levl) VALUES ('N1000WINFO', 'N1000WINFO1202eg', 'eg', '이집트', '1202', '0', '1');</v>
      </c>
    </row>
    <row r="321" spans="1:9">
      <c r="A321" s="7" t="s">
        <v>1443</v>
      </c>
      <c r="B321" s="6" t="str">
        <f t="shared" si="5"/>
        <v>N1000WINFO1202eh</v>
      </c>
      <c r="C321" s="6" t="s">
        <v>1065</v>
      </c>
      <c r="D321" s="6" t="s">
        <v>1066</v>
      </c>
      <c r="E321" s="8" t="s">
        <v>1444</v>
      </c>
      <c r="F321" s="8" t="s">
        <v>686</v>
      </c>
      <c r="G321" s="8" t="s">
        <v>684</v>
      </c>
      <c r="I321" s="7" t="str">
        <f>IF(B321&lt;&gt;"",CREATE_QUERY($B$1,A$2:G$2,A321:G321),"")</f>
        <v>INSERT INTO base_mast(hqof_idcd, base_idcd, base_code, base_name, prnt_idcd, line_stat, line_levl) VALUES ('N1000WINFO', 'N1000WINFO1202eh', 'eh', '서사하라', '1202', '0', '1');</v>
      </c>
    </row>
    <row r="322" spans="1:9">
      <c r="A322" s="7" t="s">
        <v>1443</v>
      </c>
      <c r="B322" s="6" t="str">
        <f t="shared" si="5"/>
        <v>N1000WINFO1202er</v>
      </c>
      <c r="C322" s="6" t="s">
        <v>1067</v>
      </c>
      <c r="D322" s="6" t="s">
        <v>1068</v>
      </c>
      <c r="E322" s="8" t="s">
        <v>1444</v>
      </c>
      <c r="F322" s="8" t="s">
        <v>686</v>
      </c>
      <c r="G322" s="8" t="s">
        <v>684</v>
      </c>
      <c r="I322" s="7" t="str">
        <f>IF(B322&lt;&gt;"",CREATE_QUERY($B$1,A$2:G$2,A322:G322),"")</f>
        <v>INSERT INTO base_mast(hqof_idcd, base_idcd, base_code, base_name, prnt_idcd, line_stat, line_levl) VALUES ('N1000WINFO', 'N1000WINFO1202er', 'er', '에리트레아', '1202', '0', '1');</v>
      </c>
    </row>
    <row r="323" spans="1:9">
      <c r="A323" s="7" t="s">
        <v>1443</v>
      </c>
      <c r="B323" s="6" t="str">
        <f t="shared" si="5"/>
        <v>N1000WINFO1202es</v>
      </c>
      <c r="C323" s="6" t="s">
        <v>1069</v>
      </c>
      <c r="D323" s="6" t="s">
        <v>1070</v>
      </c>
      <c r="E323" s="8" t="s">
        <v>1444</v>
      </c>
      <c r="F323" s="8" t="s">
        <v>686</v>
      </c>
      <c r="G323" s="8" t="s">
        <v>684</v>
      </c>
      <c r="I323" s="7" t="str">
        <f>IF(B323&lt;&gt;"",CREATE_QUERY($B$1,A$2:G$2,A323:G323),"")</f>
        <v>INSERT INTO base_mast(hqof_idcd, base_idcd, base_code, base_name, prnt_idcd, line_stat, line_levl) VALUES ('N1000WINFO', 'N1000WINFO1202es', 'es', '스페인', '1202', '0', '1');</v>
      </c>
    </row>
    <row r="324" spans="1:9">
      <c r="A324" s="7" t="s">
        <v>1443</v>
      </c>
      <c r="B324" s="6" t="str">
        <f t="shared" si="5"/>
        <v>N1000WINFO1202et</v>
      </c>
      <c r="C324" s="6" t="s">
        <v>1071</v>
      </c>
      <c r="D324" s="6" t="s">
        <v>1072</v>
      </c>
      <c r="E324" s="8" t="s">
        <v>1444</v>
      </c>
      <c r="F324" s="8" t="s">
        <v>686</v>
      </c>
      <c r="G324" s="8" t="s">
        <v>684</v>
      </c>
      <c r="I324" s="7" t="str">
        <f>IF(B324&lt;&gt;"",CREATE_QUERY($B$1,A$2:G$2,A324:G324),"")</f>
        <v>INSERT INTO base_mast(hqof_idcd, base_idcd, base_code, base_name, prnt_idcd, line_stat, line_levl) VALUES ('N1000WINFO', 'N1000WINFO1202et', 'et', '에디오피아', '1202', '0', '1');</v>
      </c>
    </row>
    <row r="325" spans="1:9">
      <c r="A325" s="7" t="s">
        <v>1443</v>
      </c>
      <c r="B325" s="6" t="str">
        <f t="shared" si="5"/>
        <v>N1000WINFO1202fi</v>
      </c>
      <c r="C325" s="6" t="s">
        <v>1073</v>
      </c>
      <c r="D325" s="6" t="s">
        <v>1074</v>
      </c>
      <c r="E325" s="8" t="s">
        <v>1444</v>
      </c>
      <c r="F325" s="8" t="s">
        <v>686</v>
      </c>
      <c r="G325" s="8" t="s">
        <v>684</v>
      </c>
      <c r="I325" s="7" t="str">
        <f>IF(B325&lt;&gt;"",CREATE_QUERY($B$1,A$2:G$2,A325:G325),"")</f>
        <v>INSERT INTO base_mast(hqof_idcd, base_idcd, base_code, base_name, prnt_idcd, line_stat, line_levl) VALUES ('N1000WINFO', 'N1000WINFO1202fi', 'fi', '핀란드', '1202', '0', '1');</v>
      </c>
    </row>
    <row r="326" spans="1:9">
      <c r="A326" s="7" t="s">
        <v>1443</v>
      </c>
      <c r="B326" s="6" t="str">
        <f t="shared" si="5"/>
        <v>N1000WINFO1202fj</v>
      </c>
      <c r="C326" s="6" t="s">
        <v>1075</v>
      </c>
      <c r="D326" s="6" t="s">
        <v>1076</v>
      </c>
      <c r="E326" s="8" t="s">
        <v>1444</v>
      </c>
      <c r="F326" s="8" t="s">
        <v>686</v>
      </c>
      <c r="G326" s="8" t="s">
        <v>684</v>
      </c>
      <c r="I326" s="7" t="str">
        <f>IF(B326&lt;&gt;"",CREATE_QUERY($B$1,A$2:G$2,A326:G326),"")</f>
        <v>INSERT INTO base_mast(hqof_idcd, base_idcd, base_code, base_name, prnt_idcd, line_stat, line_levl) VALUES ('N1000WINFO', 'N1000WINFO1202fj', 'fj', '피지', '1202', '0', '1');</v>
      </c>
    </row>
    <row r="327" spans="1:9">
      <c r="A327" s="7" t="s">
        <v>1443</v>
      </c>
      <c r="B327" s="6" t="str">
        <f t="shared" si="5"/>
        <v>N1000WINFO1202fk</v>
      </c>
      <c r="C327" s="6" t="s">
        <v>1077</v>
      </c>
      <c r="D327" s="6" t="s">
        <v>1078</v>
      </c>
      <c r="E327" s="8" t="s">
        <v>1444</v>
      </c>
      <c r="F327" s="8" t="s">
        <v>686</v>
      </c>
      <c r="G327" s="8" t="s">
        <v>684</v>
      </c>
      <c r="I327" s="7" t="str">
        <f>IF(B327&lt;&gt;"",CREATE_QUERY($B$1,A$2:G$2,A327:G327),"")</f>
        <v>INSERT INTO base_mast(hqof_idcd, base_idcd, base_code, base_name, prnt_idcd, line_stat, line_levl) VALUES ('N1000WINFO', 'N1000WINFO1202fk', 'fk', '포클랜드', '1202', '0', '1');</v>
      </c>
    </row>
    <row r="328" spans="1:9">
      <c r="A328" s="7" t="s">
        <v>1443</v>
      </c>
      <c r="B328" s="6" t="str">
        <f t="shared" si="5"/>
        <v>N1000WINFO1202fm</v>
      </c>
      <c r="C328" s="6" t="s">
        <v>1079</v>
      </c>
      <c r="D328" s="6" t="s">
        <v>1080</v>
      </c>
      <c r="E328" s="8" t="s">
        <v>1444</v>
      </c>
      <c r="F328" s="8" t="s">
        <v>686</v>
      </c>
      <c r="G328" s="8" t="s">
        <v>684</v>
      </c>
      <c r="I328" s="7" t="str">
        <f>IF(B328&lt;&gt;"",CREATE_QUERY($B$1,A$2:G$2,A328:G328),"")</f>
        <v>INSERT INTO base_mast(hqof_idcd, base_idcd, base_code, base_name, prnt_idcd, line_stat, line_levl) VALUES ('N1000WINFO', 'N1000WINFO1202fm', 'fm', '마이크로네시아', '1202', '0', '1');</v>
      </c>
    </row>
    <row r="329" spans="1:9">
      <c r="A329" s="7" t="s">
        <v>1443</v>
      </c>
      <c r="B329" s="6" t="str">
        <f t="shared" si="5"/>
        <v>N1000WINFO1202fo</v>
      </c>
      <c r="C329" s="6" t="s">
        <v>1081</v>
      </c>
      <c r="D329" s="6" t="s">
        <v>1082</v>
      </c>
      <c r="E329" s="8" t="s">
        <v>1444</v>
      </c>
      <c r="F329" s="8" t="s">
        <v>686</v>
      </c>
      <c r="G329" s="8" t="s">
        <v>684</v>
      </c>
      <c r="I329" s="7" t="str">
        <f>IF(B329&lt;&gt;"",CREATE_QUERY($B$1,A$2:G$2,A329:G329),"")</f>
        <v>INSERT INTO base_mast(hqof_idcd, base_idcd, base_code, base_name, prnt_idcd, line_stat, line_levl) VALUES ('N1000WINFO', 'N1000WINFO1202fo', 'fo', '페로 군도', '1202', '0', '1');</v>
      </c>
    </row>
    <row r="330" spans="1:9">
      <c r="A330" s="7" t="s">
        <v>1443</v>
      </c>
      <c r="B330" s="6" t="str">
        <f t="shared" si="5"/>
        <v>N1000WINFO1202fr</v>
      </c>
      <c r="C330" s="6" t="s">
        <v>1083</v>
      </c>
      <c r="D330" s="6" t="s">
        <v>1084</v>
      </c>
      <c r="E330" s="8" t="s">
        <v>1444</v>
      </c>
      <c r="F330" s="8" t="s">
        <v>686</v>
      </c>
      <c r="G330" s="8" t="s">
        <v>684</v>
      </c>
      <c r="I330" s="7" t="str">
        <f>IF(B330&lt;&gt;"",CREATE_QUERY($B$1,A$2:G$2,A330:G330),"")</f>
        <v>INSERT INTO base_mast(hqof_idcd, base_idcd, base_code, base_name, prnt_idcd, line_stat, line_levl) VALUES ('N1000WINFO', 'N1000WINFO1202fr', 'fr', '프랑스', '1202', '0', '1');</v>
      </c>
    </row>
    <row r="331" spans="1:9">
      <c r="A331" s="7" t="s">
        <v>1443</v>
      </c>
      <c r="B331" s="6" t="str">
        <f t="shared" si="5"/>
        <v>N1000WINFO1202fx</v>
      </c>
      <c r="C331" s="6" t="s">
        <v>1085</v>
      </c>
      <c r="D331" s="6" t="s">
        <v>1086</v>
      </c>
      <c r="E331" s="8" t="s">
        <v>1444</v>
      </c>
      <c r="F331" s="8" t="s">
        <v>686</v>
      </c>
      <c r="G331" s="8" t="s">
        <v>684</v>
      </c>
      <c r="I331" s="7" t="str">
        <f>IF(B331&lt;&gt;"",CREATE_QUERY($B$1,A$2:G$2,A331:G331),"")</f>
        <v>INSERT INTO base_mast(hqof_idcd, base_idcd, base_code, base_name, prnt_idcd, line_stat, line_levl) VALUES ('N1000WINFO', 'N1000WINFO1202fx', 'fx', '프랑스(유럽 영토)', '1202', '0', '1');</v>
      </c>
    </row>
    <row r="332" spans="1:9">
      <c r="A332" s="7" t="s">
        <v>1443</v>
      </c>
      <c r="B332" s="6" t="str">
        <f t="shared" si="5"/>
        <v>N1000WINFO1202ga</v>
      </c>
      <c r="C332" s="6" t="s">
        <v>1087</v>
      </c>
      <c r="D332" s="6" t="s">
        <v>1088</v>
      </c>
      <c r="E332" s="8" t="s">
        <v>1444</v>
      </c>
      <c r="F332" s="8" t="s">
        <v>686</v>
      </c>
      <c r="G332" s="8" t="s">
        <v>684</v>
      </c>
      <c r="I332" s="7" t="str">
        <f>IF(B332&lt;&gt;"",CREATE_QUERY($B$1,A$2:G$2,A332:G332),"")</f>
        <v>INSERT INTO base_mast(hqof_idcd, base_idcd, base_code, base_name, prnt_idcd, line_stat, line_levl) VALUES ('N1000WINFO', 'N1000WINFO1202ga', 'ga', '가봉', '1202', '0', '1');</v>
      </c>
    </row>
    <row r="333" spans="1:9">
      <c r="A333" s="7" t="s">
        <v>1443</v>
      </c>
      <c r="B333" s="6" t="str">
        <f t="shared" si="5"/>
        <v>N1000WINFO1202gb</v>
      </c>
      <c r="C333" s="6" t="s">
        <v>30</v>
      </c>
      <c r="D333" s="6" t="s">
        <v>1089</v>
      </c>
      <c r="E333" s="8" t="s">
        <v>1444</v>
      </c>
      <c r="F333" s="8" t="s">
        <v>686</v>
      </c>
      <c r="G333" s="8" t="s">
        <v>684</v>
      </c>
      <c r="I333" s="7" t="str">
        <f>IF(B333&lt;&gt;"",CREATE_QUERY($B$1,A$2:G$2,A333:G333),"")</f>
        <v>INSERT INTO base_mast(hqof_idcd, base_idcd, base_code, base_name, prnt_idcd, line_stat, line_levl) VALUES ('N1000WINFO', 'N1000WINFO1202gb', 'gb', '영국', '1202', '0', '1');</v>
      </c>
    </row>
    <row r="334" spans="1:9">
      <c r="A334" s="7" t="s">
        <v>1443</v>
      </c>
      <c r="B334" s="6" t="str">
        <f t="shared" si="5"/>
        <v>N1000WINFO1202gd</v>
      </c>
      <c r="C334" s="6" t="s">
        <v>1090</v>
      </c>
      <c r="D334" s="6" t="s">
        <v>1091</v>
      </c>
      <c r="E334" s="8" t="s">
        <v>1444</v>
      </c>
      <c r="F334" s="8" t="s">
        <v>686</v>
      </c>
      <c r="G334" s="8" t="s">
        <v>684</v>
      </c>
      <c r="I334" s="7" t="str">
        <f>IF(B334&lt;&gt;"",CREATE_QUERY($B$1,A$2:G$2,A334:G334),"")</f>
        <v>INSERT INTO base_mast(hqof_idcd, base_idcd, base_code, base_name, prnt_idcd, line_stat, line_levl) VALUES ('N1000WINFO', 'N1000WINFO1202gd', 'gd', '그레나다', '1202', '0', '1');</v>
      </c>
    </row>
    <row r="335" spans="1:9">
      <c r="A335" s="7" t="s">
        <v>1443</v>
      </c>
      <c r="B335" s="6" t="str">
        <f t="shared" si="5"/>
        <v>N1000WINFO1202ge</v>
      </c>
      <c r="C335" s="6" t="s">
        <v>1092</v>
      </c>
      <c r="D335" s="6" t="s">
        <v>1093</v>
      </c>
      <c r="E335" s="8" t="s">
        <v>1444</v>
      </c>
      <c r="F335" s="8" t="s">
        <v>686</v>
      </c>
      <c r="G335" s="8" t="s">
        <v>684</v>
      </c>
      <c r="I335" s="7" t="str">
        <f>IF(B335&lt;&gt;"",CREATE_QUERY($B$1,A$2:G$2,A335:G335),"")</f>
        <v>INSERT INTO base_mast(hqof_idcd, base_idcd, base_code, base_name, prnt_idcd, line_stat, line_levl) VALUES ('N1000WINFO', 'N1000WINFO1202ge', 'ge', '그루지야', '1202', '0', '1');</v>
      </c>
    </row>
    <row r="336" spans="1:9">
      <c r="A336" s="7" t="s">
        <v>1443</v>
      </c>
      <c r="B336" s="6" t="str">
        <f t="shared" si="5"/>
        <v>N1000WINFO1202gf</v>
      </c>
      <c r="C336" s="6" t="s">
        <v>1094</v>
      </c>
      <c r="D336" s="6" t="s">
        <v>1095</v>
      </c>
      <c r="E336" s="8" t="s">
        <v>1444</v>
      </c>
      <c r="F336" s="8" t="s">
        <v>686</v>
      </c>
      <c r="G336" s="8" t="s">
        <v>684</v>
      </c>
      <c r="I336" s="7" t="str">
        <f>IF(B336&lt;&gt;"",CREATE_QUERY($B$1,A$2:G$2,A336:G336),"")</f>
        <v>INSERT INTO base_mast(hqof_idcd, base_idcd, base_code, base_name, prnt_idcd, line_stat, line_levl) VALUES ('N1000WINFO', 'N1000WINFO1202gf', 'gf', '프랑스령 가이아나', '1202', '0', '1');</v>
      </c>
    </row>
    <row r="337" spans="1:9">
      <c r="A337" s="7" t="s">
        <v>1443</v>
      </c>
      <c r="B337" s="6" t="str">
        <f t="shared" si="5"/>
        <v>N1000WINFO1202gh</v>
      </c>
      <c r="C337" s="6" t="s">
        <v>1096</v>
      </c>
      <c r="D337" s="6" t="s">
        <v>1097</v>
      </c>
      <c r="E337" s="8" t="s">
        <v>1444</v>
      </c>
      <c r="F337" s="8" t="s">
        <v>686</v>
      </c>
      <c r="G337" s="8" t="s">
        <v>684</v>
      </c>
      <c r="I337" s="7" t="str">
        <f>IF(B337&lt;&gt;"",CREATE_QUERY($B$1,A$2:G$2,A337:G337),"")</f>
        <v>INSERT INTO base_mast(hqof_idcd, base_idcd, base_code, base_name, prnt_idcd, line_stat, line_levl) VALUES ('N1000WINFO', 'N1000WINFO1202gh', 'gh', '가나', '1202', '0', '1');</v>
      </c>
    </row>
    <row r="338" spans="1:9">
      <c r="A338" s="7" t="s">
        <v>1443</v>
      </c>
      <c r="B338" s="6" t="str">
        <f t="shared" si="5"/>
        <v>N1000WINFO1202gi</v>
      </c>
      <c r="C338" s="6" t="s">
        <v>1098</v>
      </c>
      <c r="D338" s="6" t="s">
        <v>1099</v>
      </c>
      <c r="E338" s="8" t="s">
        <v>1444</v>
      </c>
      <c r="F338" s="8" t="s">
        <v>686</v>
      </c>
      <c r="G338" s="8" t="s">
        <v>684</v>
      </c>
      <c r="I338" s="7" t="str">
        <f>IF(B338&lt;&gt;"",CREATE_QUERY($B$1,A$2:G$2,A338:G338),"")</f>
        <v>INSERT INTO base_mast(hqof_idcd, base_idcd, base_code, base_name, prnt_idcd, line_stat, line_levl) VALUES ('N1000WINFO', 'N1000WINFO1202gi', 'gi', '지브랄타', '1202', '0', '1');</v>
      </c>
    </row>
    <row r="339" spans="1:9">
      <c r="A339" s="7" t="s">
        <v>1443</v>
      </c>
      <c r="B339" s="6" t="str">
        <f t="shared" si="5"/>
        <v>N1000WINFO1202gl</v>
      </c>
      <c r="C339" s="6" t="s">
        <v>1100</v>
      </c>
      <c r="D339" s="6" t="s">
        <v>1101</v>
      </c>
      <c r="E339" s="8" t="s">
        <v>1444</v>
      </c>
      <c r="F339" s="8" t="s">
        <v>686</v>
      </c>
      <c r="G339" s="8" t="s">
        <v>684</v>
      </c>
      <c r="I339" s="7" t="str">
        <f>IF(B339&lt;&gt;"",CREATE_QUERY($B$1,A$2:G$2,A339:G339),"")</f>
        <v>INSERT INTO base_mast(hqof_idcd, base_idcd, base_code, base_name, prnt_idcd, line_stat, line_levl) VALUES ('N1000WINFO', 'N1000WINFO1202gl', 'gl', '그린랜드', '1202', '0', '1');</v>
      </c>
    </row>
    <row r="340" spans="1:9">
      <c r="A340" s="7" t="s">
        <v>1443</v>
      </c>
      <c r="B340" s="6" t="str">
        <f t="shared" si="5"/>
        <v>N1000WINFO1202gm</v>
      </c>
      <c r="C340" s="6" t="s">
        <v>1102</v>
      </c>
      <c r="D340" s="6" t="s">
        <v>1103</v>
      </c>
      <c r="E340" s="8" t="s">
        <v>1444</v>
      </c>
      <c r="F340" s="8" t="s">
        <v>686</v>
      </c>
      <c r="G340" s="8" t="s">
        <v>684</v>
      </c>
      <c r="I340" s="7" t="str">
        <f>IF(B340&lt;&gt;"",CREATE_QUERY($B$1,A$2:G$2,A340:G340),"")</f>
        <v>INSERT INTO base_mast(hqof_idcd, base_idcd, base_code, base_name, prnt_idcd, line_stat, line_levl) VALUES ('N1000WINFO', 'N1000WINFO1202gm', 'gm', '감비아', '1202', '0', '1');</v>
      </c>
    </row>
    <row r="341" spans="1:9">
      <c r="A341" s="7" t="s">
        <v>1443</v>
      </c>
      <c r="B341" s="6" t="str">
        <f t="shared" si="5"/>
        <v>N1000WINFO1202gn</v>
      </c>
      <c r="C341" s="6" t="s">
        <v>1104</v>
      </c>
      <c r="D341" s="6" t="s">
        <v>1105</v>
      </c>
      <c r="E341" s="8" t="s">
        <v>1444</v>
      </c>
      <c r="F341" s="8" t="s">
        <v>686</v>
      </c>
      <c r="G341" s="8" t="s">
        <v>684</v>
      </c>
      <c r="I341" s="7" t="str">
        <f>IF(B341&lt;&gt;"",CREATE_QUERY($B$1,A$2:G$2,A341:G341),"")</f>
        <v>INSERT INTO base_mast(hqof_idcd, base_idcd, base_code, base_name, prnt_idcd, line_stat, line_levl) VALUES ('N1000WINFO', 'N1000WINFO1202gn', 'gn', '기니', '1202', '0', '1');</v>
      </c>
    </row>
    <row r="342" spans="1:9">
      <c r="A342" s="7" t="s">
        <v>1443</v>
      </c>
      <c r="B342" s="6" t="str">
        <f t="shared" si="5"/>
        <v>N1000WINFO1202gov</v>
      </c>
      <c r="C342" s="6" t="s">
        <v>1106</v>
      </c>
      <c r="D342" s="6" t="s">
        <v>1107</v>
      </c>
      <c r="E342" s="8" t="s">
        <v>1444</v>
      </c>
      <c r="F342" s="8" t="s">
        <v>686</v>
      </c>
      <c r="G342" s="8" t="s">
        <v>684</v>
      </c>
      <c r="I342" s="7" t="str">
        <f>IF(B342&lt;&gt;"",CREATE_QUERY($B$1,A$2:G$2,A342:G342),"")</f>
        <v>INSERT INTO base_mast(hqof_idcd, base_idcd, base_code, base_name, prnt_idcd, line_stat, line_levl) VALUES ('N1000WINFO', 'N1000WINFO1202gov', 'gov', '미 정부', '1202', '0', '1');</v>
      </c>
    </row>
    <row r="343" spans="1:9">
      <c r="A343" s="7" t="s">
        <v>1443</v>
      </c>
      <c r="B343" s="6" t="str">
        <f t="shared" si="5"/>
        <v>N1000WINFO1202gp</v>
      </c>
      <c r="C343" s="6" t="s">
        <v>1108</v>
      </c>
      <c r="D343" s="6" t="s">
        <v>1109</v>
      </c>
      <c r="E343" s="8" t="s">
        <v>1444</v>
      </c>
      <c r="F343" s="8" t="s">
        <v>686</v>
      </c>
      <c r="G343" s="8" t="s">
        <v>684</v>
      </c>
      <c r="I343" s="7" t="str">
        <f>IF(B343&lt;&gt;"",CREATE_QUERY($B$1,A$2:G$2,A343:G343),"")</f>
        <v>INSERT INTO base_mast(hqof_idcd, base_idcd, base_code, base_name, prnt_idcd, line_stat, line_levl) VALUES ('N1000WINFO', 'N1000WINFO1202gp', 'gp', '과달루프(프랑스령)', '1202', '0', '1');</v>
      </c>
    </row>
    <row r="344" spans="1:9">
      <c r="A344" s="7" t="s">
        <v>1443</v>
      </c>
      <c r="B344" s="6" t="str">
        <f t="shared" si="5"/>
        <v>N1000WINFO1202gq</v>
      </c>
      <c r="C344" s="6" t="s">
        <v>1110</v>
      </c>
      <c r="D344" s="6" t="s">
        <v>1111</v>
      </c>
      <c r="E344" s="8" t="s">
        <v>1444</v>
      </c>
      <c r="F344" s="8" t="s">
        <v>686</v>
      </c>
      <c r="G344" s="8" t="s">
        <v>684</v>
      </c>
      <c r="I344" s="7" t="str">
        <f>IF(B344&lt;&gt;"",CREATE_QUERY($B$1,A$2:G$2,A344:G344),"")</f>
        <v>INSERT INTO base_mast(hqof_idcd, base_idcd, base_code, base_name, prnt_idcd, line_stat, line_levl) VALUES ('N1000WINFO', 'N1000WINFO1202gq', 'gq', '적도 기니', '1202', '0', '1');</v>
      </c>
    </row>
    <row r="345" spans="1:9">
      <c r="A345" s="7" t="s">
        <v>1443</v>
      </c>
      <c r="B345" s="6" t="str">
        <f t="shared" si="5"/>
        <v>N1000WINFO1202gr</v>
      </c>
      <c r="C345" s="6" t="s">
        <v>1112</v>
      </c>
      <c r="D345" s="6" t="s">
        <v>1113</v>
      </c>
      <c r="E345" s="8" t="s">
        <v>1444</v>
      </c>
      <c r="F345" s="8" t="s">
        <v>686</v>
      </c>
      <c r="G345" s="8" t="s">
        <v>684</v>
      </c>
      <c r="I345" s="7" t="str">
        <f>IF(B345&lt;&gt;"",CREATE_QUERY($B$1,A$2:G$2,A345:G345),"")</f>
        <v>INSERT INTO base_mast(hqof_idcd, base_idcd, base_code, base_name, prnt_idcd, line_stat, line_levl) VALUES ('N1000WINFO', 'N1000WINFO1202gr', 'gr', '그리스', '1202', '0', '1');</v>
      </c>
    </row>
    <row r="346" spans="1:9">
      <c r="A346" s="7" t="s">
        <v>1443</v>
      </c>
      <c r="B346" s="6" t="str">
        <f t="shared" si="5"/>
        <v>N1000WINFO1202gt</v>
      </c>
      <c r="C346" s="6" t="s">
        <v>1114</v>
      </c>
      <c r="D346" s="6" t="s">
        <v>1115</v>
      </c>
      <c r="E346" s="8" t="s">
        <v>1444</v>
      </c>
      <c r="F346" s="8" t="s">
        <v>686</v>
      </c>
      <c r="G346" s="8" t="s">
        <v>684</v>
      </c>
      <c r="I346" s="7" t="str">
        <f>IF(B346&lt;&gt;"",CREATE_QUERY($B$1,A$2:G$2,A346:G346),"")</f>
        <v>INSERT INTO base_mast(hqof_idcd, base_idcd, base_code, base_name, prnt_idcd, line_stat, line_levl) VALUES ('N1000WINFO', 'N1000WINFO1202gt', 'gt', '과테말라', '1202', '0', '1');</v>
      </c>
    </row>
    <row r="347" spans="1:9">
      <c r="A347" s="7" t="s">
        <v>1443</v>
      </c>
      <c r="B347" s="6" t="str">
        <f t="shared" si="5"/>
        <v>N1000WINFO1202gu</v>
      </c>
      <c r="C347" s="6" t="s">
        <v>1116</v>
      </c>
      <c r="D347" s="6" t="s">
        <v>1117</v>
      </c>
      <c r="E347" s="8" t="s">
        <v>1444</v>
      </c>
      <c r="F347" s="8" t="s">
        <v>686</v>
      </c>
      <c r="G347" s="8" t="s">
        <v>684</v>
      </c>
      <c r="I347" s="7" t="str">
        <f>IF(B347&lt;&gt;"",CREATE_QUERY($B$1,A$2:G$2,A347:G347),"")</f>
        <v>INSERT INTO base_mast(hqof_idcd, base_idcd, base_code, base_name, prnt_idcd, line_stat, line_levl) VALUES ('N1000WINFO', 'N1000WINFO1202gu', 'gu', '괌(미국령)', '1202', '0', '1');</v>
      </c>
    </row>
    <row r="348" spans="1:9">
      <c r="A348" s="7" t="s">
        <v>1443</v>
      </c>
      <c r="B348" s="6" t="str">
        <f t="shared" si="5"/>
        <v>N1000WINFO1202gw</v>
      </c>
      <c r="C348" s="6" t="s">
        <v>1118</v>
      </c>
      <c r="D348" s="6" t="s">
        <v>1119</v>
      </c>
      <c r="E348" s="8" t="s">
        <v>1444</v>
      </c>
      <c r="F348" s="8" t="s">
        <v>686</v>
      </c>
      <c r="G348" s="8" t="s">
        <v>684</v>
      </c>
      <c r="I348" s="7" t="str">
        <f>IF(B348&lt;&gt;"",CREATE_QUERY($B$1,A$2:G$2,A348:G348),"")</f>
        <v>INSERT INTO base_mast(hqof_idcd, base_idcd, base_code, base_name, prnt_idcd, line_stat, line_levl) VALUES ('N1000WINFO', 'N1000WINFO1202gw', 'gw', '기니비사우', '1202', '0', '1');</v>
      </c>
    </row>
    <row r="349" spans="1:9">
      <c r="A349" s="7" t="s">
        <v>1443</v>
      </c>
      <c r="B349" s="6" t="str">
        <f t="shared" si="5"/>
        <v>N1000WINFO1202gy</v>
      </c>
      <c r="C349" s="6" t="s">
        <v>1120</v>
      </c>
      <c r="D349" s="6" t="s">
        <v>1121</v>
      </c>
      <c r="E349" s="8" t="s">
        <v>1444</v>
      </c>
      <c r="F349" s="8" t="s">
        <v>686</v>
      </c>
      <c r="G349" s="8" t="s">
        <v>684</v>
      </c>
      <c r="I349" s="7" t="str">
        <f>IF(B349&lt;&gt;"",CREATE_QUERY($B$1,A$2:G$2,A349:G349),"")</f>
        <v>INSERT INTO base_mast(hqof_idcd, base_idcd, base_code, base_name, prnt_idcd, line_stat, line_levl) VALUES ('N1000WINFO', 'N1000WINFO1202gy', 'gy', '가이아나', '1202', '0', '1');</v>
      </c>
    </row>
    <row r="350" spans="1:9">
      <c r="A350" s="7" t="s">
        <v>1443</v>
      </c>
      <c r="B350" s="6" t="str">
        <f t="shared" si="5"/>
        <v>N1000WINFO1202hk</v>
      </c>
      <c r="C350" s="6" t="s">
        <v>1122</v>
      </c>
      <c r="D350" s="6" t="s">
        <v>1123</v>
      </c>
      <c r="E350" s="8" t="s">
        <v>1444</v>
      </c>
      <c r="F350" s="8" t="s">
        <v>686</v>
      </c>
      <c r="G350" s="8" t="s">
        <v>684</v>
      </c>
      <c r="I350" s="7" t="str">
        <f>IF(B350&lt;&gt;"",CREATE_QUERY($B$1,A$2:G$2,A350:G350),"")</f>
        <v>INSERT INTO base_mast(hqof_idcd, base_idcd, base_code, base_name, prnt_idcd, line_stat, line_levl) VALUES ('N1000WINFO', 'N1000WINFO1202hk', 'hk', '홍콩', '1202', '0', '1');</v>
      </c>
    </row>
    <row r="351" spans="1:9">
      <c r="A351" s="7" t="s">
        <v>1443</v>
      </c>
      <c r="B351" s="6" t="str">
        <f t="shared" si="5"/>
        <v>N1000WINFO1202hm</v>
      </c>
      <c r="C351" s="6" t="s">
        <v>1124</v>
      </c>
      <c r="D351" s="6" t="s">
        <v>1125</v>
      </c>
      <c r="E351" s="8" t="s">
        <v>1444</v>
      </c>
      <c r="F351" s="8" t="s">
        <v>686</v>
      </c>
      <c r="G351" s="8" t="s">
        <v>684</v>
      </c>
      <c r="I351" s="7" t="str">
        <f>IF(B351&lt;&gt;"",CREATE_QUERY($B$1,A$2:G$2,A351:G351),"")</f>
        <v>INSERT INTO base_mast(hqof_idcd, base_idcd, base_code, base_name, prnt_idcd, line_stat, line_levl) VALUES ('N1000WINFO', 'N1000WINFO1202hm', 'hm', '허드 섬 및 맥도널드 군도', '1202', '0', '1');</v>
      </c>
    </row>
    <row r="352" spans="1:9">
      <c r="A352" s="7" t="s">
        <v>1443</v>
      </c>
      <c r="B352" s="6" t="str">
        <f t="shared" si="5"/>
        <v>N1000WINFO1202hn</v>
      </c>
      <c r="C352" s="6" t="s">
        <v>1126</v>
      </c>
      <c r="D352" s="6" t="s">
        <v>1127</v>
      </c>
      <c r="E352" s="8" t="s">
        <v>1444</v>
      </c>
      <c r="F352" s="8" t="s">
        <v>686</v>
      </c>
      <c r="G352" s="8" t="s">
        <v>684</v>
      </c>
      <c r="I352" s="7" t="str">
        <f>IF(B352&lt;&gt;"",CREATE_QUERY($B$1,A$2:G$2,A352:G352),"")</f>
        <v>INSERT INTO base_mast(hqof_idcd, base_idcd, base_code, base_name, prnt_idcd, line_stat, line_levl) VALUES ('N1000WINFO', 'N1000WINFO1202hn', 'hn', '온두라스', '1202', '0', '1');</v>
      </c>
    </row>
    <row r="353" spans="1:9">
      <c r="A353" s="7" t="s">
        <v>1443</v>
      </c>
      <c r="B353" s="6" t="str">
        <f t="shared" si="5"/>
        <v>N1000WINFO1202hr</v>
      </c>
      <c r="C353" s="6" t="s">
        <v>1128</v>
      </c>
      <c r="D353" s="6" t="s">
        <v>1129</v>
      </c>
      <c r="E353" s="8" t="s">
        <v>1444</v>
      </c>
      <c r="F353" s="8" t="s">
        <v>686</v>
      </c>
      <c r="G353" s="8" t="s">
        <v>684</v>
      </c>
      <c r="I353" s="7" t="str">
        <f>IF(B353&lt;&gt;"",CREATE_QUERY($B$1,A$2:G$2,A353:G353),"")</f>
        <v>INSERT INTO base_mast(hqof_idcd, base_idcd, base_code, base_name, prnt_idcd, line_stat, line_levl) VALUES ('N1000WINFO', 'N1000WINFO1202hr', 'hr', '크로아티아', '1202', '0', '1');</v>
      </c>
    </row>
    <row r="354" spans="1:9">
      <c r="A354" s="7" t="s">
        <v>1443</v>
      </c>
      <c r="B354" s="6" t="str">
        <f t="shared" si="5"/>
        <v>N1000WINFO1202ht</v>
      </c>
      <c r="C354" s="6" t="s">
        <v>1130</v>
      </c>
      <c r="D354" s="6" t="s">
        <v>1131</v>
      </c>
      <c r="E354" s="8" t="s">
        <v>1444</v>
      </c>
      <c r="F354" s="8" t="s">
        <v>686</v>
      </c>
      <c r="G354" s="8" t="s">
        <v>684</v>
      </c>
      <c r="I354" s="7" t="str">
        <f>IF(B354&lt;&gt;"",CREATE_QUERY($B$1,A$2:G$2,A354:G354),"")</f>
        <v>INSERT INTO base_mast(hqof_idcd, base_idcd, base_code, base_name, prnt_idcd, line_stat, line_levl) VALUES ('N1000WINFO', 'N1000WINFO1202ht', 'ht', '아이티', '1202', '0', '1');</v>
      </c>
    </row>
    <row r="355" spans="1:9">
      <c r="A355" s="7" t="s">
        <v>1443</v>
      </c>
      <c r="B355" s="6" t="str">
        <f t="shared" si="5"/>
        <v>N1000WINFO1202hu</v>
      </c>
      <c r="C355" s="6" t="s">
        <v>1132</v>
      </c>
      <c r="D355" s="6" t="s">
        <v>1133</v>
      </c>
      <c r="E355" s="8" t="s">
        <v>1444</v>
      </c>
      <c r="F355" s="8" t="s">
        <v>686</v>
      </c>
      <c r="G355" s="8" t="s">
        <v>684</v>
      </c>
      <c r="I355" s="7" t="str">
        <f>IF(B355&lt;&gt;"",CREATE_QUERY($B$1,A$2:G$2,A355:G355),"")</f>
        <v>INSERT INTO base_mast(hqof_idcd, base_idcd, base_code, base_name, prnt_idcd, line_stat, line_levl) VALUES ('N1000WINFO', 'N1000WINFO1202hu', 'hu', '헝가리', '1202', '0', '1');</v>
      </c>
    </row>
    <row r="356" spans="1:9">
      <c r="A356" s="7" t="s">
        <v>1443</v>
      </c>
      <c r="B356" s="6" t="str">
        <f t="shared" si="5"/>
        <v>N1000WINFO1202id</v>
      </c>
      <c r="C356" s="6" t="s">
        <v>1134</v>
      </c>
      <c r="D356" s="6" t="s">
        <v>1135</v>
      </c>
      <c r="E356" s="8" t="s">
        <v>1444</v>
      </c>
      <c r="F356" s="8" t="s">
        <v>686</v>
      </c>
      <c r="G356" s="8" t="s">
        <v>684</v>
      </c>
      <c r="I356" s="7" t="str">
        <f>IF(B356&lt;&gt;"",CREATE_QUERY($B$1,A$2:G$2,A356:G356),"")</f>
        <v>INSERT INTO base_mast(hqof_idcd, base_idcd, base_code, base_name, prnt_idcd, line_stat, line_levl) VALUES ('N1000WINFO', 'N1000WINFO1202id', 'id', '인도네시아', '1202', '0', '1');</v>
      </c>
    </row>
    <row r="357" spans="1:9">
      <c r="A357" s="7" t="s">
        <v>1443</v>
      </c>
      <c r="B357" s="6" t="str">
        <f t="shared" si="5"/>
        <v>N1000WINFO1202ie</v>
      </c>
      <c r="C357" s="6" t="s">
        <v>1136</v>
      </c>
      <c r="D357" s="6" t="s">
        <v>1137</v>
      </c>
      <c r="E357" s="8" t="s">
        <v>1444</v>
      </c>
      <c r="F357" s="8" t="s">
        <v>686</v>
      </c>
      <c r="G357" s="8" t="s">
        <v>684</v>
      </c>
      <c r="I357" s="7" t="str">
        <f>IF(B357&lt;&gt;"",CREATE_QUERY($B$1,A$2:G$2,A357:G357),"")</f>
        <v>INSERT INTO base_mast(hqof_idcd, base_idcd, base_code, base_name, prnt_idcd, line_stat, line_levl) VALUES ('N1000WINFO', 'N1000WINFO1202ie', 'ie', '아일랜드', '1202', '0', '1');</v>
      </c>
    </row>
    <row r="358" spans="1:9">
      <c r="A358" s="7" t="s">
        <v>1443</v>
      </c>
      <c r="B358" s="6" t="str">
        <f t="shared" si="5"/>
        <v>N1000WINFO1202il</v>
      </c>
      <c r="C358" s="6" t="s">
        <v>1138</v>
      </c>
      <c r="D358" s="6" t="s">
        <v>1139</v>
      </c>
      <c r="E358" s="8" t="s">
        <v>1444</v>
      </c>
      <c r="F358" s="8" t="s">
        <v>686</v>
      </c>
      <c r="G358" s="8" t="s">
        <v>684</v>
      </c>
      <c r="I358" s="7" t="str">
        <f>IF(B358&lt;&gt;"",CREATE_QUERY($B$1,A$2:G$2,A358:G358),"")</f>
        <v>INSERT INTO base_mast(hqof_idcd, base_idcd, base_code, base_name, prnt_idcd, line_stat, line_levl) VALUES ('N1000WINFO', 'N1000WINFO1202il', 'il', '이스라엘', '1202', '0', '1');</v>
      </c>
    </row>
    <row r="359" spans="1:9">
      <c r="A359" s="7" t="s">
        <v>1443</v>
      </c>
      <c r="B359" s="6" t="str">
        <f t="shared" si="5"/>
        <v>N1000WINFO1202in</v>
      </c>
      <c r="C359" s="6" t="s">
        <v>1140</v>
      </c>
      <c r="D359" s="6" t="s">
        <v>1141</v>
      </c>
      <c r="E359" s="8" t="s">
        <v>1444</v>
      </c>
      <c r="F359" s="8" t="s">
        <v>686</v>
      </c>
      <c r="G359" s="8" t="s">
        <v>684</v>
      </c>
      <c r="I359" s="7" t="str">
        <f>IF(B359&lt;&gt;"",CREATE_QUERY($B$1,A$2:G$2,A359:G359),"")</f>
        <v>INSERT INTO base_mast(hqof_idcd, base_idcd, base_code, base_name, prnt_idcd, line_stat, line_levl) VALUES ('N1000WINFO', 'N1000WINFO1202in', 'in', '인도', '1202', '0', '1');</v>
      </c>
    </row>
    <row r="360" spans="1:9">
      <c r="A360" s="7" t="s">
        <v>1443</v>
      </c>
      <c r="B360" s="6" t="str">
        <f t="shared" si="5"/>
        <v>N1000WINFO1202int</v>
      </c>
      <c r="C360" s="6" t="s">
        <v>1142</v>
      </c>
      <c r="D360" s="6" t="s">
        <v>1143</v>
      </c>
      <c r="E360" s="8" t="s">
        <v>1444</v>
      </c>
      <c r="F360" s="8" t="s">
        <v>686</v>
      </c>
      <c r="G360" s="8" t="s">
        <v>684</v>
      </c>
      <c r="I360" s="7" t="str">
        <f>IF(B360&lt;&gt;"",CREATE_QUERY($B$1,A$2:G$2,A360:G360),"")</f>
        <v>INSERT INTO base_mast(hqof_idcd, base_idcd, base_code, base_name, prnt_idcd, line_stat, line_levl) VALUES ('N1000WINFO', 'N1000WINFO1202int', 'int', '국제', '1202', '0', '1');</v>
      </c>
    </row>
    <row r="361" spans="1:9">
      <c r="A361" s="7" t="s">
        <v>1443</v>
      </c>
      <c r="B361" s="6" t="str">
        <f t="shared" si="5"/>
        <v>N1000WINFO1202io</v>
      </c>
      <c r="C361" s="6" t="s">
        <v>1144</v>
      </c>
      <c r="D361" s="6" t="s">
        <v>1145</v>
      </c>
      <c r="E361" s="8" t="s">
        <v>1444</v>
      </c>
      <c r="F361" s="8" t="s">
        <v>686</v>
      </c>
      <c r="G361" s="8" t="s">
        <v>684</v>
      </c>
      <c r="I361" s="7" t="str">
        <f>IF(B361&lt;&gt;"",CREATE_QUERY($B$1,A$2:G$2,A361:G361),"")</f>
        <v>INSERT INTO base_mast(hqof_idcd, base_idcd, base_code, base_name, prnt_idcd, line_stat, line_levl) VALUES ('N1000WINFO', 'N1000WINFO1202io', 'io', '영인도 제도', '1202', '0', '1');</v>
      </c>
    </row>
    <row r="362" spans="1:9">
      <c r="A362" s="7" t="s">
        <v>1443</v>
      </c>
      <c r="B362" s="6" t="str">
        <f t="shared" si="5"/>
        <v>N1000WINFO1202iq</v>
      </c>
      <c r="C362" s="6" t="s">
        <v>1146</v>
      </c>
      <c r="D362" s="6" t="s">
        <v>1147</v>
      </c>
      <c r="E362" s="8" t="s">
        <v>1444</v>
      </c>
      <c r="F362" s="8" t="s">
        <v>686</v>
      </c>
      <c r="G362" s="8" t="s">
        <v>684</v>
      </c>
      <c r="I362" s="7" t="str">
        <f>IF(B362&lt;&gt;"",CREATE_QUERY($B$1,A$2:G$2,A362:G362),"")</f>
        <v>INSERT INTO base_mast(hqof_idcd, base_idcd, base_code, base_name, prnt_idcd, line_stat, line_levl) VALUES ('N1000WINFO', 'N1000WINFO1202iq', 'iq', '이라크', '1202', '0', '1');</v>
      </c>
    </row>
    <row r="363" spans="1:9">
      <c r="A363" s="7" t="s">
        <v>1443</v>
      </c>
      <c r="B363" s="6" t="str">
        <f t="shared" si="5"/>
        <v>N1000WINFO1202ir</v>
      </c>
      <c r="C363" s="6" t="s">
        <v>1148</v>
      </c>
      <c r="D363" s="6" t="s">
        <v>1149</v>
      </c>
      <c r="E363" s="8" t="s">
        <v>1444</v>
      </c>
      <c r="F363" s="8" t="s">
        <v>686</v>
      </c>
      <c r="G363" s="8" t="s">
        <v>684</v>
      </c>
      <c r="I363" s="7" t="str">
        <f>IF(B363&lt;&gt;"",CREATE_QUERY($B$1,A$2:G$2,A363:G363),"")</f>
        <v>INSERT INTO base_mast(hqof_idcd, base_idcd, base_code, base_name, prnt_idcd, line_stat, line_levl) VALUES ('N1000WINFO', 'N1000WINFO1202ir', 'ir', '이란', '1202', '0', '1');</v>
      </c>
    </row>
    <row r="364" spans="1:9">
      <c r="A364" s="7" t="s">
        <v>1443</v>
      </c>
      <c r="B364" s="6" t="str">
        <f t="shared" si="5"/>
        <v>N1000WINFO1202is</v>
      </c>
      <c r="C364" s="6" t="s">
        <v>1150</v>
      </c>
      <c r="D364" s="6" t="s">
        <v>1151</v>
      </c>
      <c r="E364" s="8" t="s">
        <v>1444</v>
      </c>
      <c r="F364" s="8" t="s">
        <v>686</v>
      </c>
      <c r="G364" s="8" t="s">
        <v>684</v>
      </c>
      <c r="I364" s="7" t="str">
        <f>IF(B364&lt;&gt;"",CREATE_QUERY($B$1,A$2:G$2,A364:G364),"")</f>
        <v>INSERT INTO base_mast(hqof_idcd, base_idcd, base_code, base_name, prnt_idcd, line_stat, line_levl) VALUES ('N1000WINFO', 'N1000WINFO1202is', 'is', '아이슬란드', '1202', '0', '1');</v>
      </c>
    </row>
    <row r="365" spans="1:9">
      <c r="A365" s="7" t="s">
        <v>1443</v>
      </c>
      <c r="B365" s="6" t="str">
        <f t="shared" si="5"/>
        <v>N1000WINFO1202it</v>
      </c>
      <c r="C365" s="6" t="s">
        <v>1152</v>
      </c>
      <c r="D365" s="6" t="s">
        <v>1153</v>
      </c>
      <c r="E365" s="8" t="s">
        <v>1444</v>
      </c>
      <c r="F365" s="8" t="s">
        <v>686</v>
      </c>
      <c r="G365" s="8" t="s">
        <v>684</v>
      </c>
      <c r="I365" s="7" t="str">
        <f>IF(B365&lt;&gt;"",CREATE_QUERY($B$1,A$2:G$2,A365:G365),"")</f>
        <v>INSERT INTO base_mast(hqof_idcd, base_idcd, base_code, base_name, prnt_idcd, line_stat, line_levl) VALUES ('N1000WINFO', 'N1000WINFO1202it', 'it', '이탈리아', '1202', '0', '1');</v>
      </c>
    </row>
    <row r="366" spans="1:9">
      <c r="A366" s="7" t="s">
        <v>1443</v>
      </c>
      <c r="B366" s="6" t="str">
        <f t="shared" si="5"/>
        <v>N1000WINFO1202jm</v>
      </c>
      <c r="C366" s="6" t="s">
        <v>1154</v>
      </c>
      <c r="D366" s="6" t="s">
        <v>1155</v>
      </c>
      <c r="E366" s="8" t="s">
        <v>1444</v>
      </c>
      <c r="F366" s="8" t="s">
        <v>686</v>
      </c>
      <c r="G366" s="8" t="s">
        <v>684</v>
      </c>
      <c r="I366" s="7" t="str">
        <f>IF(B366&lt;&gt;"",CREATE_QUERY($B$1,A$2:G$2,A366:G366),"")</f>
        <v>INSERT INTO base_mast(hqof_idcd, base_idcd, base_code, base_name, prnt_idcd, line_stat, line_levl) VALUES ('N1000WINFO', 'N1000WINFO1202jm', 'jm', '자메이카', '1202', '0', '1');</v>
      </c>
    </row>
    <row r="367" spans="1:9">
      <c r="A367" s="7" t="s">
        <v>1443</v>
      </c>
      <c r="B367" s="6" t="str">
        <f t="shared" si="5"/>
        <v>N1000WINFO1202jo</v>
      </c>
      <c r="C367" s="6" t="s">
        <v>1156</v>
      </c>
      <c r="D367" s="6" t="s">
        <v>1157</v>
      </c>
      <c r="E367" s="8" t="s">
        <v>1444</v>
      </c>
      <c r="F367" s="8" t="s">
        <v>686</v>
      </c>
      <c r="G367" s="8" t="s">
        <v>684</v>
      </c>
      <c r="I367" s="7" t="str">
        <f>IF(B367&lt;&gt;"",CREATE_QUERY($B$1,A$2:G$2,A367:G367),"")</f>
        <v>INSERT INTO base_mast(hqof_idcd, base_idcd, base_code, base_name, prnt_idcd, line_stat, line_levl) VALUES ('N1000WINFO', 'N1000WINFO1202jo', 'jo', '요르단', '1202', '0', '1');</v>
      </c>
    </row>
    <row r="368" spans="1:9">
      <c r="A368" s="7" t="s">
        <v>1443</v>
      </c>
      <c r="B368" s="6" t="str">
        <f t="shared" si="5"/>
        <v>N1000WINFO1202jp</v>
      </c>
      <c r="C368" s="6" t="s">
        <v>1158</v>
      </c>
      <c r="D368" s="6" t="s">
        <v>1159</v>
      </c>
      <c r="E368" s="8" t="s">
        <v>1444</v>
      </c>
      <c r="F368" s="8" t="s">
        <v>686</v>
      </c>
      <c r="G368" s="8" t="s">
        <v>684</v>
      </c>
      <c r="I368" s="7" t="str">
        <f>IF(B368&lt;&gt;"",CREATE_QUERY($B$1,A$2:G$2,A368:G368),"")</f>
        <v>INSERT INTO base_mast(hqof_idcd, base_idcd, base_code, base_name, prnt_idcd, line_stat, line_levl) VALUES ('N1000WINFO', 'N1000WINFO1202jp', 'jp', '일본', '1202', '0', '1');</v>
      </c>
    </row>
    <row r="369" spans="1:9">
      <c r="A369" s="7" t="s">
        <v>1443</v>
      </c>
      <c r="B369" s="6" t="str">
        <f t="shared" si="5"/>
        <v>N1000WINFO1202ke</v>
      </c>
      <c r="C369" s="6" t="s">
        <v>1160</v>
      </c>
      <c r="D369" s="6" t="s">
        <v>1161</v>
      </c>
      <c r="E369" s="8" t="s">
        <v>1444</v>
      </c>
      <c r="F369" s="8" t="s">
        <v>686</v>
      </c>
      <c r="G369" s="8" t="s">
        <v>684</v>
      </c>
      <c r="I369" s="7" t="str">
        <f>IF(B369&lt;&gt;"",CREATE_QUERY($B$1,A$2:G$2,A369:G369),"")</f>
        <v>INSERT INTO base_mast(hqof_idcd, base_idcd, base_code, base_name, prnt_idcd, line_stat, line_levl) VALUES ('N1000WINFO', 'N1000WINFO1202ke', 'ke', '케냐', '1202', '0', '1');</v>
      </c>
    </row>
    <row r="370" spans="1:9">
      <c r="A370" s="7" t="s">
        <v>1443</v>
      </c>
      <c r="B370" s="6" t="str">
        <f t="shared" si="5"/>
        <v>N1000WINFO1202kg</v>
      </c>
      <c r="C370" s="6" t="s">
        <v>1162</v>
      </c>
      <c r="D370" s="6" t="s">
        <v>1163</v>
      </c>
      <c r="E370" s="8" t="s">
        <v>1444</v>
      </c>
      <c r="F370" s="8" t="s">
        <v>686</v>
      </c>
      <c r="G370" s="8" t="s">
        <v>684</v>
      </c>
      <c r="I370" s="7" t="str">
        <f>IF(B370&lt;&gt;"",CREATE_QUERY($B$1,A$2:G$2,A370:G370),"")</f>
        <v>INSERT INTO base_mast(hqof_idcd, base_idcd, base_code, base_name, prnt_idcd, line_stat, line_levl) VALUES ('N1000WINFO', 'N1000WINFO1202kg', 'kg', '키르기스스탄', '1202', '0', '1');</v>
      </c>
    </row>
    <row r="371" spans="1:9">
      <c r="A371" s="7" t="s">
        <v>1443</v>
      </c>
      <c r="B371" s="6" t="str">
        <f t="shared" si="5"/>
        <v>N1000WINFO1202kh</v>
      </c>
      <c r="C371" s="6" t="s">
        <v>1164</v>
      </c>
      <c r="D371" s="6" t="s">
        <v>1165</v>
      </c>
      <c r="E371" s="8" t="s">
        <v>1444</v>
      </c>
      <c r="F371" s="8" t="s">
        <v>686</v>
      </c>
      <c r="G371" s="8" t="s">
        <v>684</v>
      </c>
      <c r="I371" s="7" t="str">
        <f>IF(B371&lt;&gt;"",CREATE_QUERY($B$1,A$2:G$2,A371:G371),"")</f>
        <v>INSERT INTO base_mast(hqof_idcd, base_idcd, base_code, base_name, prnt_idcd, line_stat, line_levl) VALUES ('N1000WINFO', 'N1000WINFO1202kh', 'kh', '캄보디아', '1202', '0', '1');</v>
      </c>
    </row>
    <row r="372" spans="1:9">
      <c r="A372" s="7" t="s">
        <v>1443</v>
      </c>
      <c r="B372" s="6" t="str">
        <f t="shared" si="5"/>
        <v>N1000WINFO1202ki</v>
      </c>
      <c r="C372" s="6" t="s">
        <v>1166</v>
      </c>
      <c r="D372" s="6" t="s">
        <v>1167</v>
      </c>
      <c r="E372" s="8" t="s">
        <v>1444</v>
      </c>
      <c r="F372" s="8" t="s">
        <v>686</v>
      </c>
      <c r="G372" s="8" t="s">
        <v>684</v>
      </c>
      <c r="I372" s="7" t="str">
        <f>IF(B372&lt;&gt;"",CREATE_QUERY($B$1,A$2:G$2,A372:G372),"")</f>
        <v>INSERT INTO base_mast(hqof_idcd, base_idcd, base_code, base_name, prnt_idcd, line_stat, line_levl) VALUES ('N1000WINFO', 'N1000WINFO1202ki', 'ki', '키리바시', '1202', '0', '1');</v>
      </c>
    </row>
    <row r="373" spans="1:9">
      <c r="A373" s="7" t="s">
        <v>1443</v>
      </c>
      <c r="B373" s="6" t="str">
        <f t="shared" si="5"/>
        <v>N1000WINFO1202km</v>
      </c>
      <c r="C373" s="6" t="s">
        <v>1168</v>
      </c>
      <c r="D373" s="6" t="s">
        <v>1169</v>
      </c>
      <c r="E373" s="8" t="s">
        <v>1444</v>
      </c>
      <c r="F373" s="8" t="s">
        <v>686</v>
      </c>
      <c r="G373" s="8" t="s">
        <v>684</v>
      </c>
      <c r="I373" s="7" t="str">
        <f>IF(B373&lt;&gt;"",CREATE_QUERY($B$1,A$2:G$2,A373:G373),"")</f>
        <v>INSERT INTO base_mast(hqof_idcd, base_idcd, base_code, base_name, prnt_idcd, line_stat, line_levl) VALUES ('N1000WINFO', 'N1000WINFO1202km', 'km', '코모로', '1202', '0', '1');</v>
      </c>
    </row>
    <row r="374" spans="1:9">
      <c r="A374" s="7" t="s">
        <v>1443</v>
      </c>
      <c r="B374" s="6" t="str">
        <f t="shared" si="5"/>
        <v>N1000WINFO1202kn</v>
      </c>
      <c r="C374" s="6" t="s">
        <v>1170</v>
      </c>
      <c r="D374" s="6" t="s">
        <v>1171</v>
      </c>
      <c r="E374" s="8" t="s">
        <v>1444</v>
      </c>
      <c r="F374" s="8" t="s">
        <v>686</v>
      </c>
      <c r="G374" s="8" t="s">
        <v>684</v>
      </c>
      <c r="I374" s="7" t="str">
        <f>IF(B374&lt;&gt;"",CREATE_QUERY($B$1,A$2:G$2,A374:G374),"")</f>
        <v>INSERT INTO base_mast(hqof_idcd, base_idcd, base_code, base_name, prnt_idcd, line_stat, line_levl) VALUES ('N1000WINFO', 'N1000WINFO1202kn', 'kn', '세인트 크리스토퍼 네비스', '1202', '0', '1');</v>
      </c>
    </row>
    <row r="375" spans="1:9">
      <c r="A375" s="7" t="s">
        <v>1443</v>
      </c>
      <c r="B375" s="6" t="str">
        <f t="shared" si="5"/>
        <v>N1000WINFO1202kp</v>
      </c>
      <c r="C375" s="6" t="s">
        <v>1172</v>
      </c>
      <c r="D375" s="6" t="s">
        <v>1173</v>
      </c>
      <c r="E375" s="8" t="s">
        <v>1444</v>
      </c>
      <c r="F375" s="8" t="s">
        <v>686</v>
      </c>
      <c r="G375" s="8" t="s">
        <v>684</v>
      </c>
      <c r="I375" s="7" t="str">
        <f>IF(B375&lt;&gt;"",CREATE_QUERY($B$1,A$2:G$2,A375:G375),"")</f>
        <v>INSERT INTO base_mast(hqof_idcd, base_idcd, base_code, base_name, prnt_idcd, line_stat, line_levl) VALUES ('N1000WINFO', 'N1000WINFO1202kp', 'kp', '북한', '1202', '0', '1');</v>
      </c>
    </row>
    <row r="376" spans="1:9">
      <c r="A376" s="7" t="s">
        <v>1443</v>
      </c>
      <c r="B376" s="6" t="str">
        <f t="shared" si="5"/>
        <v>N1000WINFO1202kr</v>
      </c>
      <c r="C376" s="6" t="s">
        <v>1174</v>
      </c>
      <c r="D376" s="6" t="s">
        <v>1175</v>
      </c>
      <c r="E376" s="8" t="s">
        <v>1444</v>
      </c>
      <c r="F376" s="8" t="s">
        <v>686</v>
      </c>
      <c r="G376" s="8" t="s">
        <v>684</v>
      </c>
      <c r="I376" s="7" t="str">
        <f>IF(B376&lt;&gt;"",CREATE_QUERY($B$1,A$2:G$2,A376:G376),"")</f>
        <v>INSERT INTO base_mast(hqof_idcd, base_idcd, base_code, base_name, prnt_idcd, line_stat, line_levl) VALUES ('N1000WINFO', 'N1000WINFO1202kr', 'kr', '남한', '1202', '0', '1');</v>
      </c>
    </row>
    <row r="377" spans="1:9">
      <c r="A377" s="7" t="s">
        <v>1443</v>
      </c>
      <c r="B377" s="6" t="str">
        <f t="shared" si="5"/>
        <v>N1000WINFO1202kw</v>
      </c>
      <c r="C377" s="6" t="s">
        <v>1176</v>
      </c>
      <c r="D377" s="6" t="s">
        <v>1177</v>
      </c>
      <c r="E377" s="8" t="s">
        <v>1444</v>
      </c>
      <c r="F377" s="8" t="s">
        <v>686</v>
      </c>
      <c r="G377" s="8" t="s">
        <v>684</v>
      </c>
      <c r="I377" s="7" t="str">
        <f>IF(B377&lt;&gt;"",CREATE_QUERY($B$1,A$2:G$2,A377:G377),"")</f>
        <v>INSERT INTO base_mast(hqof_idcd, base_idcd, base_code, base_name, prnt_idcd, line_stat, line_levl) VALUES ('N1000WINFO', 'N1000WINFO1202kw', 'kw', '쿠웨이트', '1202', '0', '1');</v>
      </c>
    </row>
    <row r="378" spans="1:9">
      <c r="A378" s="7" t="s">
        <v>1443</v>
      </c>
      <c r="B378" s="6" t="str">
        <f t="shared" si="5"/>
        <v>N1000WINFO1202ky</v>
      </c>
      <c r="C378" s="6" t="s">
        <v>1178</v>
      </c>
      <c r="D378" s="6" t="s">
        <v>1179</v>
      </c>
      <c r="E378" s="8" t="s">
        <v>1444</v>
      </c>
      <c r="F378" s="8" t="s">
        <v>686</v>
      </c>
      <c r="G378" s="8" t="s">
        <v>684</v>
      </c>
      <c r="I378" s="7" t="str">
        <f>IF(B378&lt;&gt;"",CREATE_QUERY($B$1,A$2:G$2,A378:G378),"")</f>
        <v>INSERT INTO base_mast(hqof_idcd, base_idcd, base_code, base_name, prnt_idcd, line_stat, line_levl) VALUES ('N1000WINFO', 'N1000WINFO1202ky', 'ky', '카이만 군도', '1202', '0', '1');</v>
      </c>
    </row>
    <row r="379" spans="1:9">
      <c r="A379" s="7" t="s">
        <v>1443</v>
      </c>
      <c r="B379" s="6" t="str">
        <f t="shared" si="5"/>
        <v>N1000WINFO1202kz</v>
      </c>
      <c r="C379" s="6" t="s">
        <v>1180</v>
      </c>
      <c r="D379" s="6" t="s">
        <v>1181</v>
      </c>
      <c r="E379" s="8" t="s">
        <v>1444</v>
      </c>
      <c r="F379" s="8" t="s">
        <v>686</v>
      </c>
      <c r="G379" s="8" t="s">
        <v>684</v>
      </c>
      <c r="I379" s="7" t="str">
        <f>IF(B379&lt;&gt;"",CREATE_QUERY($B$1,A$2:G$2,A379:G379),"")</f>
        <v>INSERT INTO base_mast(hqof_idcd, base_idcd, base_code, base_name, prnt_idcd, line_stat, line_levl) VALUES ('N1000WINFO', 'N1000WINFO1202kz', 'kz', '카자흐스탄', '1202', '0', '1');</v>
      </c>
    </row>
    <row r="380" spans="1:9">
      <c r="A380" s="7" t="s">
        <v>1443</v>
      </c>
      <c r="B380" s="6" t="str">
        <f t="shared" si="5"/>
        <v>N1000WINFO1202la</v>
      </c>
      <c r="C380" s="6" t="s">
        <v>1182</v>
      </c>
      <c r="D380" s="6" t="s">
        <v>1183</v>
      </c>
      <c r="E380" s="8" t="s">
        <v>1444</v>
      </c>
      <c r="F380" s="8" t="s">
        <v>686</v>
      </c>
      <c r="G380" s="8" t="s">
        <v>684</v>
      </c>
      <c r="I380" s="7" t="str">
        <f>IF(B380&lt;&gt;"",CREATE_QUERY($B$1,A$2:G$2,A380:G380),"")</f>
        <v>INSERT INTO base_mast(hqof_idcd, base_idcd, base_code, base_name, prnt_idcd, line_stat, line_levl) VALUES ('N1000WINFO', 'N1000WINFO1202la', 'la', '라오스', '1202', '0', '1');</v>
      </c>
    </row>
    <row r="381" spans="1:9">
      <c r="A381" s="7" t="s">
        <v>1443</v>
      </c>
      <c r="B381" s="6" t="str">
        <f t="shared" si="5"/>
        <v>N1000WINFO1202lb</v>
      </c>
      <c r="C381" s="6" t="s">
        <v>1184</v>
      </c>
      <c r="D381" s="6" t="s">
        <v>1185</v>
      </c>
      <c r="E381" s="8" t="s">
        <v>1444</v>
      </c>
      <c r="F381" s="8" t="s">
        <v>686</v>
      </c>
      <c r="G381" s="8" t="s">
        <v>684</v>
      </c>
      <c r="I381" s="7" t="str">
        <f>IF(B381&lt;&gt;"",CREATE_QUERY($B$1,A$2:G$2,A381:G381),"")</f>
        <v>INSERT INTO base_mast(hqof_idcd, base_idcd, base_code, base_name, prnt_idcd, line_stat, line_levl) VALUES ('N1000WINFO', 'N1000WINFO1202lb', 'lb', '레바논', '1202', '0', '1');</v>
      </c>
    </row>
    <row r="382" spans="1:9">
      <c r="A382" s="7" t="s">
        <v>1443</v>
      </c>
      <c r="B382" s="6" t="str">
        <f t="shared" si="5"/>
        <v>N1000WINFO1202lc</v>
      </c>
      <c r="C382" s="6" t="s">
        <v>1186</v>
      </c>
      <c r="D382" s="6" t="s">
        <v>1187</v>
      </c>
      <c r="E382" s="8" t="s">
        <v>1444</v>
      </c>
      <c r="F382" s="8" t="s">
        <v>686</v>
      </c>
      <c r="G382" s="8" t="s">
        <v>684</v>
      </c>
      <c r="I382" s="7" t="str">
        <f>IF(B382&lt;&gt;"",CREATE_QUERY($B$1,A$2:G$2,A382:G382),"")</f>
        <v>INSERT INTO base_mast(hqof_idcd, base_idcd, base_code, base_name, prnt_idcd, line_stat, line_levl) VALUES ('N1000WINFO', 'N1000WINFO1202lc', 'lc', '세인트 루시아', '1202', '0', '1');</v>
      </c>
    </row>
    <row r="383" spans="1:9">
      <c r="A383" s="7" t="s">
        <v>1443</v>
      </c>
      <c r="B383" s="6" t="str">
        <f t="shared" si="5"/>
        <v>N1000WINFO1202li</v>
      </c>
      <c r="C383" s="6" t="s">
        <v>1188</v>
      </c>
      <c r="D383" s="6" t="s">
        <v>1189</v>
      </c>
      <c r="E383" s="8" t="s">
        <v>1444</v>
      </c>
      <c r="F383" s="8" t="s">
        <v>686</v>
      </c>
      <c r="G383" s="8" t="s">
        <v>684</v>
      </c>
      <c r="I383" s="7" t="str">
        <f>IF(B383&lt;&gt;"",CREATE_QUERY($B$1,A$2:G$2,A383:G383),"")</f>
        <v>INSERT INTO base_mast(hqof_idcd, base_idcd, base_code, base_name, prnt_idcd, line_stat, line_levl) VALUES ('N1000WINFO', 'N1000WINFO1202li', 'li', '리히텐슈타인', '1202', '0', '1');</v>
      </c>
    </row>
    <row r="384" spans="1:9">
      <c r="A384" s="7" t="s">
        <v>1443</v>
      </c>
      <c r="B384" s="6" t="str">
        <f t="shared" ref="B384:B447" si="6">A384&amp;E384&amp;C384</f>
        <v>N1000WINFO1202lk</v>
      </c>
      <c r="C384" s="6" t="s">
        <v>1190</v>
      </c>
      <c r="D384" s="6" t="s">
        <v>1191</v>
      </c>
      <c r="E384" s="8" t="s">
        <v>1444</v>
      </c>
      <c r="F384" s="8" t="s">
        <v>686</v>
      </c>
      <c r="G384" s="8" t="s">
        <v>684</v>
      </c>
      <c r="I384" s="7" t="str">
        <f>IF(B384&lt;&gt;"",CREATE_QUERY($B$1,A$2:G$2,A384:G384),"")</f>
        <v>INSERT INTO base_mast(hqof_idcd, base_idcd, base_code, base_name, prnt_idcd, line_stat, line_levl) VALUES ('N1000WINFO', 'N1000WINFO1202lk', 'lk', '스리랑카', '1202', '0', '1');</v>
      </c>
    </row>
    <row r="385" spans="1:9">
      <c r="A385" s="7" t="s">
        <v>1443</v>
      </c>
      <c r="B385" s="6" t="str">
        <f t="shared" si="6"/>
        <v>N1000WINFO1202lr</v>
      </c>
      <c r="C385" s="6" t="s">
        <v>1192</v>
      </c>
      <c r="D385" s="6" t="s">
        <v>1193</v>
      </c>
      <c r="E385" s="8" t="s">
        <v>1444</v>
      </c>
      <c r="F385" s="8" t="s">
        <v>686</v>
      </c>
      <c r="G385" s="8" t="s">
        <v>684</v>
      </c>
      <c r="I385" s="7" t="str">
        <f>IF(B385&lt;&gt;"",CREATE_QUERY($B$1,A$2:G$2,A385:G385),"")</f>
        <v>INSERT INTO base_mast(hqof_idcd, base_idcd, base_code, base_name, prnt_idcd, line_stat, line_levl) VALUES ('N1000WINFO', 'N1000WINFO1202lr', 'lr', '라이베리아', '1202', '0', '1');</v>
      </c>
    </row>
    <row r="386" spans="1:9">
      <c r="A386" s="7" t="s">
        <v>1443</v>
      </c>
      <c r="B386" s="6" t="str">
        <f t="shared" si="6"/>
        <v>N1000WINFO1202ls</v>
      </c>
      <c r="C386" s="6" t="s">
        <v>1194</v>
      </c>
      <c r="D386" s="6" t="s">
        <v>1195</v>
      </c>
      <c r="E386" s="8" t="s">
        <v>1444</v>
      </c>
      <c r="F386" s="8" t="s">
        <v>686</v>
      </c>
      <c r="G386" s="8" t="s">
        <v>684</v>
      </c>
      <c r="I386" s="7" t="str">
        <f>IF(B386&lt;&gt;"",CREATE_QUERY($B$1,A$2:G$2,A386:G386),"")</f>
        <v>INSERT INTO base_mast(hqof_idcd, base_idcd, base_code, base_name, prnt_idcd, line_stat, line_levl) VALUES ('N1000WINFO', 'N1000WINFO1202ls', 'ls', '레소토', '1202', '0', '1');</v>
      </c>
    </row>
    <row r="387" spans="1:9">
      <c r="A387" s="7" t="s">
        <v>1443</v>
      </c>
      <c r="B387" s="6" t="str">
        <f t="shared" si="6"/>
        <v>N1000WINFO1202lt</v>
      </c>
      <c r="C387" s="6" t="s">
        <v>1196</v>
      </c>
      <c r="D387" s="6" t="s">
        <v>1197</v>
      </c>
      <c r="E387" s="8" t="s">
        <v>1444</v>
      </c>
      <c r="F387" s="8" t="s">
        <v>686</v>
      </c>
      <c r="G387" s="8" t="s">
        <v>684</v>
      </c>
      <c r="I387" s="7" t="str">
        <f>IF(B387&lt;&gt;"",CREATE_QUERY($B$1,A$2:G$2,A387:G387),"")</f>
        <v>INSERT INTO base_mast(hqof_idcd, base_idcd, base_code, base_name, prnt_idcd, line_stat, line_levl) VALUES ('N1000WINFO', 'N1000WINFO1202lt', 'lt', '리투아니아', '1202', '0', '1');</v>
      </c>
    </row>
    <row r="388" spans="1:9">
      <c r="A388" s="7" t="s">
        <v>1443</v>
      </c>
      <c r="B388" s="6" t="str">
        <f t="shared" si="6"/>
        <v>N1000WINFO1202lu</v>
      </c>
      <c r="C388" s="6" t="s">
        <v>1198</v>
      </c>
      <c r="D388" s="6" t="s">
        <v>1199</v>
      </c>
      <c r="E388" s="8" t="s">
        <v>1444</v>
      </c>
      <c r="F388" s="8" t="s">
        <v>686</v>
      </c>
      <c r="G388" s="8" t="s">
        <v>684</v>
      </c>
      <c r="I388" s="7" t="str">
        <f>IF(B388&lt;&gt;"",CREATE_QUERY($B$1,A$2:G$2,A388:G388),"")</f>
        <v>INSERT INTO base_mast(hqof_idcd, base_idcd, base_code, base_name, prnt_idcd, line_stat, line_levl) VALUES ('N1000WINFO', 'N1000WINFO1202lu', 'lu', '룩셈부르크', '1202', '0', '1');</v>
      </c>
    </row>
    <row r="389" spans="1:9">
      <c r="A389" s="7" t="s">
        <v>1443</v>
      </c>
      <c r="B389" s="6" t="str">
        <f t="shared" si="6"/>
        <v>N1000WINFO1202lv</v>
      </c>
      <c r="C389" s="6" t="s">
        <v>1200</v>
      </c>
      <c r="D389" s="6" t="s">
        <v>1201</v>
      </c>
      <c r="E389" s="8" t="s">
        <v>1444</v>
      </c>
      <c r="F389" s="8" t="s">
        <v>686</v>
      </c>
      <c r="G389" s="8" t="s">
        <v>684</v>
      </c>
      <c r="I389" s="7" t="str">
        <f>IF(B389&lt;&gt;"",CREATE_QUERY($B$1,A$2:G$2,A389:G389),"")</f>
        <v>INSERT INTO base_mast(hqof_idcd, base_idcd, base_code, base_name, prnt_idcd, line_stat, line_levl) VALUES ('N1000WINFO', 'N1000WINFO1202lv', 'lv', '라트비아', '1202', '0', '1');</v>
      </c>
    </row>
    <row r="390" spans="1:9">
      <c r="A390" s="7" t="s">
        <v>1443</v>
      </c>
      <c r="B390" s="6" t="str">
        <f t="shared" si="6"/>
        <v>N1000WINFO1202ly</v>
      </c>
      <c r="C390" s="6" t="s">
        <v>1202</v>
      </c>
      <c r="D390" s="6" t="s">
        <v>1203</v>
      </c>
      <c r="E390" s="8" t="s">
        <v>1444</v>
      </c>
      <c r="F390" s="8" t="s">
        <v>686</v>
      </c>
      <c r="G390" s="8" t="s">
        <v>684</v>
      </c>
      <c r="I390" s="7" t="str">
        <f>IF(B390&lt;&gt;"",CREATE_QUERY($B$1,A$2:G$2,A390:G390),"")</f>
        <v>INSERT INTO base_mast(hqof_idcd, base_idcd, base_code, base_name, prnt_idcd, line_stat, line_levl) VALUES ('N1000WINFO', 'N1000WINFO1202ly', 'ly', '리비아', '1202', '0', '1');</v>
      </c>
    </row>
    <row r="391" spans="1:9">
      <c r="A391" s="7" t="s">
        <v>1443</v>
      </c>
      <c r="B391" s="6" t="str">
        <f t="shared" si="6"/>
        <v>N1000WINFO1202ma</v>
      </c>
      <c r="C391" s="6" t="s">
        <v>1204</v>
      </c>
      <c r="D391" s="6" t="s">
        <v>1205</v>
      </c>
      <c r="E391" s="8" t="s">
        <v>1444</v>
      </c>
      <c r="F391" s="8" t="s">
        <v>686</v>
      </c>
      <c r="G391" s="8" t="s">
        <v>684</v>
      </c>
      <c r="I391" s="7" t="str">
        <f>IF(B391&lt;&gt;"",CREATE_QUERY($B$1,A$2:G$2,A391:G391),"")</f>
        <v>INSERT INTO base_mast(hqof_idcd, base_idcd, base_code, base_name, prnt_idcd, line_stat, line_levl) VALUES ('N1000WINFO', 'N1000WINFO1202ma', 'ma', '모로코', '1202', '0', '1');</v>
      </c>
    </row>
    <row r="392" spans="1:9">
      <c r="A392" s="7" t="s">
        <v>1443</v>
      </c>
      <c r="B392" s="6" t="str">
        <f t="shared" si="6"/>
        <v>N1000WINFO1202mc</v>
      </c>
      <c r="C392" s="6" t="s">
        <v>1206</v>
      </c>
      <c r="D392" s="6" t="s">
        <v>1207</v>
      </c>
      <c r="E392" s="8" t="s">
        <v>1444</v>
      </c>
      <c r="F392" s="8" t="s">
        <v>686</v>
      </c>
      <c r="G392" s="8" t="s">
        <v>684</v>
      </c>
      <c r="I392" s="7" t="str">
        <f>IF(B392&lt;&gt;"",CREATE_QUERY($B$1,A$2:G$2,A392:G392),"")</f>
        <v>INSERT INTO base_mast(hqof_idcd, base_idcd, base_code, base_name, prnt_idcd, line_stat, line_levl) VALUES ('N1000WINFO', 'N1000WINFO1202mc', 'mc', '모나코', '1202', '0', '1');</v>
      </c>
    </row>
    <row r="393" spans="1:9">
      <c r="A393" s="7" t="s">
        <v>1443</v>
      </c>
      <c r="B393" s="6" t="str">
        <f t="shared" si="6"/>
        <v>N1000WINFO1202md</v>
      </c>
      <c r="C393" s="6" t="s">
        <v>1208</v>
      </c>
      <c r="D393" s="6" t="s">
        <v>1209</v>
      </c>
      <c r="E393" s="8" t="s">
        <v>1444</v>
      </c>
      <c r="F393" s="8" t="s">
        <v>686</v>
      </c>
      <c r="G393" s="8" t="s">
        <v>684</v>
      </c>
      <c r="I393" s="7" t="str">
        <f>IF(B393&lt;&gt;"",CREATE_QUERY($B$1,A$2:G$2,A393:G393),"")</f>
        <v>INSERT INTO base_mast(hqof_idcd, base_idcd, base_code, base_name, prnt_idcd, line_stat, line_levl) VALUES ('N1000WINFO', 'N1000WINFO1202md', 'md', '몰다비아', '1202', '0', '1');</v>
      </c>
    </row>
    <row r="394" spans="1:9">
      <c r="A394" s="7" t="s">
        <v>1443</v>
      </c>
      <c r="B394" s="6" t="str">
        <f t="shared" si="6"/>
        <v>N1000WINFO1202mg</v>
      </c>
      <c r="C394" s="6" t="s">
        <v>1210</v>
      </c>
      <c r="D394" s="6" t="s">
        <v>1211</v>
      </c>
      <c r="E394" s="8" t="s">
        <v>1444</v>
      </c>
      <c r="F394" s="8" t="s">
        <v>686</v>
      </c>
      <c r="G394" s="8" t="s">
        <v>684</v>
      </c>
      <c r="I394" s="7" t="str">
        <f>IF(B394&lt;&gt;"",CREATE_QUERY($B$1,A$2:G$2,A394:G394),"")</f>
        <v>INSERT INTO base_mast(hqof_idcd, base_idcd, base_code, base_name, prnt_idcd, line_stat, line_levl) VALUES ('N1000WINFO', 'N1000WINFO1202mg', 'mg', '마다가스카르', '1202', '0', '1');</v>
      </c>
    </row>
    <row r="395" spans="1:9">
      <c r="A395" s="7" t="s">
        <v>1443</v>
      </c>
      <c r="B395" s="6" t="str">
        <f t="shared" si="6"/>
        <v>N1000WINFO1202mh</v>
      </c>
      <c r="C395" s="6" t="s">
        <v>1212</v>
      </c>
      <c r="D395" s="6" t="s">
        <v>1213</v>
      </c>
      <c r="E395" s="8" t="s">
        <v>1444</v>
      </c>
      <c r="F395" s="8" t="s">
        <v>686</v>
      </c>
      <c r="G395" s="8" t="s">
        <v>684</v>
      </c>
      <c r="I395" s="7" t="str">
        <f>IF(B395&lt;&gt;"",CREATE_QUERY($B$1,A$2:G$2,A395:G395),"")</f>
        <v>INSERT INTO base_mast(hqof_idcd, base_idcd, base_code, base_name, prnt_idcd, line_stat, line_levl) VALUES ('N1000WINFO', 'N1000WINFO1202mh', 'mh', '마셜 군도', '1202', '0', '1');</v>
      </c>
    </row>
    <row r="396" spans="1:9">
      <c r="A396" s="7" t="s">
        <v>1443</v>
      </c>
      <c r="B396" s="6" t="str">
        <f t="shared" si="6"/>
        <v>N1000WINFO1202mil</v>
      </c>
      <c r="C396" s="6" t="s">
        <v>1214</v>
      </c>
      <c r="D396" s="6" t="s">
        <v>1215</v>
      </c>
      <c r="E396" s="8" t="s">
        <v>1444</v>
      </c>
      <c r="F396" s="8" t="s">
        <v>686</v>
      </c>
      <c r="G396" s="8" t="s">
        <v>684</v>
      </c>
      <c r="I396" s="7" t="str">
        <f>IF(B396&lt;&gt;"",CREATE_QUERY($B$1,A$2:G$2,A396:G396),"")</f>
        <v>INSERT INTO base_mast(hqof_idcd, base_idcd, base_code, base_name, prnt_idcd, line_stat, line_levl) VALUES ('N1000WINFO', 'N1000WINFO1202mil', 'mil', '미군', '1202', '0', '1');</v>
      </c>
    </row>
    <row r="397" spans="1:9">
      <c r="A397" s="7" t="s">
        <v>1443</v>
      </c>
      <c r="B397" s="6" t="str">
        <f t="shared" si="6"/>
        <v>N1000WINFO1202mk</v>
      </c>
      <c r="C397" s="6" t="s">
        <v>1216</v>
      </c>
      <c r="D397" s="6" t="s">
        <v>1217</v>
      </c>
      <c r="E397" s="8" t="s">
        <v>1444</v>
      </c>
      <c r="F397" s="8" t="s">
        <v>686</v>
      </c>
      <c r="G397" s="8" t="s">
        <v>684</v>
      </c>
      <c r="I397" s="7" t="str">
        <f>IF(B397&lt;&gt;"",CREATE_QUERY($B$1,A$2:G$2,A397:G397),"")</f>
        <v>INSERT INTO base_mast(hqof_idcd, base_idcd, base_code, base_name, prnt_idcd, line_stat, line_levl) VALUES ('N1000WINFO', 'N1000WINFO1202mk', 'mk', '마케도니아', '1202', '0', '1');</v>
      </c>
    </row>
    <row r="398" spans="1:9">
      <c r="A398" s="7" t="s">
        <v>1443</v>
      </c>
      <c r="B398" s="6" t="str">
        <f t="shared" si="6"/>
        <v>N1000WINFO1202ml</v>
      </c>
      <c r="C398" s="6" t="s">
        <v>1218</v>
      </c>
      <c r="D398" s="6" t="s">
        <v>1219</v>
      </c>
      <c r="E398" s="8" t="s">
        <v>1444</v>
      </c>
      <c r="F398" s="8" t="s">
        <v>686</v>
      </c>
      <c r="G398" s="8" t="s">
        <v>684</v>
      </c>
      <c r="I398" s="7" t="str">
        <f>IF(B398&lt;&gt;"",CREATE_QUERY($B$1,A$2:G$2,A398:G398),"")</f>
        <v>INSERT INTO base_mast(hqof_idcd, base_idcd, base_code, base_name, prnt_idcd, line_stat, line_levl) VALUES ('N1000WINFO', 'N1000WINFO1202ml', 'ml', '말리', '1202', '0', '1');</v>
      </c>
    </row>
    <row r="399" spans="1:9">
      <c r="A399" s="7" t="s">
        <v>1443</v>
      </c>
      <c r="B399" s="6" t="str">
        <f t="shared" si="6"/>
        <v>N1000WINFO1202mm</v>
      </c>
      <c r="C399" s="6" t="s">
        <v>1220</v>
      </c>
      <c r="D399" s="6" t="s">
        <v>1221</v>
      </c>
      <c r="E399" s="8" t="s">
        <v>1444</v>
      </c>
      <c r="F399" s="8" t="s">
        <v>686</v>
      </c>
      <c r="G399" s="8" t="s">
        <v>684</v>
      </c>
      <c r="I399" s="7" t="str">
        <f>IF(B399&lt;&gt;"",CREATE_QUERY($B$1,A$2:G$2,A399:G399),"")</f>
        <v>INSERT INTO base_mast(hqof_idcd, base_idcd, base_code, base_name, prnt_idcd, line_stat, line_levl) VALUES ('N1000WINFO', 'N1000WINFO1202mm', 'mm', '미얀마', '1202', '0', '1');</v>
      </c>
    </row>
    <row r="400" spans="1:9">
      <c r="A400" s="7" t="s">
        <v>1443</v>
      </c>
      <c r="B400" s="6" t="str">
        <f t="shared" si="6"/>
        <v>N1000WINFO1202mn</v>
      </c>
      <c r="C400" s="6" t="s">
        <v>1222</v>
      </c>
      <c r="D400" s="6" t="s">
        <v>1223</v>
      </c>
      <c r="E400" s="8" t="s">
        <v>1444</v>
      </c>
      <c r="F400" s="8" t="s">
        <v>686</v>
      </c>
      <c r="G400" s="8" t="s">
        <v>684</v>
      </c>
      <c r="I400" s="7" t="str">
        <f>IF(B400&lt;&gt;"",CREATE_QUERY($B$1,A$2:G$2,A400:G400),"")</f>
        <v>INSERT INTO base_mast(hqof_idcd, base_idcd, base_code, base_name, prnt_idcd, line_stat, line_levl) VALUES ('N1000WINFO', 'N1000WINFO1202mn', 'mn', '몽골', '1202', '0', '1');</v>
      </c>
    </row>
    <row r="401" spans="1:9">
      <c r="A401" s="7" t="s">
        <v>1443</v>
      </c>
      <c r="B401" s="6" t="str">
        <f t="shared" si="6"/>
        <v>N1000WINFO1202mo</v>
      </c>
      <c r="C401" s="6" t="s">
        <v>1224</v>
      </c>
      <c r="D401" s="6" t="s">
        <v>1225</v>
      </c>
      <c r="E401" s="8" t="s">
        <v>1444</v>
      </c>
      <c r="F401" s="8" t="s">
        <v>686</v>
      </c>
      <c r="G401" s="8" t="s">
        <v>684</v>
      </c>
      <c r="I401" s="7" t="str">
        <f>IF(B401&lt;&gt;"",CREATE_QUERY($B$1,A$2:G$2,A401:G401),"")</f>
        <v>INSERT INTO base_mast(hqof_idcd, base_idcd, base_code, base_name, prnt_idcd, line_stat, line_levl) VALUES ('N1000WINFO', 'N1000WINFO1202mo', 'mo', '마카오', '1202', '0', '1');</v>
      </c>
    </row>
    <row r="402" spans="1:9">
      <c r="A402" s="7" t="s">
        <v>1443</v>
      </c>
      <c r="B402" s="6" t="str">
        <f t="shared" si="6"/>
        <v>N1000WINFO1202mp</v>
      </c>
      <c r="C402" s="6" t="s">
        <v>1226</v>
      </c>
      <c r="D402" s="6" t="s">
        <v>1227</v>
      </c>
      <c r="E402" s="8" t="s">
        <v>1444</v>
      </c>
      <c r="F402" s="8" t="s">
        <v>686</v>
      </c>
      <c r="G402" s="8" t="s">
        <v>684</v>
      </c>
      <c r="I402" s="7" t="str">
        <f>IF(B402&lt;&gt;"",CREATE_QUERY($B$1,A$2:G$2,A402:G402),"")</f>
        <v>INSERT INTO base_mast(hqof_idcd, base_idcd, base_code, base_name, prnt_idcd, line_stat, line_levl) VALUES ('N1000WINFO', 'N1000WINFO1202mp', 'mp', '북마리아나 군도', '1202', '0', '1');</v>
      </c>
    </row>
    <row r="403" spans="1:9">
      <c r="A403" s="7" t="s">
        <v>1443</v>
      </c>
      <c r="B403" s="6" t="str">
        <f t="shared" si="6"/>
        <v>N1000WINFO1202mq</v>
      </c>
      <c r="C403" s="6" t="s">
        <v>1228</v>
      </c>
      <c r="D403" s="6" t="s">
        <v>1229</v>
      </c>
      <c r="E403" s="8" t="s">
        <v>1444</v>
      </c>
      <c r="F403" s="8" t="s">
        <v>686</v>
      </c>
      <c r="G403" s="8" t="s">
        <v>684</v>
      </c>
      <c r="I403" s="7" t="str">
        <f>IF(B403&lt;&gt;"",CREATE_QUERY($B$1,A$2:G$2,A403:G403),"")</f>
        <v>INSERT INTO base_mast(hqof_idcd, base_idcd, base_code, base_name, prnt_idcd, line_stat, line_levl) VALUES ('N1000WINFO', 'N1000WINFO1202mq', 'mq', '말티니크(프랑스령)', '1202', '0', '1');</v>
      </c>
    </row>
    <row r="404" spans="1:9">
      <c r="A404" s="7" t="s">
        <v>1443</v>
      </c>
      <c r="B404" s="6" t="str">
        <f t="shared" si="6"/>
        <v>N1000WINFO1202mr</v>
      </c>
      <c r="C404" s="6" t="s">
        <v>1230</v>
      </c>
      <c r="D404" s="6" t="s">
        <v>1231</v>
      </c>
      <c r="E404" s="8" t="s">
        <v>1444</v>
      </c>
      <c r="F404" s="8" t="s">
        <v>686</v>
      </c>
      <c r="G404" s="8" t="s">
        <v>684</v>
      </c>
      <c r="I404" s="7" t="str">
        <f>IF(B404&lt;&gt;"",CREATE_QUERY($B$1,A$2:G$2,A404:G404),"")</f>
        <v>INSERT INTO base_mast(hqof_idcd, base_idcd, base_code, base_name, prnt_idcd, line_stat, line_levl) VALUES ('N1000WINFO', 'N1000WINFO1202mr', 'mr', '모리타니', '1202', '0', '1');</v>
      </c>
    </row>
    <row r="405" spans="1:9">
      <c r="A405" s="7" t="s">
        <v>1443</v>
      </c>
      <c r="B405" s="6" t="str">
        <f t="shared" si="6"/>
        <v>N1000WINFO1202ms</v>
      </c>
      <c r="C405" s="6" t="s">
        <v>1232</v>
      </c>
      <c r="D405" s="6" t="s">
        <v>1233</v>
      </c>
      <c r="E405" s="8" t="s">
        <v>1444</v>
      </c>
      <c r="F405" s="8" t="s">
        <v>686</v>
      </c>
      <c r="G405" s="8" t="s">
        <v>684</v>
      </c>
      <c r="I405" s="7" t="str">
        <f>IF(B405&lt;&gt;"",CREATE_QUERY($B$1,A$2:G$2,A405:G405),"")</f>
        <v>INSERT INTO base_mast(hqof_idcd, base_idcd, base_code, base_name, prnt_idcd, line_stat, line_levl) VALUES ('N1000WINFO', 'N1000WINFO1202ms', 'ms', '몬트세라트', '1202', '0', '1');</v>
      </c>
    </row>
    <row r="406" spans="1:9">
      <c r="A406" s="7" t="s">
        <v>1443</v>
      </c>
      <c r="B406" s="6" t="str">
        <f t="shared" si="6"/>
        <v>N1000WINFO1202mt</v>
      </c>
      <c r="C406" s="6" t="s">
        <v>1234</v>
      </c>
      <c r="D406" s="6" t="s">
        <v>1235</v>
      </c>
      <c r="E406" s="8" t="s">
        <v>1444</v>
      </c>
      <c r="F406" s="8" t="s">
        <v>686</v>
      </c>
      <c r="G406" s="8" t="s">
        <v>684</v>
      </c>
      <c r="I406" s="7" t="str">
        <f>IF(B406&lt;&gt;"",CREATE_QUERY($B$1,A$2:G$2,A406:G406),"")</f>
        <v>INSERT INTO base_mast(hqof_idcd, base_idcd, base_code, base_name, prnt_idcd, line_stat, line_levl) VALUES ('N1000WINFO', 'N1000WINFO1202mt', 'mt', '몰타', '1202', '0', '1');</v>
      </c>
    </row>
    <row r="407" spans="1:9">
      <c r="A407" s="7" t="s">
        <v>1443</v>
      </c>
      <c r="B407" s="6" t="str">
        <f t="shared" si="6"/>
        <v>N1000WINFO1202mu</v>
      </c>
      <c r="C407" s="6" t="s">
        <v>1236</v>
      </c>
      <c r="D407" s="6" t="s">
        <v>1237</v>
      </c>
      <c r="E407" s="8" t="s">
        <v>1444</v>
      </c>
      <c r="F407" s="8" t="s">
        <v>686</v>
      </c>
      <c r="G407" s="8" t="s">
        <v>684</v>
      </c>
      <c r="I407" s="7" t="str">
        <f>IF(B407&lt;&gt;"",CREATE_QUERY($B$1,A$2:G$2,A407:G407),"")</f>
        <v>INSERT INTO base_mast(hqof_idcd, base_idcd, base_code, base_name, prnt_idcd, line_stat, line_levl) VALUES ('N1000WINFO', 'N1000WINFO1202mu', 'mu', '모리셔스', '1202', '0', '1');</v>
      </c>
    </row>
    <row r="408" spans="1:9">
      <c r="A408" s="7" t="s">
        <v>1443</v>
      </c>
      <c r="B408" s="6" t="str">
        <f t="shared" si="6"/>
        <v>N1000WINFO1202mv</v>
      </c>
      <c r="C408" s="6" t="s">
        <v>1238</v>
      </c>
      <c r="D408" s="6" t="s">
        <v>1239</v>
      </c>
      <c r="E408" s="8" t="s">
        <v>1444</v>
      </c>
      <c r="F408" s="8" t="s">
        <v>686</v>
      </c>
      <c r="G408" s="8" t="s">
        <v>684</v>
      </c>
      <c r="I408" s="7" t="str">
        <f>IF(B408&lt;&gt;"",CREATE_QUERY($B$1,A$2:G$2,A408:G408),"")</f>
        <v>INSERT INTO base_mast(hqof_idcd, base_idcd, base_code, base_name, prnt_idcd, line_stat, line_levl) VALUES ('N1000WINFO', 'N1000WINFO1202mv', 'mv', '몰디브', '1202', '0', '1');</v>
      </c>
    </row>
    <row r="409" spans="1:9">
      <c r="A409" s="7" t="s">
        <v>1443</v>
      </c>
      <c r="B409" s="6" t="str">
        <f t="shared" si="6"/>
        <v>N1000WINFO1202mw</v>
      </c>
      <c r="C409" s="6" t="s">
        <v>1240</v>
      </c>
      <c r="D409" s="6" t="s">
        <v>1241</v>
      </c>
      <c r="E409" s="8" t="s">
        <v>1444</v>
      </c>
      <c r="F409" s="8" t="s">
        <v>686</v>
      </c>
      <c r="G409" s="8" t="s">
        <v>684</v>
      </c>
      <c r="I409" s="7" t="str">
        <f>IF(B409&lt;&gt;"",CREATE_QUERY($B$1,A$2:G$2,A409:G409),"")</f>
        <v>INSERT INTO base_mast(hqof_idcd, base_idcd, base_code, base_name, prnt_idcd, line_stat, line_levl) VALUES ('N1000WINFO', 'N1000WINFO1202mw', 'mw', '말라위', '1202', '0', '1');</v>
      </c>
    </row>
    <row r="410" spans="1:9">
      <c r="A410" s="7" t="s">
        <v>1443</v>
      </c>
      <c r="B410" s="6" t="str">
        <f t="shared" si="6"/>
        <v>N1000WINFO1202mx</v>
      </c>
      <c r="C410" s="6" t="s">
        <v>1242</v>
      </c>
      <c r="D410" s="6" t="s">
        <v>1243</v>
      </c>
      <c r="E410" s="8" t="s">
        <v>1444</v>
      </c>
      <c r="F410" s="8" t="s">
        <v>686</v>
      </c>
      <c r="G410" s="8" t="s">
        <v>684</v>
      </c>
      <c r="I410" s="7" t="str">
        <f>IF(B410&lt;&gt;"",CREATE_QUERY($B$1,A$2:G$2,A410:G410),"")</f>
        <v>INSERT INTO base_mast(hqof_idcd, base_idcd, base_code, base_name, prnt_idcd, line_stat, line_levl) VALUES ('N1000WINFO', 'N1000WINFO1202mx', 'mx', '멕시코', '1202', '0', '1');</v>
      </c>
    </row>
    <row r="411" spans="1:9">
      <c r="A411" s="7" t="s">
        <v>1443</v>
      </c>
      <c r="B411" s="6" t="str">
        <f t="shared" si="6"/>
        <v>N1000WINFO1202my</v>
      </c>
      <c r="C411" s="6" t="s">
        <v>1244</v>
      </c>
      <c r="D411" s="6" t="s">
        <v>1245</v>
      </c>
      <c r="E411" s="8" t="s">
        <v>1444</v>
      </c>
      <c r="F411" s="8" t="s">
        <v>686</v>
      </c>
      <c r="G411" s="8" t="s">
        <v>684</v>
      </c>
      <c r="I411" s="7" t="str">
        <f>IF(B411&lt;&gt;"",CREATE_QUERY($B$1,A$2:G$2,A411:G411),"")</f>
        <v>INSERT INTO base_mast(hqof_idcd, base_idcd, base_code, base_name, prnt_idcd, line_stat, line_levl) VALUES ('N1000WINFO', 'N1000WINFO1202my', 'my', '말레이시아', '1202', '0', '1');</v>
      </c>
    </row>
    <row r="412" spans="1:9">
      <c r="A412" s="7" t="s">
        <v>1443</v>
      </c>
      <c r="B412" s="6" t="str">
        <f t="shared" si="6"/>
        <v>N1000WINFO1202mz</v>
      </c>
      <c r="C412" s="6" t="s">
        <v>1246</v>
      </c>
      <c r="D412" s="6" t="s">
        <v>1247</v>
      </c>
      <c r="E412" s="8" t="s">
        <v>1444</v>
      </c>
      <c r="F412" s="8" t="s">
        <v>686</v>
      </c>
      <c r="G412" s="8" t="s">
        <v>684</v>
      </c>
      <c r="I412" s="7" t="str">
        <f>IF(B412&lt;&gt;"",CREATE_QUERY($B$1,A$2:G$2,A412:G412),"")</f>
        <v>INSERT INTO base_mast(hqof_idcd, base_idcd, base_code, base_name, prnt_idcd, line_stat, line_levl) VALUES ('N1000WINFO', 'N1000WINFO1202mz', 'mz', '모잠비크', '1202', '0', '1');</v>
      </c>
    </row>
    <row r="413" spans="1:9">
      <c r="A413" s="7" t="s">
        <v>1443</v>
      </c>
      <c r="B413" s="6" t="str">
        <f t="shared" si="6"/>
        <v>N1000WINFO1202na</v>
      </c>
      <c r="C413" s="6" t="s">
        <v>1248</v>
      </c>
      <c r="D413" s="6" t="s">
        <v>1249</v>
      </c>
      <c r="E413" s="8" t="s">
        <v>1444</v>
      </c>
      <c r="F413" s="8" t="s">
        <v>686</v>
      </c>
      <c r="G413" s="8" t="s">
        <v>684</v>
      </c>
      <c r="I413" s="7" t="str">
        <f>IF(B413&lt;&gt;"",CREATE_QUERY($B$1,A$2:G$2,A413:G413),"")</f>
        <v>INSERT INTO base_mast(hqof_idcd, base_idcd, base_code, base_name, prnt_idcd, line_stat, line_levl) VALUES ('N1000WINFO', 'N1000WINFO1202na', 'na', '나미비아', '1202', '0', '1');</v>
      </c>
    </row>
    <row r="414" spans="1:9">
      <c r="A414" s="7" t="s">
        <v>1443</v>
      </c>
      <c r="B414" s="6" t="str">
        <f t="shared" si="6"/>
        <v>N1000WINFO1202nc</v>
      </c>
      <c r="C414" s="6" t="s">
        <v>1250</v>
      </c>
      <c r="D414" s="6" t="s">
        <v>1251</v>
      </c>
      <c r="E414" s="8" t="s">
        <v>1444</v>
      </c>
      <c r="F414" s="8" t="s">
        <v>686</v>
      </c>
      <c r="G414" s="8" t="s">
        <v>684</v>
      </c>
      <c r="I414" s="7" t="str">
        <f>IF(B414&lt;&gt;"",CREATE_QUERY($B$1,A$2:G$2,A414:G414),"")</f>
        <v>INSERT INTO base_mast(hqof_idcd, base_idcd, base_code, base_name, prnt_idcd, line_stat, line_levl) VALUES ('N1000WINFO', 'N1000WINFO1202nc', 'nc', '뉴 칼레도니아(프랑스령)', '1202', '0', '1');</v>
      </c>
    </row>
    <row r="415" spans="1:9">
      <c r="A415" s="7" t="s">
        <v>1443</v>
      </c>
      <c r="B415" s="6" t="str">
        <f t="shared" si="6"/>
        <v>N1000WINFO1202ne</v>
      </c>
      <c r="C415" s="6" t="s">
        <v>1252</v>
      </c>
      <c r="D415" s="6" t="s">
        <v>1253</v>
      </c>
      <c r="E415" s="8" t="s">
        <v>1444</v>
      </c>
      <c r="F415" s="8" t="s">
        <v>686</v>
      </c>
      <c r="G415" s="8" t="s">
        <v>684</v>
      </c>
      <c r="I415" s="7" t="str">
        <f>IF(B415&lt;&gt;"",CREATE_QUERY($B$1,A$2:G$2,A415:G415),"")</f>
        <v>INSERT INTO base_mast(hqof_idcd, base_idcd, base_code, base_name, prnt_idcd, line_stat, line_levl) VALUES ('N1000WINFO', 'N1000WINFO1202ne', 'ne', '니제르', '1202', '0', '1');</v>
      </c>
    </row>
    <row r="416" spans="1:9">
      <c r="A416" s="7" t="s">
        <v>1443</v>
      </c>
      <c r="B416" s="6" t="str">
        <f t="shared" si="6"/>
        <v>N1000WINFO1202net</v>
      </c>
      <c r="C416" s="6" t="s">
        <v>1254</v>
      </c>
      <c r="D416" s="6" t="s">
        <v>1255</v>
      </c>
      <c r="E416" s="8" t="s">
        <v>1444</v>
      </c>
      <c r="F416" s="8" t="s">
        <v>686</v>
      </c>
      <c r="G416" s="8" t="s">
        <v>684</v>
      </c>
      <c r="I416" s="7" t="str">
        <f>IF(B416&lt;&gt;"",CREATE_QUERY($B$1,A$2:G$2,A416:G416),"")</f>
        <v>INSERT INTO base_mast(hqof_idcd, base_idcd, base_code, base_name, prnt_idcd, line_stat, line_levl) VALUES ('N1000WINFO', 'N1000WINFO1202net', 'net', '네트워크', '1202', '0', '1');</v>
      </c>
    </row>
    <row r="417" spans="1:9">
      <c r="A417" s="7" t="s">
        <v>1443</v>
      </c>
      <c r="B417" s="6" t="str">
        <f t="shared" si="6"/>
        <v>N1000WINFO1202nf</v>
      </c>
      <c r="C417" s="6" t="s">
        <v>1256</v>
      </c>
      <c r="D417" s="6" t="s">
        <v>1257</v>
      </c>
      <c r="E417" s="8" t="s">
        <v>1444</v>
      </c>
      <c r="F417" s="8" t="s">
        <v>686</v>
      </c>
      <c r="G417" s="8" t="s">
        <v>684</v>
      </c>
      <c r="I417" s="7" t="str">
        <f>IF(B417&lt;&gt;"",CREATE_QUERY($B$1,A$2:G$2,A417:G417),"")</f>
        <v>INSERT INTO base_mast(hqof_idcd, base_idcd, base_code, base_name, prnt_idcd, line_stat, line_levl) VALUES ('N1000WINFO', 'N1000WINFO1202nf', 'nf', '노퍽 섬', '1202', '0', '1');</v>
      </c>
    </row>
    <row r="418" spans="1:9">
      <c r="A418" s="7" t="s">
        <v>1443</v>
      </c>
      <c r="B418" s="6" t="str">
        <f t="shared" si="6"/>
        <v>N1000WINFO1202ng</v>
      </c>
      <c r="C418" s="6" t="s">
        <v>1258</v>
      </c>
      <c r="D418" s="6" t="s">
        <v>1259</v>
      </c>
      <c r="E418" s="8" t="s">
        <v>1444</v>
      </c>
      <c r="F418" s="8" t="s">
        <v>686</v>
      </c>
      <c r="G418" s="8" t="s">
        <v>684</v>
      </c>
      <c r="I418" s="7" t="str">
        <f>IF(B418&lt;&gt;"",CREATE_QUERY($B$1,A$2:G$2,A418:G418),"")</f>
        <v>INSERT INTO base_mast(hqof_idcd, base_idcd, base_code, base_name, prnt_idcd, line_stat, line_levl) VALUES ('N1000WINFO', 'N1000WINFO1202ng', 'ng', '나이지리아', '1202', '0', '1');</v>
      </c>
    </row>
    <row r="419" spans="1:9">
      <c r="A419" s="7" t="s">
        <v>1443</v>
      </c>
      <c r="B419" s="6" t="str">
        <f t="shared" si="6"/>
        <v>N1000WINFO1202ni</v>
      </c>
      <c r="C419" s="6" t="s">
        <v>1260</v>
      </c>
      <c r="D419" s="6" t="s">
        <v>1261</v>
      </c>
      <c r="E419" s="8" t="s">
        <v>1444</v>
      </c>
      <c r="F419" s="8" t="s">
        <v>686</v>
      </c>
      <c r="G419" s="8" t="s">
        <v>684</v>
      </c>
      <c r="I419" s="7" t="str">
        <f>IF(B419&lt;&gt;"",CREATE_QUERY($B$1,A$2:G$2,A419:G419),"")</f>
        <v>INSERT INTO base_mast(hqof_idcd, base_idcd, base_code, base_name, prnt_idcd, line_stat, line_levl) VALUES ('N1000WINFO', 'N1000WINFO1202ni', 'ni', '니카라과', '1202', '0', '1');</v>
      </c>
    </row>
    <row r="420" spans="1:9">
      <c r="A420" s="7" t="s">
        <v>1443</v>
      </c>
      <c r="B420" s="6" t="str">
        <f t="shared" si="6"/>
        <v>N1000WINFO1202nl</v>
      </c>
      <c r="C420" s="6" t="s">
        <v>1262</v>
      </c>
      <c r="D420" s="6" t="s">
        <v>1263</v>
      </c>
      <c r="E420" s="8" t="s">
        <v>1444</v>
      </c>
      <c r="F420" s="8" t="s">
        <v>686</v>
      </c>
      <c r="G420" s="8" t="s">
        <v>684</v>
      </c>
      <c r="I420" s="7" t="str">
        <f>IF(B420&lt;&gt;"",CREATE_QUERY($B$1,A$2:G$2,A420:G420),"")</f>
        <v>INSERT INTO base_mast(hqof_idcd, base_idcd, base_code, base_name, prnt_idcd, line_stat, line_levl) VALUES ('N1000WINFO', 'N1000WINFO1202nl', 'nl', '네덜란드', '1202', '0', '1');</v>
      </c>
    </row>
    <row r="421" spans="1:9">
      <c r="A421" s="7" t="s">
        <v>1443</v>
      </c>
      <c r="B421" s="6" t="str">
        <f t="shared" si="6"/>
        <v>N1000WINFO1202no</v>
      </c>
      <c r="C421" s="6" t="s">
        <v>1264</v>
      </c>
      <c r="D421" s="6" t="s">
        <v>1265</v>
      </c>
      <c r="E421" s="8" t="s">
        <v>1444</v>
      </c>
      <c r="F421" s="8" t="s">
        <v>686</v>
      </c>
      <c r="G421" s="8" t="s">
        <v>684</v>
      </c>
      <c r="I421" s="7" t="str">
        <f>IF(B421&lt;&gt;"",CREATE_QUERY($B$1,A$2:G$2,A421:G421),"")</f>
        <v>INSERT INTO base_mast(hqof_idcd, base_idcd, base_code, base_name, prnt_idcd, line_stat, line_levl) VALUES ('N1000WINFO', 'N1000WINFO1202no', 'no', '노르웨이', '1202', '0', '1');</v>
      </c>
    </row>
    <row r="422" spans="1:9">
      <c r="A422" s="7" t="s">
        <v>1443</v>
      </c>
      <c r="B422" s="6" t="str">
        <f t="shared" si="6"/>
        <v>N1000WINFO1202np</v>
      </c>
      <c r="C422" s="6" t="s">
        <v>1266</v>
      </c>
      <c r="D422" s="6" t="s">
        <v>1267</v>
      </c>
      <c r="E422" s="8" t="s">
        <v>1444</v>
      </c>
      <c r="F422" s="8" t="s">
        <v>686</v>
      </c>
      <c r="G422" s="8" t="s">
        <v>684</v>
      </c>
      <c r="I422" s="7" t="str">
        <f>IF(B422&lt;&gt;"",CREATE_QUERY($B$1,A$2:G$2,A422:G422),"")</f>
        <v>INSERT INTO base_mast(hqof_idcd, base_idcd, base_code, base_name, prnt_idcd, line_stat, line_levl) VALUES ('N1000WINFO', 'N1000WINFO1202np', 'np', '네팔', '1202', '0', '1');</v>
      </c>
    </row>
    <row r="423" spans="1:9">
      <c r="A423" s="7" t="s">
        <v>1443</v>
      </c>
      <c r="B423" s="6" t="str">
        <f t="shared" si="6"/>
        <v>N1000WINFO1202nr</v>
      </c>
      <c r="C423" s="6" t="s">
        <v>1268</v>
      </c>
      <c r="D423" s="6" t="s">
        <v>1269</v>
      </c>
      <c r="E423" s="8" t="s">
        <v>1444</v>
      </c>
      <c r="F423" s="8" t="s">
        <v>686</v>
      </c>
      <c r="G423" s="8" t="s">
        <v>684</v>
      </c>
      <c r="I423" s="7" t="str">
        <f>IF(B423&lt;&gt;"",CREATE_QUERY($B$1,A$2:G$2,A423:G423),"")</f>
        <v>INSERT INTO base_mast(hqof_idcd, base_idcd, base_code, base_name, prnt_idcd, line_stat, line_levl) VALUES ('N1000WINFO', 'N1000WINFO1202nr', 'nr', '나우루', '1202', '0', '1');</v>
      </c>
    </row>
    <row r="424" spans="1:9">
      <c r="A424" s="7" t="s">
        <v>1443</v>
      </c>
      <c r="B424" s="6" t="str">
        <f t="shared" si="6"/>
        <v>N1000WINFO1202nt</v>
      </c>
      <c r="C424" s="6" t="s">
        <v>1270</v>
      </c>
      <c r="D424" s="6" t="s">
        <v>1271</v>
      </c>
      <c r="E424" s="8" t="s">
        <v>1444</v>
      </c>
      <c r="F424" s="8" t="s">
        <v>686</v>
      </c>
      <c r="G424" s="8" t="s">
        <v>684</v>
      </c>
      <c r="I424" s="7" t="str">
        <f>IF(B424&lt;&gt;"",CREATE_QUERY($B$1,A$2:G$2,A424:G424),"")</f>
        <v>INSERT INTO base_mast(hqof_idcd, base_idcd, base_code, base_name, prnt_idcd, line_stat, line_levl) VALUES ('N1000WINFO', 'N1000WINFO1202nt', 'nt', '중립 지역', '1202', '0', '1');</v>
      </c>
    </row>
    <row r="425" spans="1:9">
      <c r="A425" s="7" t="s">
        <v>1443</v>
      </c>
      <c r="B425" s="6" t="str">
        <f t="shared" si="6"/>
        <v>N1000WINFO1202nu</v>
      </c>
      <c r="C425" s="6" t="s">
        <v>1272</v>
      </c>
      <c r="D425" s="6" t="s">
        <v>1273</v>
      </c>
      <c r="E425" s="8" t="s">
        <v>1444</v>
      </c>
      <c r="F425" s="8" t="s">
        <v>686</v>
      </c>
      <c r="G425" s="8" t="s">
        <v>684</v>
      </c>
      <c r="I425" s="7" t="str">
        <f>IF(B425&lt;&gt;"",CREATE_QUERY($B$1,A$2:G$2,A425:G425),"")</f>
        <v>INSERT INTO base_mast(hqof_idcd, base_idcd, base_code, base_name, prnt_idcd, line_stat, line_levl) VALUES ('N1000WINFO', 'N1000WINFO1202nu', 'nu', '니우에', '1202', '0', '1');</v>
      </c>
    </row>
    <row r="426" spans="1:9">
      <c r="A426" s="7" t="s">
        <v>1443</v>
      </c>
      <c r="B426" s="6" t="str">
        <f t="shared" si="6"/>
        <v>N1000WINFO1202nz</v>
      </c>
      <c r="C426" s="6" t="s">
        <v>1274</v>
      </c>
      <c r="D426" s="6" t="s">
        <v>1275</v>
      </c>
      <c r="E426" s="8" t="s">
        <v>1444</v>
      </c>
      <c r="F426" s="8" t="s">
        <v>686</v>
      </c>
      <c r="G426" s="8" t="s">
        <v>684</v>
      </c>
      <c r="I426" s="7" t="str">
        <f>IF(B426&lt;&gt;"",CREATE_QUERY($B$1,A$2:G$2,A426:G426),"")</f>
        <v>INSERT INTO base_mast(hqof_idcd, base_idcd, base_code, base_name, prnt_idcd, line_stat, line_levl) VALUES ('N1000WINFO', 'N1000WINFO1202nz', 'nz', '뉴질랜드', '1202', '0', '1');</v>
      </c>
    </row>
    <row r="427" spans="1:9">
      <c r="A427" s="7" t="s">
        <v>1443</v>
      </c>
      <c r="B427" s="6" t="str">
        <f t="shared" si="6"/>
        <v>N1000WINFO1202om</v>
      </c>
      <c r="C427" s="6" t="s">
        <v>1276</v>
      </c>
      <c r="D427" s="6" t="s">
        <v>1277</v>
      </c>
      <c r="E427" s="8" t="s">
        <v>1444</v>
      </c>
      <c r="F427" s="8" t="s">
        <v>686</v>
      </c>
      <c r="G427" s="8" t="s">
        <v>684</v>
      </c>
      <c r="I427" s="7" t="str">
        <f>IF(B427&lt;&gt;"",CREATE_QUERY($B$1,A$2:G$2,A427:G427),"")</f>
        <v>INSERT INTO base_mast(hqof_idcd, base_idcd, base_code, base_name, prnt_idcd, line_stat, line_levl) VALUES ('N1000WINFO', 'N1000WINFO1202om', 'om', '오멘', '1202', '0', '1');</v>
      </c>
    </row>
    <row r="428" spans="1:9">
      <c r="A428" s="7" t="s">
        <v>1443</v>
      </c>
      <c r="B428" s="6" t="str">
        <f t="shared" si="6"/>
        <v>N1000WINFO1202org</v>
      </c>
      <c r="C428" s="6" t="s">
        <v>1278</v>
      </c>
      <c r="D428" s="6" t="s">
        <v>1279</v>
      </c>
      <c r="E428" s="8" t="s">
        <v>1444</v>
      </c>
      <c r="F428" s="8" t="s">
        <v>686</v>
      </c>
      <c r="G428" s="8" t="s">
        <v>684</v>
      </c>
      <c r="I428" s="7" t="str">
        <f>IF(B428&lt;&gt;"",CREATE_QUERY($B$1,A$2:G$2,A428:G428),"")</f>
        <v>INSERT INTO base_mast(hqof_idcd, base_idcd, base_code, base_name, prnt_idcd, line_stat, line_levl) VALUES ('N1000WINFO', 'N1000WINFO1202org', 'org', '비영리 조직(sic)', '1202', '0', '1');</v>
      </c>
    </row>
    <row r="429" spans="1:9">
      <c r="A429" s="7" t="s">
        <v>1443</v>
      </c>
      <c r="B429" s="6" t="str">
        <f t="shared" si="6"/>
        <v>N1000WINFO1202pa</v>
      </c>
      <c r="C429" s="6" t="s">
        <v>1280</v>
      </c>
      <c r="D429" s="6" t="s">
        <v>1281</v>
      </c>
      <c r="E429" s="8" t="s">
        <v>1444</v>
      </c>
      <c r="F429" s="8" t="s">
        <v>686</v>
      </c>
      <c r="G429" s="8" t="s">
        <v>684</v>
      </c>
      <c r="I429" s="7" t="str">
        <f>IF(B429&lt;&gt;"",CREATE_QUERY($B$1,A$2:G$2,A429:G429),"")</f>
        <v>INSERT INTO base_mast(hqof_idcd, base_idcd, base_code, base_name, prnt_idcd, line_stat, line_levl) VALUES ('N1000WINFO', 'N1000WINFO1202pa', 'pa', '파나마', '1202', '0', '1');</v>
      </c>
    </row>
    <row r="430" spans="1:9">
      <c r="A430" s="7" t="s">
        <v>1443</v>
      </c>
      <c r="B430" s="6" t="str">
        <f t="shared" si="6"/>
        <v>N1000WINFO1202pe</v>
      </c>
      <c r="C430" s="6" t="s">
        <v>1282</v>
      </c>
      <c r="D430" s="6" t="s">
        <v>1283</v>
      </c>
      <c r="E430" s="8" t="s">
        <v>1444</v>
      </c>
      <c r="F430" s="8" t="s">
        <v>686</v>
      </c>
      <c r="G430" s="8" t="s">
        <v>684</v>
      </c>
      <c r="I430" s="7" t="str">
        <f>IF(B430&lt;&gt;"",CREATE_QUERY($B$1,A$2:G$2,A430:G430),"")</f>
        <v>INSERT INTO base_mast(hqof_idcd, base_idcd, base_code, base_name, prnt_idcd, line_stat, line_levl) VALUES ('N1000WINFO', 'N1000WINFO1202pe', 'pe', '페루', '1202', '0', '1');</v>
      </c>
    </row>
    <row r="431" spans="1:9">
      <c r="A431" s="7" t="s">
        <v>1443</v>
      </c>
      <c r="B431" s="6" t="str">
        <f t="shared" si="6"/>
        <v>N1000WINFO1202pf</v>
      </c>
      <c r="C431" s="6" t="s">
        <v>1284</v>
      </c>
      <c r="D431" s="6" t="s">
        <v>1285</v>
      </c>
      <c r="E431" s="8" t="s">
        <v>1444</v>
      </c>
      <c r="F431" s="8" t="s">
        <v>686</v>
      </c>
      <c r="G431" s="8" t="s">
        <v>684</v>
      </c>
      <c r="I431" s="7" t="str">
        <f>IF(B431&lt;&gt;"",CREATE_QUERY($B$1,A$2:G$2,A431:G431),"")</f>
        <v>INSERT INTO base_mast(hqof_idcd, base_idcd, base_code, base_name, prnt_idcd, line_stat, line_levl) VALUES ('N1000WINFO', 'N1000WINFO1202pf', 'pf', '폴리네시아(프랑스령)', '1202', '0', '1');</v>
      </c>
    </row>
    <row r="432" spans="1:9">
      <c r="A432" s="7" t="s">
        <v>1443</v>
      </c>
      <c r="B432" s="6" t="str">
        <f t="shared" si="6"/>
        <v>N1000WINFO1202pg</v>
      </c>
      <c r="C432" s="6" t="s">
        <v>1286</v>
      </c>
      <c r="D432" s="6" t="s">
        <v>1287</v>
      </c>
      <c r="E432" s="8" t="s">
        <v>1444</v>
      </c>
      <c r="F432" s="8" t="s">
        <v>686</v>
      </c>
      <c r="G432" s="8" t="s">
        <v>684</v>
      </c>
      <c r="I432" s="7" t="str">
        <f>IF(B432&lt;&gt;"",CREATE_QUERY($B$1,A$2:G$2,A432:G432),"")</f>
        <v>INSERT INTO base_mast(hqof_idcd, base_idcd, base_code, base_name, prnt_idcd, line_stat, line_levl) VALUES ('N1000WINFO', 'N1000WINFO1202pg', 'pg', '파푸아뉴기니', '1202', '0', '1');</v>
      </c>
    </row>
    <row r="433" spans="1:9">
      <c r="A433" s="7" t="s">
        <v>1443</v>
      </c>
      <c r="B433" s="6" t="str">
        <f t="shared" si="6"/>
        <v>N1000WINFO1202ph</v>
      </c>
      <c r="C433" s="6" t="s">
        <v>1288</v>
      </c>
      <c r="D433" s="6" t="s">
        <v>1289</v>
      </c>
      <c r="E433" s="8" t="s">
        <v>1444</v>
      </c>
      <c r="F433" s="8" t="s">
        <v>686</v>
      </c>
      <c r="G433" s="8" t="s">
        <v>684</v>
      </c>
      <c r="I433" s="7" t="str">
        <f>IF(B433&lt;&gt;"",CREATE_QUERY($B$1,A$2:G$2,A433:G433),"")</f>
        <v>INSERT INTO base_mast(hqof_idcd, base_idcd, base_code, base_name, prnt_idcd, line_stat, line_levl) VALUES ('N1000WINFO', 'N1000WINFO1202ph', 'ph', '필리핀', '1202', '0', '1');</v>
      </c>
    </row>
    <row r="434" spans="1:9">
      <c r="A434" s="7" t="s">
        <v>1443</v>
      </c>
      <c r="B434" s="6" t="str">
        <f t="shared" si="6"/>
        <v>N1000WINFO1202pk</v>
      </c>
      <c r="C434" s="6" t="s">
        <v>1290</v>
      </c>
      <c r="D434" s="6" t="s">
        <v>1291</v>
      </c>
      <c r="E434" s="8" t="s">
        <v>1444</v>
      </c>
      <c r="F434" s="8" t="s">
        <v>686</v>
      </c>
      <c r="G434" s="8" t="s">
        <v>684</v>
      </c>
      <c r="I434" s="7" t="str">
        <f>IF(B434&lt;&gt;"",CREATE_QUERY($B$1,A$2:G$2,A434:G434),"")</f>
        <v>INSERT INTO base_mast(hqof_idcd, base_idcd, base_code, base_name, prnt_idcd, line_stat, line_levl) VALUES ('N1000WINFO', 'N1000WINFO1202pk', 'pk', '파키스탄', '1202', '0', '1');</v>
      </c>
    </row>
    <row r="435" spans="1:9">
      <c r="A435" s="7" t="s">
        <v>1443</v>
      </c>
      <c r="B435" s="6" t="str">
        <f t="shared" si="6"/>
        <v>N1000WINFO1202pl</v>
      </c>
      <c r="C435" s="6" t="s">
        <v>1292</v>
      </c>
      <c r="D435" s="6" t="s">
        <v>1293</v>
      </c>
      <c r="E435" s="8" t="s">
        <v>1444</v>
      </c>
      <c r="F435" s="8" t="s">
        <v>686</v>
      </c>
      <c r="G435" s="8" t="s">
        <v>684</v>
      </c>
      <c r="I435" s="7" t="str">
        <f>IF(B435&lt;&gt;"",CREATE_QUERY($B$1,A$2:G$2,A435:G435),"")</f>
        <v>INSERT INTO base_mast(hqof_idcd, base_idcd, base_code, base_name, prnt_idcd, line_stat, line_levl) VALUES ('N1000WINFO', 'N1000WINFO1202pl', 'pl', '폴란드', '1202', '0', '1');</v>
      </c>
    </row>
    <row r="436" spans="1:9">
      <c r="A436" s="7" t="s">
        <v>1443</v>
      </c>
      <c r="B436" s="6" t="str">
        <f t="shared" si="6"/>
        <v>N1000WINFO1202pm</v>
      </c>
      <c r="C436" s="6" t="s">
        <v>1294</v>
      </c>
      <c r="D436" s="6" t="s">
        <v>1295</v>
      </c>
      <c r="E436" s="8" t="s">
        <v>1444</v>
      </c>
      <c r="F436" s="8" t="s">
        <v>686</v>
      </c>
      <c r="G436" s="8" t="s">
        <v>684</v>
      </c>
      <c r="I436" s="7" t="str">
        <f>IF(B436&lt;&gt;"",CREATE_QUERY($B$1,A$2:G$2,A436:G436),"")</f>
        <v>INSERT INTO base_mast(hqof_idcd, base_idcd, base_code, base_name, prnt_idcd, line_stat, line_levl) VALUES ('N1000WINFO', 'N1000WINFO1202pm', 'pm', '세인트 피에르 미켈론', '1202', '0', '1');</v>
      </c>
    </row>
    <row r="437" spans="1:9">
      <c r="A437" s="7" t="s">
        <v>1443</v>
      </c>
      <c r="B437" s="6" t="str">
        <f t="shared" si="6"/>
        <v>N1000WINFO1202pn</v>
      </c>
      <c r="C437" s="6" t="s">
        <v>1296</v>
      </c>
      <c r="D437" s="6" t="s">
        <v>1297</v>
      </c>
      <c r="E437" s="8" t="s">
        <v>1444</v>
      </c>
      <c r="F437" s="8" t="s">
        <v>686</v>
      </c>
      <c r="G437" s="8" t="s">
        <v>684</v>
      </c>
      <c r="I437" s="7" t="str">
        <f>IF(B437&lt;&gt;"",CREATE_QUERY($B$1,A$2:G$2,A437:G437),"")</f>
        <v>INSERT INTO base_mast(hqof_idcd, base_idcd, base_code, base_name, prnt_idcd, line_stat, line_levl) VALUES ('N1000WINFO', 'N1000WINFO1202pn', 'pn', '핏케언 군도', '1202', '0', '1');</v>
      </c>
    </row>
    <row r="438" spans="1:9">
      <c r="A438" s="7" t="s">
        <v>1443</v>
      </c>
      <c r="B438" s="6" t="str">
        <f t="shared" si="6"/>
        <v>N1000WINFO1202pr</v>
      </c>
      <c r="C438" s="6" t="s">
        <v>1298</v>
      </c>
      <c r="D438" s="6" t="s">
        <v>1299</v>
      </c>
      <c r="E438" s="8" t="s">
        <v>1444</v>
      </c>
      <c r="F438" s="8" t="s">
        <v>686</v>
      </c>
      <c r="G438" s="8" t="s">
        <v>684</v>
      </c>
      <c r="I438" s="7" t="str">
        <f>IF(B438&lt;&gt;"",CREATE_QUERY($B$1,A$2:G$2,A438:G438),"")</f>
        <v>INSERT INTO base_mast(hqof_idcd, base_idcd, base_code, base_name, prnt_idcd, line_stat, line_levl) VALUES ('N1000WINFO', 'N1000WINFO1202pr', 'pr', '푸에르토리코', '1202', '0', '1');</v>
      </c>
    </row>
    <row r="439" spans="1:9">
      <c r="A439" s="7" t="s">
        <v>1443</v>
      </c>
      <c r="B439" s="6" t="str">
        <f t="shared" si="6"/>
        <v>N1000WINFO1202pt</v>
      </c>
      <c r="C439" s="6" t="s">
        <v>1300</v>
      </c>
      <c r="D439" s="6" t="s">
        <v>1301</v>
      </c>
      <c r="E439" s="8" t="s">
        <v>1444</v>
      </c>
      <c r="F439" s="8" t="s">
        <v>686</v>
      </c>
      <c r="G439" s="8" t="s">
        <v>684</v>
      </c>
      <c r="I439" s="7" t="str">
        <f>IF(B439&lt;&gt;"",CREATE_QUERY($B$1,A$2:G$2,A439:G439),"")</f>
        <v>INSERT INTO base_mast(hqof_idcd, base_idcd, base_code, base_name, prnt_idcd, line_stat, line_levl) VALUES ('N1000WINFO', 'N1000WINFO1202pt', 'pt', '포르투갈', '1202', '0', '1');</v>
      </c>
    </row>
    <row r="440" spans="1:9">
      <c r="A440" s="7" t="s">
        <v>1443</v>
      </c>
      <c r="B440" s="6" t="str">
        <f t="shared" si="6"/>
        <v>N1000WINFO1202pw</v>
      </c>
      <c r="C440" s="6" t="s">
        <v>1302</v>
      </c>
      <c r="D440" s="6" t="s">
        <v>1303</v>
      </c>
      <c r="E440" s="8" t="s">
        <v>1444</v>
      </c>
      <c r="F440" s="8" t="s">
        <v>686</v>
      </c>
      <c r="G440" s="8" t="s">
        <v>684</v>
      </c>
      <c r="I440" s="7" t="str">
        <f>IF(B440&lt;&gt;"",CREATE_QUERY($B$1,A$2:G$2,A440:G440),"")</f>
        <v>INSERT INTO base_mast(hqof_idcd, base_idcd, base_code, base_name, prnt_idcd, line_stat, line_levl) VALUES ('N1000WINFO', 'N1000WINFO1202pw', 'pw', '팔라우', '1202', '0', '1');</v>
      </c>
    </row>
    <row r="441" spans="1:9">
      <c r="A441" s="7" t="s">
        <v>1443</v>
      </c>
      <c r="B441" s="6" t="str">
        <f t="shared" si="6"/>
        <v>N1000WINFO1202py</v>
      </c>
      <c r="C441" s="6" t="s">
        <v>1304</v>
      </c>
      <c r="D441" s="6" t="s">
        <v>1305</v>
      </c>
      <c r="E441" s="8" t="s">
        <v>1444</v>
      </c>
      <c r="F441" s="8" t="s">
        <v>686</v>
      </c>
      <c r="G441" s="8" t="s">
        <v>684</v>
      </c>
      <c r="I441" s="7" t="str">
        <f>IF(B441&lt;&gt;"",CREATE_QUERY($B$1,A$2:G$2,A441:G441),"")</f>
        <v>INSERT INTO base_mast(hqof_idcd, base_idcd, base_code, base_name, prnt_idcd, line_stat, line_levl) VALUES ('N1000WINFO', 'N1000WINFO1202py', 'py', '파라과이', '1202', '0', '1');</v>
      </c>
    </row>
    <row r="442" spans="1:9">
      <c r="A442" s="7" t="s">
        <v>1443</v>
      </c>
      <c r="B442" s="6" t="str">
        <f t="shared" si="6"/>
        <v>N1000WINFO1202qa</v>
      </c>
      <c r="C442" s="6" t="s">
        <v>1306</v>
      </c>
      <c r="D442" s="6" t="s">
        <v>1307</v>
      </c>
      <c r="E442" s="8" t="s">
        <v>1444</v>
      </c>
      <c r="F442" s="8" t="s">
        <v>686</v>
      </c>
      <c r="G442" s="8" t="s">
        <v>684</v>
      </c>
      <c r="I442" s="7" t="str">
        <f>IF(B442&lt;&gt;"",CREATE_QUERY($B$1,A$2:G$2,A442:G442),"")</f>
        <v>INSERT INTO base_mast(hqof_idcd, base_idcd, base_code, base_name, prnt_idcd, line_stat, line_levl) VALUES ('N1000WINFO', 'N1000WINFO1202qa', 'qa', '카타르', '1202', '0', '1');</v>
      </c>
    </row>
    <row r="443" spans="1:9">
      <c r="A443" s="7" t="s">
        <v>1443</v>
      </c>
      <c r="B443" s="6" t="str">
        <f t="shared" si="6"/>
        <v>N1000WINFO1202re</v>
      </c>
      <c r="C443" s="6" t="s">
        <v>1308</v>
      </c>
      <c r="D443" s="6" t="s">
        <v>1309</v>
      </c>
      <c r="E443" s="8" t="s">
        <v>1444</v>
      </c>
      <c r="F443" s="8" t="s">
        <v>686</v>
      </c>
      <c r="G443" s="8" t="s">
        <v>684</v>
      </c>
      <c r="I443" s="7" t="str">
        <f>IF(B443&lt;&gt;"",CREATE_QUERY($B$1,A$2:G$2,A443:G443),"")</f>
        <v>INSERT INTO base_mast(hqof_idcd, base_idcd, base_code, base_name, prnt_idcd, line_stat, line_levl) VALUES ('N1000WINFO', 'N1000WINFO1202re', 're', '리유니언(프랑스령)', '1202', '0', '1');</v>
      </c>
    </row>
    <row r="444" spans="1:9">
      <c r="A444" s="7" t="s">
        <v>1443</v>
      </c>
      <c r="B444" s="6" t="str">
        <f t="shared" si="6"/>
        <v>N1000WINFO1202ro</v>
      </c>
      <c r="C444" s="6" t="s">
        <v>1310</v>
      </c>
      <c r="D444" s="6" t="s">
        <v>1311</v>
      </c>
      <c r="E444" s="8" t="s">
        <v>1444</v>
      </c>
      <c r="F444" s="8" t="s">
        <v>686</v>
      </c>
      <c r="G444" s="8" t="s">
        <v>684</v>
      </c>
      <c r="I444" s="7" t="str">
        <f>IF(B444&lt;&gt;"",CREATE_QUERY($B$1,A$2:G$2,A444:G444),"")</f>
        <v>INSERT INTO base_mast(hqof_idcd, base_idcd, base_code, base_name, prnt_idcd, line_stat, line_levl) VALUES ('N1000WINFO', 'N1000WINFO1202ro', 'ro', '루마니아', '1202', '0', '1');</v>
      </c>
    </row>
    <row r="445" spans="1:9">
      <c r="A445" s="7" t="s">
        <v>1443</v>
      </c>
      <c r="B445" s="6" t="str">
        <f t="shared" si="6"/>
        <v>N1000WINFO1202ru</v>
      </c>
      <c r="C445" s="6" t="s">
        <v>1312</v>
      </c>
      <c r="D445" s="6" t="s">
        <v>1313</v>
      </c>
      <c r="E445" s="8" t="s">
        <v>1444</v>
      </c>
      <c r="F445" s="8" t="s">
        <v>686</v>
      </c>
      <c r="G445" s="8" t="s">
        <v>684</v>
      </c>
      <c r="I445" s="7" t="str">
        <f>IF(B445&lt;&gt;"",CREATE_QUERY($B$1,A$2:G$2,A445:G445),"")</f>
        <v>INSERT INTO base_mast(hqof_idcd, base_idcd, base_code, base_name, prnt_idcd, line_stat, line_levl) VALUES ('N1000WINFO', 'N1000WINFO1202ru', 'ru', '러시아', '1202', '0', '1');</v>
      </c>
    </row>
    <row r="446" spans="1:9">
      <c r="A446" s="7" t="s">
        <v>1443</v>
      </c>
      <c r="B446" s="6" t="str">
        <f t="shared" si="6"/>
        <v>N1000WINFO1202rw</v>
      </c>
      <c r="C446" s="6" t="s">
        <v>1314</v>
      </c>
      <c r="D446" s="6" t="s">
        <v>1315</v>
      </c>
      <c r="E446" s="8" t="s">
        <v>1444</v>
      </c>
      <c r="F446" s="8" t="s">
        <v>686</v>
      </c>
      <c r="G446" s="8" t="s">
        <v>684</v>
      </c>
      <c r="I446" s="7" t="str">
        <f>IF(B446&lt;&gt;"",CREATE_QUERY($B$1,A$2:G$2,A446:G446),"")</f>
        <v>INSERT INTO base_mast(hqof_idcd, base_idcd, base_code, base_name, prnt_idcd, line_stat, line_levl) VALUES ('N1000WINFO', 'N1000WINFO1202rw', 'rw', '르완다', '1202', '0', '1');</v>
      </c>
    </row>
    <row r="447" spans="1:9">
      <c r="A447" s="7" t="s">
        <v>1443</v>
      </c>
      <c r="B447" s="6" t="str">
        <f t="shared" si="6"/>
        <v>N1000WINFO1202sa</v>
      </c>
      <c r="C447" s="6" t="s">
        <v>1316</v>
      </c>
      <c r="D447" s="6" t="s">
        <v>1317</v>
      </c>
      <c r="E447" s="8" t="s">
        <v>1444</v>
      </c>
      <c r="F447" s="8" t="s">
        <v>686</v>
      </c>
      <c r="G447" s="8" t="s">
        <v>684</v>
      </c>
      <c r="I447" s="7" t="str">
        <f>IF(B447&lt;&gt;"",CREATE_QUERY($B$1,A$2:G$2,A447:G447),"")</f>
        <v>INSERT INTO base_mast(hqof_idcd, base_idcd, base_code, base_name, prnt_idcd, line_stat, line_levl) VALUES ('N1000WINFO', 'N1000WINFO1202sa', 'sa', '사우디아라비아', '1202', '0', '1');</v>
      </c>
    </row>
    <row r="448" spans="1:9">
      <c r="A448" s="7" t="s">
        <v>1443</v>
      </c>
      <c r="B448" s="6" t="str">
        <f t="shared" ref="B448:B505" si="7">A448&amp;E448&amp;C448</f>
        <v>N1000WINFO1202sb</v>
      </c>
      <c r="C448" s="6" t="s">
        <v>1318</v>
      </c>
      <c r="D448" s="6" t="s">
        <v>1319</v>
      </c>
      <c r="E448" s="8" t="s">
        <v>1444</v>
      </c>
      <c r="F448" s="8" t="s">
        <v>686</v>
      </c>
      <c r="G448" s="8" t="s">
        <v>684</v>
      </c>
      <c r="I448" s="7" t="str">
        <f>IF(B448&lt;&gt;"",CREATE_QUERY($B$1,A$2:G$2,A448:G448),"")</f>
        <v>INSERT INTO base_mast(hqof_idcd, base_idcd, base_code, base_name, prnt_idcd, line_stat, line_levl) VALUES ('N1000WINFO', 'N1000WINFO1202sb', 'sb', '솔로몬 군도', '1202', '0', '1');</v>
      </c>
    </row>
    <row r="449" spans="1:9">
      <c r="A449" s="7" t="s">
        <v>1443</v>
      </c>
      <c r="B449" s="6" t="str">
        <f t="shared" si="7"/>
        <v>N1000WINFO1202sc</v>
      </c>
      <c r="C449" s="6" t="s">
        <v>1320</v>
      </c>
      <c r="D449" s="6" t="s">
        <v>1321</v>
      </c>
      <c r="E449" s="8" t="s">
        <v>1444</v>
      </c>
      <c r="F449" s="8" t="s">
        <v>686</v>
      </c>
      <c r="G449" s="8" t="s">
        <v>684</v>
      </c>
      <c r="I449" s="7" t="str">
        <f>IF(B449&lt;&gt;"",CREATE_QUERY($B$1,A$2:G$2,A449:G449),"")</f>
        <v>INSERT INTO base_mast(hqof_idcd, base_idcd, base_code, base_name, prnt_idcd, line_stat, line_levl) VALUES ('N1000WINFO', 'N1000WINFO1202sc', 'sc', '세이셸', '1202', '0', '1');</v>
      </c>
    </row>
    <row r="450" spans="1:9">
      <c r="A450" s="7" t="s">
        <v>1443</v>
      </c>
      <c r="B450" s="6" t="str">
        <f t="shared" si="7"/>
        <v>N1000WINFO1202sd</v>
      </c>
      <c r="C450" s="6" t="s">
        <v>1322</v>
      </c>
      <c r="D450" s="6" t="s">
        <v>1323</v>
      </c>
      <c r="E450" s="8" t="s">
        <v>1444</v>
      </c>
      <c r="F450" s="8" t="s">
        <v>686</v>
      </c>
      <c r="G450" s="8" t="s">
        <v>684</v>
      </c>
      <c r="I450" s="7" t="str">
        <f>IF(B450&lt;&gt;"",CREATE_QUERY($B$1,A$2:G$2,A450:G450),"")</f>
        <v>INSERT INTO base_mast(hqof_idcd, base_idcd, base_code, base_name, prnt_idcd, line_stat, line_levl) VALUES ('N1000WINFO', 'N1000WINFO1202sd', 'sd', '수단', '1202', '0', '1');</v>
      </c>
    </row>
    <row r="451" spans="1:9">
      <c r="A451" s="7" t="s">
        <v>1443</v>
      </c>
      <c r="B451" s="6" t="str">
        <f t="shared" si="7"/>
        <v>N1000WINFO1202se</v>
      </c>
      <c r="C451" s="6" t="s">
        <v>1324</v>
      </c>
      <c r="D451" s="6" t="s">
        <v>1325</v>
      </c>
      <c r="E451" s="8" t="s">
        <v>1444</v>
      </c>
      <c r="F451" s="8" t="s">
        <v>686</v>
      </c>
      <c r="G451" s="8" t="s">
        <v>684</v>
      </c>
      <c r="I451" s="7" t="str">
        <f>IF(B451&lt;&gt;"",CREATE_QUERY($B$1,A$2:G$2,A451:G451),"")</f>
        <v>INSERT INTO base_mast(hqof_idcd, base_idcd, base_code, base_name, prnt_idcd, line_stat, line_levl) VALUES ('N1000WINFO', 'N1000WINFO1202se', 'se', '스웨덴', '1202', '0', '1');</v>
      </c>
    </row>
    <row r="452" spans="1:9">
      <c r="A452" s="7" t="s">
        <v>1443</v>
      </c>
      <c r="B452" s="6" t="str">
        <f t="shared" si="7"/>
        <v>N1000WINFO1202sg</v>
      </c>
      <c r="C452" s="6" t="s">
        <v>1326</v>
      </c>
      <c r="D452" s="6" t="s">
        <v>1327</v>
      </c>
      <c r="E452" s="8" t="s">
        <v>1444</v>
      </c>
      <c r="F452" s="8" t="s">
        <v>686</v>
      </c>
      <c r="G452" s="8" t="s">
        <v>684</v>
      </c>
      <c r="I452" s="7" t="str">
        <f>IF(B452&lt;&gt;"",CREATE_QUERY($B$1,A$2:G$2,A452:G452),"")</f>
        <v>INSERT INTO base_mast(hqof_idcd, base_idcd, base_code, base_name, prnt_idcd, line_stat, line_levl) VALUES ('N1000WINFO', 'N1000WINFO1202sg', 'sg', '싱가포르', '1202', '0', '1');</v>
      </c>
    </row>
    <row r="453" spans="1:9">
      <c r="A453" s="7" t="s">
        <v>1443</v>
      </c>
      <c r="B453" s="6" t="str">
        <f t="shared" si="7"/>
        <v>N1000WINFO1202sh</v>
      </c>
      <c r="C453" s="6" t="s">
        <v>1328</v>
      </c>
      <c r="D453" s="6" t="s">
        <v>1329</v>
      </c>
      <c r="E453" s="8" t="s">
        <v>1444</v>
      </c>
      <c r="F453" s="8" t="s">
        <v>686</v>
      </c>
      <c r="G453" s="8" t="s">
        <v>684</v>
      </c>
      <c r="I453" s="7" t="str">
        <f>IF(B453&lt;&gt;"",CREATE_QUERY($B$1,A$2:G$2,A453:G453),"")</f>
        <v>INSERT INTO base_mast(hqof_idcd, base_idcd, base_code, base_name, prnt_idcd, line_stat, line_levl) VALUES ('N1000WINFO', 'N1000WINFO1202sh', 'sh', '세인트 헬레나', '1202', '0', '1');</v>
      </c>
    </row>
    <row r="454" spans="1:9">
      <c r="A454" s="7" t="s">
        <v>1443</v>
      </c>
      <c r="B454" s="6" t="str">
        <f t="shared" si="7"/>
        <v>N1000WINFO1202si</v>
      </c>
      <c r="C454" s="6" t="s">
        <v>1330</v>
      </c>
      <c r="D454" s="6" t="s">
        <v>1331</v>
      </c>
      <c r="E454" s="8" t="s">
        <v>1444</v>
      </c>
      <c r="F454" s="8" t="s">
        <v>686</v>
      </c>
      <c r="G454" s="8" t="s">
        <v>684</v>
      </c>
      <c r="I454" s="7" t="str">
        <f>IF(B454&lt;&gt;"",CREATE_QUERY($B$1,A$2:G$2,A454:G454),"")</f>
        <v>INSERT INTO base_mast(hqof_idcd, base_idcd, base_code, base_name, prnt_idcd, line_stat, line_levl) VALUES ('N1000WINFO', 'N1000WINFO1202si', 'si', '슬로베니아', '1202', '0', '1');</v>
      </c>
    </row>
    <row r="455" spans="1:9">
      <c r="A455" s="7" t="s">
        <v>1443</v>
      </c>
      <c r="B455" s="6" t="str">
        <f t="shared" si="7"/>
        <v>N1000WINFO1202sj</v>
      </c>
      <c r="C455" s="6" t="s">
        <v>1332</v>
      </c>
      <c r="D455" s="6" t="s">
        <v>1333</v>
      </c>
      <c r="E455" s="8" t="s">
        <v>1444</v>
      </c>
      <c r="F455" s="8" t="s">
        <v>686</v>
      </c>
      <c r="G455" s="8" t="s">
        <v>684</v>
      </c>
      <c r="I455" s="7" t="str">
        <f>IF(B455&lt;&gt;"",CREATE_QUERY($B$1,A$2:G$2,A455:G455),"")</f>
        <v>INSERT INTO base_mast(hqof_idcd, base_idcd, base_code, base_name, prnt_idcd, line_stat, line_levl) VALUES ('N1000WINFO', 'N1000WINFO1202sj', 'sj', '스발바르드 얀마이옌 군도', '1202', '0', '1');</v>
      </c>
    </row>
    <row r="456" spans="1:9">
      <c r="A456" s="7" t="s">
        <v>1443</v>
      </c>
      <c r="B456" s="6" t="str">
        <f t="shared" si="7"/>
        <v>N1000WINFO1202sk</v>
      </c>
      <c r="C456" s="6" t="s">
        <v>1334</v>
      </c>
      <c r="D456" s="6" t="s">
        <v>1335</v>
      </c>
      <c r="E456" s="8" t="s">
        <v>1444</v>
      </c>
      <c r="F456" s="8" t="s">
        <v>686</v>
      </c>
      <c r="G456" s="8" t="s">
        <v>684</v>
      </c>
      <c r="I456" s="7" t="str">
        <f>IF(B456&lt;&gt;"",CREATE_QUERY($B$1,A$2:G$2,A456:G456),"")</f>
        <v>INSERT INTO base_mast(hqof_idcd, base_idcd, base_code, base_name, prnt_idcd, line_stat, line_levl) VALUES ('N1000WINFO', 'N1000WINFO1202sk', 'sk', '슬로바키아', '1202', '0', '1');</v>
      </c>
    </row>
    <row r="457" spans="1:9">
      <c r="A457" s="7" t="s">
        <v>1443</v>
      </c>
      <c r="B457" s="6" t="str">
        <f t="shared" si="7"/>
        <v>N1000WINFO1202sl</v>
      </c>
      <c r="C457" s="6" t="s">
        <v>1336</v>
      </c>
      <c r="D457" s="6" t="s">
        <v>1337</v>
      </c>
      <c r="E457" s="8" t="s">
        <v>1444</v>
      </c>
      <c r="F457" s="8" t="s">
        <v>686</v>
      </c>
      <c r="G457" s="8" t="s">
        <v>684</v>
      </c>
      <c r="I457" s="7" t="str">
        <f>IF(B457&lt;&gt;"",CREATE_QUERY($B$1,A$2:G$2,A457:G457),"")</f>
        <v>INSERT INTO base_mast(hqof_idcd, base_idcd, base_code, base_name, prnt_idcd, line_stat, line_levl) VALUES ('N1000WINFO', 'N1000WINFO1202sl', 'sl', '시에라리온', '1202', '0', '1');</v>
      </c>
    </row>
    <row r="458" spans="1:9">
      <c r="A458" s="7" t="s">
        <v>1443</v>
      </c>
      <c r="B458" s="6" t="str">
        <f t="shared" si="7"/>
        <v>N1000WINFO1202sm</v>
      </c>
      <c r="C458" s="6" t="s">
        <v>1338</v>
      </c>
      <c r="D458" s="6" t="s">
        <v>1339</v>
      </c>
      <c r="E458" s="8" t="s">
        <v>1444</v>
      </c>
      <c r="F458" s="8" t="s">
        <v>686</v>
      </c>
      <c r="G458" s="8" t="s">
        <v>684</v>
      </c>
      <c r="I458" s="7" t="str">
        <f>IF(B458&lt;&gt;"",CREATE_QUERY($B$1,A$2:G$2,A458:G458),"")</f>
        <v>INSERT INTO base_mast(hqof_idcd, base_idcd, base_code, base_name, prnt_idcd, line_stat, line_levl) VALUES ('N1000WINFO', 'N1000WINFO1202sm', 'sm', '산마리노', '1202', '0', '1');</v>
      </c>
    </row>
    <row r="459" spans="1:9">
      <c r="A459" s="7" t="s">
        <v>1443</v>
      </c>
      <c r="B459" s="6" t="str">
        <f t="shared" si="7"/>
        <v>N1000WINFO1202sn</v>
      </c>
      <c r="C459" s="6" t="s">
        <v>1340</v>
      </c>
      <c r="D459" s="6" t="s">
        <v>1341</v>
      </c>
      <c r="E459" s="8" t="s">
        <v>1444</v>
      </c>
      <c r="F459" s="8" t="s">
        <v>686</v>
      </c>
      <c r="G459" s="8" t="s">
        <v>684</v>
      </c>
      <c r="I459" s="7" t="str">
        <f>IF(B459&lt;&gt;"",CREATE_QUERY($B$1,A$2:G$2,A459:G459),"")</f>
        <v>INSERT INTO base_mast(hqof_idcd, base_idcd, base_code, base_name, prnt_idcd, line_stat, line_levl) VALUES ('N1000WINFO', 'N1000WINFO1202sn', 'sn', '세네갈', '1202', '0', '1');</v>
      </c>
    </row>
    <row r="460" spans="1:9">
      <c r="A460" s="7" t="s">
        <v>1443</v>
      </c>
      <c r="B460" s="6" t="str">
        <f t="shared" si="7"/>
        <v>N1000WINFO1202so</v>
      </c>
      <c r="C460" s="6" t="s">
        <v>1342</v>
      </c>
      <c r="D460" s="6" t="s">
        <v>1343</v>
      </c>
      <c r="E460" s="8" t="s">
        <v>1444</v>
      </c>
      <c r="F460" s="8" t="s">
        <v>686</v>
      </c>
      <c r="G460" s="8" t="s">
        <v>684</v>
      </c>
      <c r="I460" s="7" t="str">
        <f>IF(B460&lt;&gt;"",CREATE_QUERY($B$1,A$2:G$2,A460:G460),"")</f>
        <v>INSERT INTO base_mast(hqof_idcd, base_idcd, base_code, base_name, prnt_idcd, line_stat, line_levl) VALUES ('N1000WINFO', 'N1000WINFO1202so', 'so', '소말리아', '1202', '0', '1');</v>
      </c>
    </row>
    <row r="461" spans="1:9">
      <c r="A461" s="7" t="s">
        <v>1443</v>
      </c>
      <c r="B461" s="6" t="str">
        <f t="shared" si="7"/>
        <v>N1000WINFO1202sr</v>
      </c>
      <c r="C461" s="6" t="s">
        <v>1344</v>
      </c>
      <c r="D461" s="6" t="s">
        <v>1345</v>
      </c>
      <c r="E461" s="8" t="s">
        <v>1444</v>
      </c>
      <c r="F461" s="8" t="s">
        <v>686</v>
      </c>
      <c r="G461" s="8" t="s">
        <v>684</v>
      </c>
      <c r="I461" s="7" t="str">
        <f>IF(B461&lt;&gt;"",CREATE_QUERY($B$1,A$2:G$2,A461:G461),"")</f>
        <v>INSERT INTO base_mast(hqof_idcd, base_idcd, base_code, base_name, prnt_idcd, line_stat, line_levl) VALUES ('N1000WINFO', 'N1000WINFO1202sr', 'sr', '수리남', '1202', '0', '1');</v>
      </c>
    </row>
    <row r="462" spans="1:9">
      <c r="A462" s="7" t="s">
        <v>1443</v>
      </c>
      <c r="B462" s="6" t="str">
        <f t="shared" si="7"/>
        <v>N1000WINFO1202st</v>
      </c>
      <c r="C462" s="6" t="s">
        <v>1346</v>
      </c>
      <c r="D462" s="6" t="s">
        <v>1347</v>
      </c>
      <c r="E462" s="8" t="s">
        <v>1444</v>
      </c>
      <c r="F462" s="8" t="s">
        <v>686</v>
      </c>
      <c r="G462" s="8" t="s">
        <v>684</v>
      </c>
      <c r="I462" s="7" t="str">
        <f>IF(B462&lt;&gt;"",CREATE_QUERY($B$1,A$2:G$2,A462:G462),"")</f>
        <v>INSERT INTO base_mast(hqof_idcd, base_idcd, base_code, base_name, prnt_idcd, line_stat, line_levl) VALUES ('N1000WINFO', 'N1000WINFO1202st', 'st', '상투메 프린시페', '1202', '0', '1');</v>
      </c>
    </row>
    <row r="463" spans="1:9">
      <c r="A463" s="7" t="s">
        <v>1443</v>
      </c>
      <c r="B463" s="6" t="str">
        <f t="shared" si="7"/>
        <v>N1000WINFO1202su</v>
      </c>
      <c r="C463" s="6" t="s">
        <v>1348</v>
      </c>
      <c r="D463" s="6" t="s">
        <v>1349</v>
      </c>
      <c r="E463" s="8" t="s">
        <v>1444</v>
      </c>
      <c r="F463" s="8" t="s">
        <v>686</v>
      </c>
      <c r="G463" s="8" t="s">
        <v>684</v>
      </c>
      <c r="I463" s="7" t="str">
        <f>IF(B463&lt;&gt;"",CREATE_QUERY($B$1,A$2:G$2,A463:G463),"")</f>
        <v>INSERT INTO base_mast(hqof_idcd, base_idcd, base_code, base_name, prnt_idcd, line_stat, line_levl) VALUES ('N1000WINFO', 'N1000WINFO1202su', 'su', '구 USSR', '1202', '0', '1');</v>
      </c>
    </row>
    <row r="464" spans="1:9">
      <c r="A464" s="7" t="s">
        <v>1443</v>
      </c>
      <c r="B464" s="6" t="str">
        <f t="shared" si="7"/>
        <v>N1000WINFO1202sv</v>
      </c>
      <c r="C464" s="6" t="s">
        <v>1350</v>
      </c>
      <c r="D464" s="6" t="s">
        <v>1351</v>
      </c>
      <c r="E464" s="8" t="s">
        <v>1444</v>
      </c>
      <c r="F464" s="8" t="s">
        <v>686</v>
      </c>
      <c r="G464" s="8" t="s">
        <v>684</v>
      </c>
      <c r="I464" s="7" t="str">
        <f>IF(B464&lt;&gt;"",CREATE_QUERY($B$1,A$2:G$2,A464:G464),"")</f>
        <v>INSERT INTO base_mast(hqof_idcd, base_idcd, base_code, base_name, prnt_idcd, line_stat, line_levl) VALUES ('N1000WINFO', 'N1000WINFO1202sv', 'sv', '엘살바도르', '1202', '0', '1');</v>
      </c>
    </row>
    <row r="465" spans="1:9">
      <c r="A465" s="7" t="s">
        <v>1443</v>
      </c>
      <c r="B465" s="6" t="str">
        <f t="shared" si="7"/>
        <v>N1000WINFO1202sy</v>
      </c>
      <c r="C465" s="6" t="s">
        <v>1352</v>
      </c>
      <c r="D465" s="6" t="s">
        <v>1353</v>
      </c>
      <c r="E465" s="8" t="s">
        <v>1444</v>
      </c>
      <c r="F465" s="8" t="s">
        <v>686</v>
      </c>
      <c r="G465" s="8" t="s">
        <v>684</v>
      </c>
      <c r="I465" s="7" t="str">
        <f>IF(B465&lt;&gt;"",CREATE_QUERY($B$1,A$2:G$2,A465:G465),"")</f>
        <v>INSERT INTO base_mast(hqof_idcd, base_idcd, base_code, base_name, prnt_idcd, line_stat, line_levl) VALUES ('N1000WINFO', 'N1000WINFO1202sy', 'sy', '시리아', '1202', '0', '1');</v>
      </c>
    </row>
    <row r="466" spans="1:9">
      <c r="A466" s="7" t="s">
        <v>1443</v>
      </c>
      <c r="B466" s="6" t="str">
        <f t="shared" si="7"/>
        <v>N1000WINFO1202sz</v>
      </c>
      <c r="C466" s="6" t="s">
        <v>1354</v>
      </c>
      <c r="D466" s="6" t="s">
        <v>1355</v>
      </c>
      <c r="E466" s="8" t="s">
        <v>1444</v>
      </c>
      <c r="F466" s="8" t="s">
        <v>686</v>
      </c>
      <c r="G466" s="8" t="s">
        <v>684</v>
      </c>
      <c r="I466" s="7" t="str">
        <f>IF(B466&lt;&gt;"",CREATE_QUERY($B$1,A$2:G$2,A466:G466),"")</f>
        <v>INSERT INTO base_mast(hqof_idcd, base_idcd, base_code, base_name, prnt_idcd, line_stat, line_levl) VALUES ('N1000WINFO', 'N1000WINFO1202sz', 'sz', '스와질랜드', '1202', '0', '1');</v>
      </c>
    </row>
    <row r="467" spans="1:9">
      <c r="A467" s="7" t="s">
        <v>1443</v>
      </c>
      <c r="B467" s="6" t="str">
        <f t="shared" si="7"/>
        <v>N1000WINFO1202tc</v>
      </c>
      <c r="C467" s="6" t="s">
        <v>1356</v>
      </c>
      <c r="D467" s="6" t="s">
        <v>1357</v>
      </c>
      <c r="E467" s="8" t="s">
        <v>1444</v>
      </c>
      <c r="F467" s="8" t="s">
        <v>686</v>
      </c>
      <c r="G467" s="8" t="s">
        <v>684</v>
      </c>
      <c r="I467" s="7" t="str">
        <f>IF(B467&lt;&gt;"",CREATE_QUERY($B$1,A$2:G$2,A467:G467),"")</f>
        <v>INSERT INTO base_mast(hqof_idcd, base_idcd, base_code, base_name, prnt_idcd, line_stat, line_levl) VALUES ('N1000WINFO', 'N1000WINFO1202tc', 'tc', '터크스 카이코스 군도', '1202', '0', '1');</v>
      </c>
    </row>
    <row r="468" spans="1:9">
      <c r="A468" s="7" t="s">
        <v>1443</v>
      </c>
      <c r="B468" s="6" t="str">
        <f t="shared" si="7"/>
        <v>N1000WINFO1202td</v>
      </c>
      <c r="C468" s="6" t="s">
        <v>1358</v>
      </c>
      <c r="D468" s="6" t="s">
        <v>1359</v>
      </c>
      <c r="E468" s="8" t="s">
        <v>1444</v>
      </c>
      <c r="F468" s="8" t="s">
        <v>686</v>
      </c>
      <c r="G468" s="8" t="s">
        <v>684</v>
      </c>
      <c r="I468" s="7" t="str">
        <f>IF(B468&lt;&gt;"",CREATE_QUERY($B$1,A$2:G$2,A468:G468),"")</f>
        <v>INSERT INTO base_mast(hqof_idcd, base_idcd, base_code, base_name, prnt_idcd, line_stat, line_levl) VALUES ('N1000WINFO', 'N1000WINFO1202td', 'td', '차드', '1202', '0', '1');</v>
      </c>
    </row>
    <row r="469" spans="1:9">
      <c r="A469" s="7" t="s">
        <v>1443</v>
      </c>
      <c r="B469" s="6" t="str">
        <f t="shared" si="7"/>
        <v>N1000WINFO1202tf</v>
      </c>
      <c r="C469" s="6" t="s">
        <v>1360</v>
      </c>
      <c r="D469" s="6" t="s">
        <v>1361</v>
      </c>
      <c r="E469" s="8" t="s">
        <v>1444</v>
      </c>
      <c r="F469" s="8" t="s">
        <v>686</v>
      </c>
      <c r="G469" s="8" t="s">
        <v>684</v>
      </c>
      <c r="I469" s="7" t="str">
        <f>IF(B469&lt;&gt;"",CREATE_QUERY($B$1,A$2:G$2,A469:G469),"")</f>
        <v>INSERT INTO base_mast(hqof_idcd, base_idcd, base_code, base_name, prnt_idcd, line_stat, line_levl) VALUES ('N1000WINFO', 'N1000WINFO1202tf', 'tf', '프랑스 남부 지방', '1202', '0', '1');</v>
      </c>
    </row>
    <row r="470" spans="1:9">
      <c r="A470" s="7" t="s">
        <v>1443</v>
      </c>
      <c r="B470" s="6" t="str">
        <f t="shared" si="7"/>
        <v>N1000WINFO1202tg</v>
      </c>
      <c r="C470" s="6" t="s">
        <v>1362</v>
      </c>
      <c r="D470" s="6" t="s">
        <v>1363</v>
      </c>
      <c r="E470" s="8" t="s">
        <v>1444</v>
      </c>
      <c r="F470" s="8" t="s">
        <v>686</v>
      </c>
      <c r="G470" s="8" t="s">
        <v>684</v>
      </c>
      <c r="I470" s="7" t="str">
        <f>IF(B470&lt;&gt;"",CREATE_QUERY($B$1,A$2:G$2,A470:G470),"")</f>
        <v>INSERT INTO base_mast(hqof_idcd, base_idcd, base_code, base_name, prnt_idcd, line_stat, line_levl) VALUES ('N1000WINFO', 'N1000WINFO1202tg', 'tg', '토고', '1202', '0', '1');</v>
      </c>
    </row>
    <row r="471" spans="1:9">
      <c r="A471" s="7" t="s">
        <v>1443</v>
      </c>
      <c r="B471" s="6" t="str">
        <f t="shared" si="7"/>
        <v>N1000WINFO1202th</v>
      </c>
      <c r="C471" s="6" t="s">
        <v>1364</v>
      </c>
      <c r="D471" s="6" t="s">
        <v>1365</v>
      </c>
      <c r="E471" s="8" t="s">
        <v>1444</v>
      </c>
      <c r="F471" s="8" t="s">
        <v>686</v>
      </c>
      <c r="G471" s="8" t="s">
        <v>684</v>
      </c>
      <c r="I471" s="7" t="str">
        <f>IF(B471&lt;&gt;"",CREATE_QUERY($B$1,A$2:G$2,A471:G471),"")</f>
        <v>INSERT INTO base_mast(hqof_idcd, base_idcd, base_code, base_name, prnt_idcd, line_stat, line_levl) VALUES ('N1000WINFO', 'N1000WINFO1202th', 'th', '태국', '1202', '0', '1');</v>
      </c>
    </row>
    <row r="472" spans="1:9">
      <c r="A472" s="7" t="s">
        <v>1443</v>
      </c>
      <c r="B472" s="6" t="str">
        <f t="shared" si="7"/>
        <v>N1000WINFO1202tj</v>
      </c>
      <c r="C472" s="6" t="s">
        <v>1366</v>
      </c>
      <c r="D472" s="6" t="s">
        <v>1367</v>
      </c>
      <c r="E472" s="8" t="s">
        <v>1444</v>
      </c>
      <c r="F472" s="8" t="s">
        <v>686</v>
      </c>
      <c r="G472" s="8" t="s">
        <v>684</v>
      </c>
      <c r="I472" s="7" t="str">
        <f>IF(B472&lt;&gt;"",CREATE_QUERY($B$1,A$2:G$2,A472:G472),"")</f>
        <v>INSERT INTO base_mast(hqof_idcd, base_idcd, base_code, base_name, prnt_idcd, line_stat, line_levl) VALUES ('N1000WINFO', 'N1000WINFO1202tj', 'tj', '타지키스탄', '1202', '0', '1');</v>
      </c>
    </row>
    <row r="473" spans="1:9">
      <c r="A473" s="7" t="s">
        <v>1443</v>
      </c>
      <c r="B473" s="6" t="str">
        <f t="shared" si="7"/>
        <v>N1000WINFO1202tk</v>
      </c>
      <c r="C473" s="6" t="s">
        <v>1368</v>
      </c>
      <c r="D473" s="6" t="s">
        <v>1369</v>
      </c>
      <c r="E473" s="8" t="s">
        <v>1444</v>
      </c>
      <c r="F473" s="8" t="s">
        <v>686</v>
      </c>
      <c r="G473" s="8" t="s">
        <v>684</v>
      </c>
      <c r="I473" s="7" t="str">
        <f>IF(B473&lt;&gt;"",CREATE_QUERY($B$1,A$2:G$2,A473:G473),"")</f>
        <v>INSERT INTO base_mast(hqof_idcd, base_idcd, base_code, base_name, prnt_idcd, line_stat, line_levl) VALUES ('N1000WINFO', 'N1000WINFO1202tk', 'tk', '토켈라우', '1202', '0', '1');</v>
      </c>
    </row>
    <row r="474" spans="1:9">
      <c r="A474" s="7" t="s">
        <v>1443</v>
      </c>
      <c r="B474" s="6" t="str">
        <f t="shared" si="7"/>
        <v>N1000WINFO1202tm</v>
      </c>
      <c r="C474" s="6" t="s">
        <v>1370</v>
      </c>
      <c r="D474" s="6" t="s">
        <v>1371</v>
      </c>
      <c r="E474" s="8" t="s">
        <v>1444</v>
      </c>
      <c r="F474" s="8" t="s">
        <v>686</v>
      </c>
      <c r="G474" s="8" t="s">
        <v>684</v>
      </c>
      <c r="I474" s="7" t="str">
        <f>IF(B474&lt;&gt;"",CREATE_QUERY($B$1,A$2:G$2,A474:G474),"")</f>
        <v>INSERT INTO base_mast(hqof_idcd, base_idcd, base_code, base_name, prnt_idcd, line_stat, line_levl) VALUES ('N1000WINFO', 'N1000WINFO1202tm', 'tm', '투르크메니스탄', '1202', '0', '1');</v>
      </c>
    </row>
    <row r="475" spans="1:9">
      <c r="A475" s="7" t="s">
        <v>1443</v>
      </c>
      <c r="B475" s="6" t="str">
        <f t="shared" si="7"/>
        <v>N1000WINFO1202tn</v>
      </c>
      <c r="C475" s="6" t="s">
        <v>1372</v>
      </c>
      <c r="D475" s="6" t="s">
        <v>1373</v>
      </c>
      <c r="E475" s="8" t="s">
        <v>1444</v>
      </c>
      <c r="F475" s="8" t="s">
        <v>686</v>
      </c>
      <c r="G475" s="8" t="s">
        <v>684</v>
      </c>
      <c r="I475" s="7" t="str">
        <f>IF(B475&lt;&gt;"",CREATE_QUERY($B$1,A$2:G$2,A475:G475),"")</f>
        <v>INSERT INTO base_mast(hqof_idcd, base_idcd, base_code, base_name, prnt_idcd, line_stat, line_levl) VALUES ('N1000WINFO', 'N1000WINFO1202tn', 'tn', '튀니지', '1202', '0', '1');</v>
      </c>
    </row>
    <row r="476" spans="1:9">
      <c r="A476" s="7" t="s">
        <v>1443</v>
      </c>
      <c r="B476" s="6" t="str">
        <f t="shared" si="7"/>
        <v>N1000WINFO1202to</v>
      </c>
      <c r="C476" s="6" t="s">
        <v>1374</v>
      </c>
      <c r="D476" s="6" t="s">
        <v>1375</v>
      </c>
      <c r="E476" s="8" t="s">
        <v>1444</v>
      </c>
      <c r="F476" s="8" t="s">
        <v>686</v>
      </c>
      <c r="G476" s="8" t="s">
        <v>684</v>
      </c>
      <c r="I476" s="7" t="str">
        <f>IF(B476&lt;&gt;"",CREATE_QUERY($B$1,A$2:G$2,A476:G476),"")</f>
        <v>INSERT INTO base_mast(hqof_idcd, base_idcd, base_code, base_name, prnt_idcd, line_stat, line_levl) VALUES ('N1000WINFO', 'N1000WINFO1202to', 'to', '통가', '1202', '0', '1');</v>
      </c>
    </row>
    <row r="477" spans="1:9">
      <c r="A477" s="7" t="s">
        <v>1443</v>
      </c>
      <c r="B477" s="6" t="str">
        <f t="shared" si="7"/>
        <v>N1000WINFO1202tp</v>
      </c>
      <c r="C477" s="6" t="s">
        <v>1376</v>
      </c>
      <c r="D477" s="6" t="s">
        <v>1377</v>
      </c>
      <c r="E477" s="8" t="s">
        <v>1444</v>
      </c>
      <c r="F477" s="8" t="s">
        <v>686</v>
      </c>
      <c r="G477" s="8" t="s">
        <v>684</v>
      </c>
      <c r="I477" s="7" t="str">
        <f>IF(B477&lt;&gt;"",CREATE_QUERY($B$1,A$2:G$2,A477:G477),"")</f>
        <v>INSERT INTO base_mast(hqof_idcd, base_idcd, base_code, base_name, prnt_idcd, line_stat, line_levl) VALUES ('N1000WINFO', 'N1000WINFO1202tp', 'tp', '동티모르', '1202', '0', '1');</v>
      </c>
    </row>
    <row r="478" spans="1:9">
      <c r="A478" s="7" t="s">
        <v>1443</v>
      </c>
      <c r="B478" s="6" t="str">
        <f t="shared" si="7"/>
        <v>N1000WINFO1202tr</v>
      </c>
      <c r="C478" s="6" t="s">
        <v>1378</v>
      </c>
      <c r="D478" s="6" t="s">
        <v>1379</v>
      </c>
      <c r="E478" s="8" t="s">
        <v>1444</v>
      </c>
      <c r="F478" s="8" t="s">
        <v>686</v>
      </c>
      <c r="G478" s="8" t="s">
        <v>684</v>
      </c>
      <c r="I478" s="7" t="str">
        <f>IF(B478&lt;&gt;"",CREATE_QUERY($B$1,A$2:G$2,A478:G478),"")</f>
        <v>INSERT INTO base_mast(hqof_idcd, base_idcd, base_code, base_name, prnt_idcd, line_stat, line_levl) VALUES ('N1000WINFO', 'N1000WINFO1202tr', 'tr', '터키', '1202', '0', '1');</v>
      </c>
    </row>
    <row r="479" spans="1:9">
      <c r="A479" s="7" t="s">
        <v>1443</v>
      </c>
      <c r="B479" s="6" t="str">
        <f t="shared" si="7"/>
        <v>N1000WINFO1202tt</v>
      </c>
      <c r="C479" s="6" t="s">
        <v>1380</v>
      </c>
      <c r="D479" s="6" t="s">
        <v>1381</v>
      </c>
      <c r="E479" s="8" t="s">
        <v>1444</v>
      </c>
      <c r="F479" s="8" t="s">
        <v>686</v>
      </c>
      <c r="G479" s="8" t="s">
        <v>684</v>
      </c>
      <c r="I479" s="7" t="str">
        <f>IF(B479&lt;&gt;"",CREATE_QUERY($B$1,A$2:G$2,A479:G479),"")</f>
        <v>INSERT INTO base_mast(hqof_idcd, base_idcd, base_code, base_name, prnt_idcd, line_stat, line_levl) VALUES ('N1000WINFO', 'N1000WINFO1202tt', 'tt', '트리니다드 토바고', '1202', '0', '1');</v>
      </c>
    </row>
    <row r="480" spans="1:9">
      <c r="A480" s="7" t="s">
        <v>1443</v>
      </c>
      <c r="B480" s="6" t="str">
        <f t="shared" si="7"/>
        <v>N1000WINFO1202tv</v>
      </c>
      <c r="C480" s="6" t="s">
        <v>1382</v>
      </c>
      <c r="D480" s="6" t="s">
        <v>1383</v>
      </c>
      <c r="E480" s="8" t="s">
        <v>1444</v>
      </c>
      <c r="F480" s="8" t="s">
        <v>686</v>
      </c>
      <c r="G480" s="8" t="s">
        <v>684</v>
      </c>
      <c r="I480" s="7" t="str">
        <f>IF(B480&lt;&gt;"",CREATE_QUERY($B$1,A$2:G$2,A480:G480),"")</f>
        <v>INSERT INTO base_mast(hqof_idcd, base_idcd, base_code, base_name, prnt_idcd, line_stat, line_levl) VALUES ('N1000WINFO', 'N1000WINFO1202tv', 'tv', '투발루', '1202', '0', '1');</v>
      </c>
    </row>
    <row r="481" spans="1:9">
      <c r="A481" s="7" t="s">
        <v>1443</v>
      </c>
      <c r="B481" s="6" t="str">
        <f t="shared" si="7"/>
        <v>N1000WINFO1202tw</v>
      </c>
      <c r="C481" s="6" t="s">
        <v>1384</v>
      </c>
      <c r="D481" s="6" t="s">
        <v>1385</v>
      </c>
      <c r="E481" s="8" t="s">
        <v>1444</v>
      </c>
      <c r="F481" s="8" t="s">
        <v>686</v>
      </c>
      <c r="G481" s="8" t="s">
        <v>684</v>
      </c>
      <c r="I481" s="7" t="str">
        <f>IF(B481&lt;&gt;"",CREATE_QUERY($B$1,A$2:G$2,A481:G481),"")</f>
        <v>INSERT INTO base_mast(hqof_idcd, base_idcd, base_code, base_name, prnt_idcd, line_stat, line_levl) VALUES ('N1000WINFO', 'N1000WINFO1202tw', 'tw', '대만', '1202', '0', '1');</v>
      </c>
    </row>
    <row r="482" spans="1:9">
      <c r="A482" s="7" t="s">
        <v>1443</v>
      </c>
      <c r="B482" s="6" t="str">
        <f t="shared" si="7"/>
        <v>N1000WINFO1202tz</v>
      </c>
      <c r="C482" s="6" t="s">
        <v>1386</v>
      </c>
      <c r="D482" s="6" t="s">
        <v>1387</v>
      </c>
      <c r="E482" s="8" t="s">
        <v>1444</v>
      </c>
      <c r="F482" s="8" t="s">
        <v>686</v>
      </c>
      <c r="G482" s="8" t="s">
        <v>684</v>
      </c>
      <c r="I482" s="7" t="str">
        <f>IF(B482&lt;&gt;"",CREATE_QUERY($B$1,A$2:G$2,A482:G482),"")</f>
        <v>INSERT INTO base_mast(hqof_idcd, base_idcd, base_code, base_name, prnt_idcd, line_stat, line_levl) VALUES ('N1000WINFO', 'N1000WINFO1202tz', 'tz', '탄자니아', '1202', '0', '1');</v>
      </c>
    </row>
    <row r="483" spans="1:9">
      <c r="A483" s="7" t="s">
        <v>1443</v>
      </c>
      <c r="B483" s="6" t="str">
        <f t="shared" si="7"/>
        <v>N1000WINFO1202ua</v>
      </c>
      <c r="C483" s="6" t="s">
        <v>1388</v>
      </c>
      <c r="D483" s="6" t="s">
        <v>1389</v>
      </c>
      <c r="E483" s="8" t="s">
        <v>1444</v>
      </c>
      <c r="F483" s="8" t="s">
        <v>686</v>
      </c>
      <c r="G483" s="8" t="s">
        <v>684</v>
      </c>
      <c r="I483" s="7" t="str">
        <f>IF(B483&lt;&gt;"",CREATE_QUERY($B$1,A$2:G$2,A483:G483),"")</f>
        <v>INSERT INTO base_mast(hqof_idcd, base_idcd, base_code, base_name, prnt_idcd, line_stat, line_levl) VALUES ('N1000WINFO', 'N1000WINFO1202ua', 'ua', '우크라이나', '1202', '0', '1');</v>
      </c>
    </row>
    <row r="484" spans="1:9">
      <c r="A484" s="7" t="s">
        <v>1443</v>
      </c>
      <c r="B484" s="6" t="str">
        <f t="shared" si="7"/>
        <v>N1000WINFO1202ug</v>
      </c>
      <c r="C484" s="6" t="s">
        <v>1390</v>
      </c>
      <c r="D484" s="6" t="s">
        <v>1391</v>
      </c>
      <c r="E484" s="8" t="s">
        <v>1444</v>
      </c>
      <c r="F484" s="8" t="s">
        <v>686</v>
      </c>
      <c r="G484" s="8" t="s">
        <v>684</v>
      </c>
      <c r="I484" s="7" t="str">
        <f>IF(B484&lt;&gt;"",CREATE_QUERY($B$1,A$2:G$2,A484:G484),"")</f>
        <v>INSERT INTO base_mast(hqof_idcd, base_idcd, base_code, base_name, prnt_idcd, line_stat, line_levl) VALUES ('N1000WINFO', 'N1000WINFO1202ug', 'ug', '우간다', '1202', '0', '1');</v>
      </c>
    </row>
    <row r="485" spans="1:9">
      <c r="A485" s="7" t="s">
        <v>1443</v>
      </c>
      <c r="B485" s="6" t="str">
        <f t="shared" si="7"/>
        <v>N1000WINFO1202uk</v>
      </c>
      <c r="C485" s="6" t="s">
        <v>1392</v>
      </c>
      <c r="D485" s="6" t="s">
        <v>1089</v>
      </c>
      <c r="E485" s="8" t="s">
        <v>1444</v>
      </c>
      <c r="F485" s="8" t="s">
        <v>686</v>
      </c>
      <c r="G485" s="8" t="s">
        <v>684</v>
      </c>
      <c r="I485" s="7" t="str">
        <f>IF(B485&lt;&gt;"",CREATE_QUERY($B$1,A$2:G$2,A485:G485),"")</f>
        <v>INSERT INTO base_mast(hqof_idcd, base_idcd, base_code, base_name, prnt_idcd, line_stat, line_levl) VALUES ('N1000WINFO', 'N1000WINFO1202uk', 'uk', '영국', '1202', '0', '1');</v>
      </c>
    </row>
    <row r="486" spans="1:9">
      <c r="A486" s="7" t="s">
        <v>1443</v>
      </c>
      <c r="B486" s="6" t="str">
        <f t="shared" si="7"/>
        <v>N1000WINFO1202um</v>
      </c>
      <c r="C486" s="6" t="s">
        <v>1393</v>
      </c>
      <c r="D486" s="6" t="s">
        <v>1394</v>
      </c>
      <c r="E486" s="8" t="s">
        <v>1444</v>
      </c>
      <c r="F486" s="8" t="s">
        <v>686</v>
      </c>
      <c r="G486" s="8" t="s">
        <v>684</v>
      </c>
      <c r="I486" s="7" t="str">
        <f>IF(B486&lt;&gt;"",CREATE_QUERY($B$1,A$2:G$2,A486:G486),"")</f>
        <v>INSERT INTO base_mast(hqof_idcd, base_idcd, base_code, base_name, prnt_idcd, line_stat, line_levl) VALUES ('N1000WINFO', 'N1000WINFO1202um', 'um', '미국령 군도', '1202', '0', '1');</v>
      </c>
    </row>
    <row r="487" spans="1:9">
      <c r="A487" s="7" t="s">
        <v>1443</v>
      </c>
      <c r="B487" s="6" t="str">
        <f t="shared" si="7"/>
        <v>N1000WINFO1202us</v>
      </c>
      <c r="C487" s="6" t="s">
        <v>1395</v>
      </c>
      <c r="D487" s="6" t="s">
        <v>1396</v>
      </c>
      <c r="E487" s="8" t="s">
        <v>1444</v>
      </c>
      <c r="F487" s="8" t="s">
        <v>686</v>
      </c>
      <c r="G487" s="8" t="s">
        <v>684</v>
      </c>
      <c r="I487" s="7" t="str">
        <f>IF(B487&lt;&gt;"",CREATE_QUERY($B$1,A$2:G$2,A487:G487),"")</f>
        <v>INSERT INTO base_mast(hqof_idcd, base_idcd, base_code, base_name, prnt_idcd, line_stat, line_levl) VALUES ('N1000WINFO', 'N1000WINFO1202us', 'us', '미국', '1202', '0', '1');</v>
      </c>
    </row>
    <row r="488" spans="1:9">
      <c r="A488" s="7" t="s">
        <v>1443</v>
      </c>
      <c r="B488" s="6" t="str">
        <f t="shared" si="7"/>
        <v>N1000WINFO1202uy</v>
      </c>
      <c r="C488" s="6" t="s">
        <v>1397</v>
      </c>
      <c r="D488" s="6" t="s">
        <v>1398</v>
      </c>
      <c r="E488" s="8" t="s">
        <v>1444</v>
      </c>
      <c r="F488" s="8" t="s">
        <v>686</v>
      </c>
      <c r="G488" s="8" t="s">
        <v>684</v>
      </c>
      <c r="I488" s="7" t="str">
        <f>IF(B488&lt;&gt;"",CREATE_QUERY($B$1,A$2:G$2,A488:G488),"")</f>
        <v>INSERT INTO base_mast(hqof_idcd, base_idcd, base_code, base_name, prnt_idcd, line_stat, line_levl) VALUES ('N1000WINFO', 'N1000WINFO1202uy', 'uy', '우루과이', '1202', '0', '1');</v>
      </c>
    </row>
    <row r="489" spans="1:9">
      <c r="A489" s="7" t="s">
        <v>1443</v>
      </c>
      <c r="B489" s="6" t="str">
        <f t="shared" si="7"/>
        <v>N1000WINFO1202uz</v>
      </c>
      <c r="C489" s="6" t="s">
        <v>1399</v>
      </c>
      <c r="D489" s="6" t="s">
        <v>1400</v>
      </c>
      <c r="E489" s="8" t="s">
        <v>1444</v>
      </c>
      <c r="F489" s="8" t="s">
        <v>686</v>
      </c>
      <c r="G489" s="8" t="s">
        <v>684</v>
      </c>
      <c r="I489" s="7" t="str">
        <f>IF(B489&lt;&gt;"",CREATE_QUERY($B$1,A$2:G$2,A489:G489),"")</f>
        <v>INSERT INTO base_mast(hqof_idcd, base_idcd, base_code, base_name, prnt_idcd, line_stat, line_levl) VALUES ('N1000WINFO', 'N1000WINFO1202uz', 'uz', '우즈베키스탄', '1202', '0', '1');</v>
      </c>
    </row>
    <row r="490" spans="1:9">
      <c r="A490" s="7" t="s">
        <v>1443</v>
      </c>
      <c r="B490" s="6" t="str">
        <f t="shared" si="7"/>
        <v>N1000WINFO1202va</v>
      </c>
      <c r="C490" s="6" t="s">
        <v>1401</v>
      </c>
      <c r="D490" s="6" t="s">
        <v>1402</v>
      </c>
      <c r="E490" s="8" t="s">
        <v>1444</v>
      </c>
      <c r="F490" s="8" t="s">
        <v>686</v>
      </c>
      <c r="G490" s="8" t="s">
        <v>684</v>
      </c>
      <c r="I490" s="7" t="str">
        <f>IF(B490&lt;&gt;"",CREATE_QUERY($B$1,A$2:G$2,A490:G490),"")</f>
        <v>INSERT INTO base_mast(hqof_idcd, base_idcd, base_code, base_name, prnt_idcd, line_stat, line_levl) VALUES ('N1000WINFO', 'N1000WINFO1202va', 'va', '바티칸 시국', '1202', '0', '1');</v>
      </c>
    </row>
    <row r="491" spans="1:9">
      <c r="A491" s="7" t="s">
        <v>1443</v>
      </c>
      <c r="B491" s="6" t="str">
        <f t="shared" si="7"/>
        <v>N1000WINFO1202vc</v>
      </c>
      <c r="C491" s="6" t="s">
        <v>1403</v>
      </c>
      <c r="D491" s="6" t="s">
        <v>1404</v>
      </c>
      <c r="E491" s="8" t="s">
        <v>1444</v>
      </c>
      <c r="F491" s="8" t="s">
        <v>686</v>
      </c>
      <c r="G491" s="8" t="s">
        <v>684</v>
      </c>
      <c r="I491" s="7" t="str">
        <f>IF(B491&lt;&gt;"",CREATE_QUERY($B$1,A$2:G$2,A491:G491),"")</f>
        <v>INSERT INTO base_mast(hqof_idcd, base_idcd, base_code, base_name, prnt_idcd, line_stat, line_levl) VALUES ('N1000WINFO', 'N1000WINFO1202vc', 'vc', '세인트 빈센트 그레나딘스', '1202', '0', '1');</v>
      </c>
    </row>
    <row r="492" spans="1:9">
      <c r="A492" s="7" t="s">
        <v>1443</v>
      </c>
      <c r="B492" s="6" t="str">
        <f t="shared" si="7"/>
        <v>N1000WINFO1202ve</v>
      </c>
      <c r="C492" s="6" t="s">
        <v>1405</v>
      </c>
      <c r="D492" s="6" t="s">
        <v>1406</v>
      </c>
      <c r="E492" s="8" t="s">
        <v>1444</v>
      </c>
      <c r="F492" s="8" t="s">
        <v>686</v>
      </c>
      <c r="G492" s="8" t="s">
        <v>684</v>
      </c>
      <c r="I492" s="7" t="str">
        <f>IF(B492&lt;&gt;"",CREATE_QUERY($B$1,A$2:G$2,A492:G492),"")</f>
        <v>INSERT INTO base_mast(hqof_idcd, base_idcd, base_code, base_name, prnt_idcd, line_stat, line_levl) VALUES ('N1000WINFO', 'N1000WINFO1202ve', 've', '베네수엘라', '1202', '0', '1');</v>
      </c>
    </row>
    <row r="493" spans="1:9">
      <c r="A493" s="7" t="s">
        <v>1443</v>
      </c>
      <c r="B493" s="6" t="str">
        <f t="shared" si="7"/>
        <v>N1000WINFO1202vg</v>
      </c>
      <c r="C493" s="6" t="s">
        <v>1407</v>
      </c>
      <c r="D493" s="6" t="s">
        <v>1408</v>
      </c>
      <c r="E493" s="8" t="s">
        <v>1444</v>
      </c>
      <c r="F493" s="8" t="s">
        <v>686</v>
      </c>
      <c r="G493" s="8" t="s">
        <v>684</v>
      </c>
      <c r="I493" s="7" t="str">
        <f>IF(B493&lt;&gt;"",CREATE_QUERY($B$1,A$2:G$2,A493:G493),"")</f>
        <v>INSERT INTO base_mast(hqof_idcd, base_idcd, base_code, base_name, prnt_idcd, line_stat, line_levl) VALUES ('N1000WINFO', 'N1000WINFO1202vg', 'vg', '버진 군도(영국령)', '1202', '0', '1');</v>
      </c>
    </row>
    <row r="494" spans="1:9">
      <c r="A494" s="7" t="s">
        <v>1443</v>
      </c>
      <c r="B494" s="6" t="str">
        <f t="shared" si="7"/>
        <v>N1000WINFO1202vi</v>
      </c>
      <c r="C494" s="6" t="s">
        <v>1409</v>
      </c>
      <c r="D494" s="6" t="s">
        <v>1410</v>
      </c>
      <c r="E494" s="8" t="s">
        <v>1444</v>
      </c>
      <c r="F494" s="8" t="s">
        <v>686</v>
      </c>
      <c r="G494" s="8" t="s">
        <v>684</v>
      </c>
      <c r="I494" s="7" t="str">
        <f>IF(B494&lt;&gt;"",CREATE_QUERY($B$1,A$2:G$2,A494:G494),"")</f>
        <v>INSERT INTO base_mast(hqof_idcd, base_idcd, base_code, base_name, prnt_idcd, line_stat, line_levl) VALUES ('N1000WINFO', 'N1000WINFO1202vi', 'vi', '버진 군도(미국령)', '1202', '0', '1');</v>
      </c>
    </row>
    <row r="495" spans="1:9">
      <c r="A495" s="7" t="s">
        <v>1443</v>
      </c>
      <c r="B495" s="6" t="str">
        <f t="shared" si="7"/>
        <v>N1000WINFO1202vn</v>
      </c>
      <c r="C495" s="6" t="s">
        <v>1411</v>
      </c>
      <c r="D495" s="6" t="s">
        <v>1412</v>
      </c>
      <c r="E495" s="8" t="s">
        <v>1444</v>
      </c>
      <c r="F495" s="8" t="s">
        <v>686</v>
      </c>
      <c r="G495" s="8" t="s">
        <v>684</v>
      </c>
      <c r="I495" s="7" t="str">
        <f>IF(B495&lt;&gt;"",CREATE_QUERY($B$1,A$2:G$2,A495:G495),"")</f>
        <v>INSERT INTO base_mast(hqof_idcd, base_idcd, base_code, base_name, prnt_idcd, line_stat, line_levl) VALUES ('N1000WINFO', 'N1000WINFO1202vn', 'vn', '베트남', '1202', '0', '1');</v>
      </c>
    </row>
    <row r="496" spans="1:9">
      <c r="A496" s="7" t="s">
        <v>1443</v>
      </c>
      <c r="B496" s="6" t="str">
        <f t="shared" si="7"/>
        <v>N1000WINFO1202vu</v>
      </c>
      <c r="C496" s="6" t="s">
        <v>1413</v>
      </c>
      <c r="D496" s="6" t="s">
        <v>1414</v>
      </c>
      <c r="E496" s="8" t="s">
        <v>1444</v>
      </c>
      <c r="F496" s="8" t="s">
        <v>686</v>
      </c>
      <c r="G496" s="8" t="s">
        <v>684</v>
      </c>
      <c r="I496" s="7" t="str">
        <f>IF(B496&lt;&gt;"",CREATE_QUERY($B$1,A$2:G$2,A496:G496),"")</f>
        <v>INSERT INTO base_mast(hqof_idcd, base_idcd, base_code, base_name, prnt_idcd, line_stat, line_levl) VALUES ('N1000WINFO', 'N1000WINFO1202vu', 'vu', '바누아투', '1202', '0', '1');</v>
      </c>
    </row>
    <row r="497" spans="1:9">
      <c r="A497" s="7" t="s">
        <v>1443</v>
      </c>
      <c r="B497" s="6" t="str">
        <f t="shared" si="7"/>
        <v>N1000WINFO1202wf</v>
      </c>
      <c r="C497" s="6" t="s">
        <v>1415</v>
      </c>
      <c r="D497" s="6" t="s">
        <v>1416</v>
      </c>
      <c r="E497" s="8" t="s">
        <v>1444</v>
      </c>
      <c r="F497" s="8" t="s">
        <v>686</v>
      </c>
      <c r="G497" s="8" t="s">
        <v>684</v>
      </c>
      <c r="I497" s="7" t="str">
        <f>IF(B497&lt;&gt;"",CREATE_QUERY($B$1,A$2:G$2,A497:G497),"")</f>
        <v>INSERT INTO base_mast(hqof_idcd, base_idcd, base_code, base_name, prnt_idcd, line_stat, line_levl) VALUES ('N1000WINFO', 'N1000WINFO1202wf', 'wf', '월리스 푸투나', '1202', '0', '1');</v>
      </c>
    </row>
    <row r="498" spans="1:9">
      <c r="A498" s="7" t="s">
        <v>1443</v>
      </c>
      <c r="B498" s="6" t="str">
        <f t="shared" si="7"/>
        <v>N1000WINFO1202ws</v>
      </c>
      <c r="C498" s="6" t="s">
        <v>1417</v>
      </c>
      <c r="D498" s="6" t="s">
        <v>1418</v>
      </c>
      <c r="E498" s="8" t="s">
        <v>1444</v>
      </c>
      <c r="F498" s="8" t="s">
        <v>686</v>
      </c>
      <c r="G498" s="8" t="s">
        <v>684</v>
      </c>
      <c r="I498" s="7" t="str">
        <f>IF(B498&lt;&gt;"",CREATE_QUERY($B$1,A$2:G$2,A498:G498),"")</f>
        <v>INSERT INTO base_mast(hqof_idcd, base_idcd, base_code, base_name, prnt_idcd, line_stat, line_levl) VALUES ('N1000WINFO', 'N1000WINFO1202ws', 'ws', '사모아', '1202', '0', '1');</v>
      </c>
    </row>
    <row r="499" spans="1:9">
      <c r="A499" s="7" t="s">
        <v>1443</v>
      </c>
      <c r="B499" s="6" t="str">
        <f t="shared" si="7"/>
        <v>N1000WINFO1202ye</v>
      </c>
      <c r="C499" s="6" t="s">
        <v>1419</v>
      </c>
      <c r="D499" s="6" t="s">
        <v>1420</v>
      </c>
      <c r="E499" s="8" t="s">
        <v>1444</v>
      </c>
      <c r="F499" s="8" t="s">
        <v>686</v>
      </c>
      <c r="G499" s="8" t="s">
        <v>684</v>
      </c>
      <c r="I499" s="7" t="str">
        <f>IF(B499&lt;&gt;"",CREATE_QUERY($B$1,A$2:G$2,A499:G499),"")</f>
        <v>INSERT INTO base_mast(hqof_idcd, base_idcd, base_code, base_name, prnt_idcd, line_stat, line_levl) VALUES ('N1000WINFO', 'N1000WINFO1202ye', 'ye', '예멘', '1202', '0', '1');</v>
      </c>
    </row>
    <row r="500" spans="1:9">
      <c r="A500" s="7" t="s">
        <v>1443</v>
      </c>
      <c r="B500" s="6" t="str">
        <f t="shared" si="7"/>
        <v>N1000WINFO1202yt</v>
      </c>
      <c r="C500" s="6" t="s">
        <v>1421</v>
      </c>
      <c r="D500" s="6" t="s">
        <v>1422</v>
      </c>
      <c r="E500" s="8" t="s">
        <v>1444</v>
      </c>
      <c r="F500" s="8" t="s">
        <v>686</v>
      </c>
      <c r="G500" s="8" t="s">
        <v>684</v>
      </c>
      <c r="I500" s="7" t="str">
        <f>IF(B500&lt;&gt;"",CREATE_QUERY($B$1,A$2:G$2,A500:G500),"")</f>
        <v>INSERT INTO base_mast(hqof_idcd, base_idcd, base_code, base_name, prnt_idcd, line_stat, line_levl) VALUES ('N1000WINFO', 'N1000WINFO1202yt', 'yt', '마요트', '1202', '0', '1');</v>
      </c>
    </row>
    <row r="501" spans="1:9">
      <c r="A501" s="7" t="s">
        <v>1443</v>
      </c>
      <c r="B501" s="6" t="str">
        <f t="shared" si="7"/>
        <v>N1000WINFO1202yu</v>
      </c>
      <c r="C501" s="6" t="s">
        <v>1423</v>
      </c>
      <c r="D501" s="6" t="s">
        <v>1424</v>
      </c>
      <c r="E501" s="8" t="s">
        <v>1444</v>
      </c>
      <c r="F501" s="8" t="s">
        <v>686</v>
      </c>
      <c r="G501" s="8" t="s">
        <v>684</v>
      </c>
      <c r="I501" s="7" t="str">
        <f>IF(B501&lt;&gt;"",CREATE_QUERY($B$1,A$2:G$2,A501:G501),"")</f>
        <v>INSERT INTO base_mast(hqof_idcd, base_idcd, base_code, base_name, prnt_idcd, line_stat, line_levl) VALUES ('N1000WINFO', 'N1000WINFO1202yu', 'yu', '유고슬라비아', '1202', '0', '1');</v>
      </c>
    </row>
    <row r="502" spans="1:9">
      <c r="A502" s="7" t="s">
        <v>1443</v>
      </c>
      <c r="B502" s="6" t="str">
        <f t="shared" si="7"/>
        <v>N1000WINFO1202za</v>
      </c>
      <c r="C502" s="6" t="s">
        <v>1425</v>
      </c>
      <c r="D502" s="6" t="s">
        <v>1426</v>
      </c>
      <c r="E502" s="8" t="s">
        <v>1444</v>
      </c>
      <c r="F502" s="8" t="s">
        <v>686</v>
      </c>
      <c r="G502" s="8" t="s">
        <v>684</v>
      </c>
      <c r="I502" s="7" t="str">
        <f>IF(B502&lt;&gt;"",CREATE_QUERY($B$1,A$2:G$2,A502:G502),"")</f>
        <v>INSERT INTO base_mast(hqof_idcd, base_idcd, base_code, base_name, prnt_idcd, line_stat, line_levl) VALUES ('N1000WINFO', 'N1000WINFO1202za', 'za', '남아프리카', '1202', '0', '1');</v>
      </c>
    </row>
    <row r="503" spans="1:9">
      <c r="A503" s="7" t="s">
        <v>1443</v>
      </c>
      <c r="B503" s="6" t="str">
        <f t="shared" si="7"/>
        <v>N1000WINFO1202zm</v>
      </c>
      <c r="C503" s="6" t="s">
        <v>1427</v>
      </c>
      <c r="D503" s="6" t="s">
        <v>1428</v>
      </c>
      <c r="E503" s="8" t="s">
        <v>1444</v>
      </c>
      <c r="F503" s="8" t="s">
        <v>686</v>
      </c>
      <c r="G503" s="8" t="s">
        <v>684</v>
      </c>
      <c r="I503" s="7" t="str">
        <f>IF(B503&lt;&gt;"",CREATE_QUERY($B$1,A$2:G$2,A503:G503),"")</f>
        <v>INSERT INTO base_mast(hqof_idcd, base_idcd, base_code, base_name, prnt_idcd, line_stat, line_levl) VALUES ('N1000WINFO', 'N1000WINFO1202zm', 'zm', '잠비아', '1202', '0', '1');</v>
      </c>
    </row>
    <row r="504" spans="1:9">
      <c r="A504" s="7" t="s">
        <v>1443</v>
      </c>
      <c r="B504" s="6" t="str">
        <f t="shared" si="7"/>
        <v>N1000WINFO1202zr</v>
      </c>
      <c r="C504" s="6" t="s">
        <v>1429</v>
      </c>
      <c r="D504" s="6" t="s">
        <v>1430</v>
      </c>
      <c r="E504" s="8" t="s">
        <v>1444</v>
      </c>
      <c r="F504" s="8" t="s">
        <v>686</v>
      </c>
      <c r="G504" s="8" t="s">
        <v>684</v>
      </c>
      <c r="I504" s="7" t="str">
        <f>IF(B504&lt;&gt;"",CREATE_QUERY($B$1,A$2:G$2,A504:G504),"")</f>
        <v>INSERT INTO base_mast(hqof_idcd, base_idcd, base_code, base_name, prnt_idcd, line_stat, line_levl) VALUES ('N1000WINFO', 'N1000WINFO1202zr', 'zr', '자이르', '1202', '0', '1');</v>
      </c>
    </row>
    <row r="505" spans="1:9">
      <c r="A505" s="7" t="s">
        <v>1443</v>
      </c>
      <c r="B505" s="6" t="str">
        <f t="shared" si="7"/>
        <v>N1000WINFO1202zw</v>
      </c>
      <c r="C505" s="6" t="s">
        <v>1431</v>
      </c>
      <c r="D505" s="6" t="s">
        <v>1432</v>
      </c>
      <c r="E505" s="8" t="s">
        <v>1444</v>
      </c>
      <c r="F505" s="8" t="s">
        <v>686</v>
      </c>
      <c r="G505" s="8" t="s">
        <v>684</v>
      </c>
      <c r="I505" s="7" t="str">
        <f>IF(B505&lt;&gt;"",CREATE_QUERY($B$1,A$2:G$2,A505:G505),"")</f>
        <v>INSERT INTO base_mast(hqof_idcd, base_idcd, base_code, base_name, prnt_idcd, line_stat, line_levl) VALUES ('N1000WINFO', 'N1000WINFO1202zw', 'zw', '짐바브웨', '1202', '0', '1');</v>
      </c>
    </row>
    <row r="507" spans="1:9">
      <c r="A507" s="7" t="s">
        <v>1443</v>
      </c>
      <c r="B507" s="6" t="str">
        <f>A507&amp;E507&amp;C507</f>
        <v>N1000WINFO1103A</v>
      </c>
      <c r="C507" s="7" t="s">
        <v>1446</v>
      </c>
      <c r="D507" s="7" t="s">
        <v>1446</v>
      </c>
      <c r="E507" s="8" t="s">
        <v>1445</v>
      </c>
      <c r="F507" s="8" t="s">
        <v>686</v>
      </c>
      <c r="G507" s="8" t="s">
        <v>684</v>
      </c>
      <c r="I507" s="7" t="str">
        <f>IF(B507&lt;&gt;"",CREATE_QUERY($B$1,A$2:G$2,A507:G507),"")</f>
        <v>INSERT INTO base_mast(hqof_idcd, base_idcd, base_code, base_name, prnt_idcd, line_stat, line_levl) VALUES ('N1000WINFO', 'N1000WINFO1103A', 'A', 'A', '1103', '0', '1');</v>
      </c>
    </row>
    <row r="508" spans="1:9">
      <c r="A508" s="7" t="s">
        <v>1443</v>
      </c>
      <c r="B508" s="6" t="str">
        <f>A508&amp;E508&amp;C508</f>
        <v>N1000WINFO1103B</v>
      </c>
      <c r="C508" s="7" t="s">
        <v>752</v>
      </c>
      <c r="D508" s="7" t="s">
        <v>752</v>
      </c>
      <c r="E508" s="8" t="s">
        <v>1445</v>
      </c>
      <c r="F508" s="8" t="s">
        <v>686</v>
      </c>
      <c r="G508" s="8" t="s">
        <v>684</v>
      </c>
      <c r="I508" s="7" t="str">
        <f>IF(B508&lt;&gt;"",CREATE_QUERY($B$1,A$2:G$2,A508:G508),"")</f>
        <v>INSERT INTO base_mast(hqof_idcd, base_idcd, base_code, base_name, prnt_idcd, line_stat, line_levl) VALUES ('N1000WINFO', 'N1000WINFO1103B', 'B', 'B', '1103', '0', '1');</v>
      </c>
    </row>
    <row r="509" spans="1:9">
      <c r="A509" s="7" t="s">
        <v>1443</v>
      </c>
      <c r="B509" s="6" t="str">
        <f>A509&amp;E509&amp;C509</f>
        <v>N1000WINFO1103C</v>
      </c>
      <c r="C509" s="7" t="s">
        <v>1447</v>
      </c>
      <c r="D509" s="7" t="s">
        <v>1447</v>
      </c>
      <c r="E509" s="8" t="s">
        <v>1445</v>
      </c>
      <c r="F509" s="8" t="s">
        <v>686</v>
      </c>
      <c r="G509" s="8" t="s">
        <v>684</v>
      </c>
      <c r="I509" s="7" t="str">
        <f>IF(B509&lt;&gt;"",CREATE_QUERY($B$1,A$2:G$2,A509:G509),"")</f>
        <v>INSERT INTO base_mast(hqof_idcd, base_idcd, base_code, base_name, prnt_idcd, line_stat, line_levl) VALUES ('N1000WINFO', 'N1000WINFO1103C', 'C', 'C', '1103', '0', '1');</v>
      </c>
    </row>
    <row r="510" spans="1:9">
      <c r="A510" s="7" t="s">
        <v>1443</v>
      </c>
      <c r="B510" s="6" t="str">
        <f>A510&amp;E510&amp;C510</f>
        <v>N1000WINFO1103D</v>
      </c>
      <c r="C510" s="7" t="s">
        <v>1448</v>
      </c>
      <c r="D510" s="7" t="s">
        <v>1448</v>
      </c>
      <c r="E510" s="8" t="s">
        <v>1445</v>
      </c>
      <c r="F510" s="8" t="s">
        <v>686</v>
      </c>
      <c r="G510" s="8" t="s">
        <v>684</v>
      </c>
      <c r="I510" s="7" t="str">
        <f>IF(B510&lt;&gt;"",CREATE_QUERY($B$1,A$2:G$2,A510:G510),"")</f>
        <v>INSERT INTO base_mast(hqof_idcd, base_idcd, base_code, base_name, prnt_idcd, line_stat, line_levl) VALUES ('N1000WINFO', 'N1000WINFO1103D', 'D', 'D', '1103', '0', '1');</v>
      </c>
    </row>
    <row r="511" spans="1:9">
      <c r="A511" s="7" t="s">
        <v>1443</v>
      </c>
      <c r="B511" s="6" t="str">
        <f>A511&amp;E511&amp;C511</f>
        <v>N1000WINFO1103E</v>
      </c>
      <c r="C511" s="7" t="s">
        <v>735</v>
      </c>
      <c r="D511" s="7" t="s">
        <v>735</v>
      </c>
      <c r="E511" s="8" t="s">
        <v>1445</v>
      </c>
      <c r="F511" s="8" t="s">
        <v>686</v>
      </c>
      <c r="G511" s="8" t="s">
        <v>684</v>
      </c>
      <c r="I511" s="7" t="str">
        <f>IF(B511&lt;&gt;"",CREATE_QUERY($B$1,A$2:G$2,A511:G511),"")</f>
        <v>INSERT INTO base_mast(hqof_idcd, base_idcd, base_code, base_name, prnt_idcd, line_stat, line_levl) VALUES ('N1000WINFO', 'N1000WINFO1103E', 'E', 'E', '1103', '0', '1');</v>
      </c>
    </row>
    <row r="513" spans="1:9">
      <c r="A513" s="7" t="s">
        <v>1443</v>
      </c>
      <c r="B513" s="6" t="str">
        <f t="shared" ref="B513:B521" si="8">A513&amp;E513&amp;C513</f>
        <v>N1000WINFO11021001</v>
      </c>
      <c r="C513" s="8" t="s">
        <v>1460</v>
      </c>
      <c r="D513" s="7" t="s">
        <v>1451</v>
      </c>
      <c r="E513" s="8" t="s">
        <v>1469</v>
      </c>
      <c r="F513" s="8" t="s">
        <v>686</v>
      </c>
      <c r="G513" s="8" t="s">
        <v>684</v>
      </c>
      <c r="I513" s="7" t="str">
        <f>IF(B513&lt;&gt;"",CREATE_QUERY($B$1,A$2:G$2,A513:G513),"")</f>
        <v>INSERT INTO base_mast(hqof_idcd, base_idcd, base_code, base_name, prnt_idcd, line_stat, line_levl) VALUES ('N1000WINFO', 'N1000WINFO11021001', '1001', '원재료', '1102', '0', '1');</v>
      </c>
    </row>
    <row r="514" spans="1:9">
      <c r="A514" s="7" t="s">
        <v>1443</v>
      </c>
      <c r="B514" s="6" t="str">
        <f t="shared" si="8"/>
        <v>N1000WINFO11021002</v>
      </c>
      <c r="C514" s="8" t="s">
        <v>1461</v>
      </c>
      <c r="D514" s="7" t="s">
        <v>1452</v>
      </c>
      <c r="E514" s="8" t="s">
        <v>1469</v>
      </c>
      <c r="F514" s="8" t="s">
        <v>686</v>
      </c>
      <c r="G514" s="8" t="s">
        <v>684</v>
      </c>
      <c r="I514" s="7" t="str">
        <f>IF(B514&lt;&gt;"",CREATE_QUERY($B$1,A$2:G$2,A514:G514),"")</f>
        <v>INSERT INTO base_mast(hqof_idcd, base_idcd, base_code, base_name, prnt_idcd, line_stat, line_levl) VALUES ('N1000WINFO', 'N1000WINFO11021002', '1002', '부재료', '1102', '0', '1');</v>
      </c>
    </row>
    <row r="515" spans="1:9">
      <c r="A515" s="7" t="s">
        <v>1443</v>
      </c>
      <c r="B515" s="6" t="str">
        <f t="shared" si="8"/>
        <v>N1000WINFO11021003</v>
      </c>
      <c r="C515" s="8" t="s">
        <v>1462</v>
      </c>
      <c r="D515" s="7" t="s">
        <v>1453</v>
      </c>
      <c r="E515" s="8" t="s">
        <v>1469</v>
      </c>
      <c r="F515" s="8" t="s">
        <v>686</v>
      </c>
      <c r="G515" s="8" t="s">
        <v>684</v>
      </c>
      <c r="I515" s="7" t="str">
        <f>IF(B515&lt;&gt;"",CREATE_QUERY($B$1,A$2:G$2,A515:G515),"")</f>
        <v>INSERT INTO base_mast(hqof_idcd, base_idcd, base_code, base_name, prnt_idcd, line_stat, line_levl) VALUES ('N1000WINFO', 'N1000WINFO11021003', '1003', '소모품', '1102', '0', '1');</v>
      </c>
    </row>
    <row r="516" spans="1:9">
      <c r="A516" s="7" t="s">
        <v>1443</v>
      </c>
      <c r="B516" s="6" t="str">
        <f t="shared" si="8"/>
        <v>N1000WINFO11022001</v>
      </c>
      <c r="C516" s="8" t="s">
        <v>1463</v>
      </c>
      <c r="D516" s="7" t="s">
        <v>1454</v>
      </c>
      <c r="E516" s="8" t="s">
        <v>1469</v>
      </c>
      <c r="F516" s="8" t="s">
        <v>686</v>
      </c>
      <c r="G516" s="8" t="s">
        <v>684</v>
      </c>
      <c r="I516" s="7" t="str">
        <f>IF(B516&lt;&gt;"",CREATE_QUERY($B$1,A$2:G$2,A516:G516),"")</f>
        <v>INSERT INTO base_mast(hqof_idcd, base_idcd, base_code, base_name, prnt_idcd, line_stat, line_levl) VALUES ('N1000WINFO', 'N1000WINFO11022001', '2001', '제공품', '1102', '0', '1');</v>
      </c>
    </row>
    <row r="517" spans="1:9">
      <c r="A517" s="7" t="s">
        <v>1443</v>
      </c>
      <c r="B517" s="6" t="str">
        <f t="shared" si="8"/>
        <v>N1000WINFO11022002</v>
      </c>
      <c r="C517" s="8" t="s">
        <v>1464</v>
      </c>
      <c r="D517" s="7" t="s">
        <v>1458</v>
      </c>
      <c r="E517" s="8" t="s">
        <v>1469</v>
      </c>
      <c r="F517" s="8" t="s">
        <v>686</v>
      </c>
      <c r="G517" s="8" t="s">
        <v>684</v>
      </c>
      <c r="I517" s="7" t="str">
        <f>IF(B517&lt;&gt;"",CREATE_QUERY($B$1,A$2:G$2,A517:G517),"")</f>
        <v>INSERT INTO base_mast(hqof_idcd, base_idcd, base_code, base_name, prnt_idcd, line_stat, line_levl) VALUES ('N1000WINFO', 'N1000WINFO11022002', '2002', '반제품', '1102', '0', '1');</v>
      </c>
    </row>
    <row r="518" spans="1:9">
      <c r="A518" s="7" t="s">
        <v>1443</v>
      </c>
      <c r="B518" s="6" t="str">
        <f t="shared" si="8"/>
        <v>N1000WINFO11023000</v>
      </c>
      <c r="C518" s="8" t="s">
        <v>1465</v>
      </c>
      <c r="D518" s="7" t="s">
        <v>1455</v>
      </c>
      <c r="E518" s="8" t="s">
        <v>1469</v>
      </c>
      <c r="F518" s="8" t="s">
        <v>686</v>
      </c>
      <c r="G518" s="8" t="s">
        <v>684</v>
      </c>
      <c r="I518" s="7" t="str">
        <f>IF(B518&lt;&gt;"",CREATE_QUERY($B$1,A$2:G$2,A518:G518),"")</f>
        <v>INSERT INTO base_mast(hqof_idcd, base_idcd, base_code, base_name, prnt_idcd, line_stat, line_levl) VALUES ('N1000WINFO', 'N1000WINFO11023000', '3000', '제품', '1102', '0', '1');</v>
      </c>
    </row>
    <row r="519" spans="1:9">
      <c r="A519" s="7" t="s">
        <v>1443</v>
      </c>
      <c r="B519" s="6" t="str">
        <f t="shared" si="8"/>
        <v>N1000WINFO11024000</v>
      </c>
      <c r="C519" s="8" t="s">
        <v>1466</v>
      </c>
      <c r="D519" s="7" t="s">
        <v>1456</v>
      </c>
      <c r="E519" s="8" t="s">
        <v>1469</v>
      </c>
      <c r="F519" s="8" t="s">
        <v>686</v>
      </c>
      <c r="G519" s="8" t="s">
        <v>684</v>
      </c>
      <c r="I519" s="7" t="str">
        <f>IF(B519&lt;&gt;"",CREATE_QUERY($B$1,A$2:G$2,A519:G519),"")</f>
        <v>INSERT INTO base_mast(hqof_idcd, base_idcd, base_code, base_name, prnt_idcd, line_stat, line_levl) VALUES ('N1000WINFO', 'N1000WINFO11024000', '4000', '상품', '1102', '0', '1');</v>
      </c>
    </row>
    <row r="520" spans="1:9">
      <c r="A520" s="7" t="s">
        <v>1443</v>
      </c>
      <c r="B520" s="6" t="str">
        <f t="shared" si="8"/>
        <v>N1000WINFO11025000</v>
      </c>
      <c r="C520" s="8" t="s">
        <v>1467</v>
      </c>
      <c r="D520" s="7" t="s">
        <v>1457</v>
      </c>
      <c r="E520" s="8" t="s">
        <v>1469</v>
      </c>
      <c r="F520" s="8" t="s">
        <v>686</v>
      </c>
      <c r="G520" s="8" t="s">
        <v>684</v>
      </c>
      <c r="I520" s="7" t="str">
        <f>IF(B520&lt;&gt;"",CREATE_QUERY($B$1,A$2:G$2,A520:G520),"")</f>
        <v>INSERT INTO base_mast(hqof_idcd, base_idcd, base_code, base_name, prnt_idcd, line_stat, line_levl) VALUES ('N1000WINFO', 'N1000WINFO11025000', '5000', '집기비품', '1102', '0', '1');</v>
      </c>
    </row>
    <row r="521" spans="1:9">
      <c r="A521" s="7" t="s">
        <v>1443</v>
      </c>
      <c r="B521" s="6" t="str">
        <f t="shared" si="8"/>
        <v>N1000WINFO11026000</v>
      </c>
      <c r="C521" s="8" t="s">
        <v>1468</v>
      </c>
      <c r="D521" s="7" t="s">
        <v>1459</v>
      </c>
      <c r="E521" s="8" t="s">
        <v>1469</v>
      </c>
      <c r="F521" s="8" t="s">
        <v>686</v>
      </c>
      <c r="G521" s="8" t="s">
        <v>684</v>
      </c>
      <c r="I521" s="7" t="str">
        <f>IF(B521&lt;&gt;"",CREATE_QUERY($B$1,A$2:G$2,A521:G521),"")</f>
        <v>INSERT INTO base_mast(hqof_idcd, base_idcd, base_code, base_name, prnt_idcd, line_stat, line_levl) VALUES ('N1000WINFO', 'N1000WINFO11026000', '6000', '공구기구', '1102', '0', '1');</v>
      </c>
    </row>
    <row r="523" spans="1:9">
      <c r="A523" s="7" t="s">
        <v>1443</v>
      </c>
      <c r="B523" s="6" t="str">
        <f t="shared" ref="B523:B529" si="9">A523&amp;E523&amp;C523</f>
        <v>N1000WINFO310101</v>
      </c>
      <c r="C523" s="9" t="s">
        <v>2319</v>
      </c>
      <c r="D523" s="14" t="s">
        <v>2320</v>
      </c>
      <c r="E523" s="8" t="s">
        <v>673</v>
      </c>
      <c r="F523" s="8" t="s">
        <v>686</v>
      </c>
      <c r="G523" s="8" t="s">
        <v>684</v>
      </c>
      <c r="I523" s="7" t="str">
        <f>IF(B523&lt;&gt;"",CREATE_QUERY($B$1,A$2:G$2,A523:G523),"")</f>
        <v>INSERT INTO base_mast(hqof_idcd, base_idcd, base_code, base_name, prnt_idcd, line_stat, line_levl) VALUES ('N1000WINFO', 'N1000WINFO310101', '01', 'ABS', '3101', '0', '1');</v>
      </c>
    </row>
    <row r="524" spans="1:9">
      <c r="A524" s="7" t="s">
        <v>1443</v>
      </c>
      <c r="B524" s="6" t="str">
        <f t="shared" si="9"/>
        <v>N1000WINFO310102</v>
      </c>
      <c r="C524" s="9" t="s">
        <v>2321</v>
      </c>
      <c r="D524" s="14" t="s">
        <v>2322</v>
      </c>
      <c r="E524" s="8" t="s">
        <v>673</v>
      </c>
      <c r="F524" s="8" t="s">
        <v>686</v>
      </c>
      <c r="G524" s="8" t="s">
        <v>684</v>
      </c>
      <c r="I524" s="7" t="str">
        <f>IF(B524&lt;&gt;"",CREATE_QUERY($B$1,A$2:G$2,A524:G524),"")</f>
        <v>INSERT INTO base_mast(hqof_idcd, base_idcd, base_code, base_name, prnt_idcd, line_stat, line_levl) VALUES ('N1000WINFO', 'N1000WINFO310102', '02', 'AS', '3101', '0', '1');</v>
      </c>
    </row>
    <row r="525" spans="1:9">
      <c r="A525" s="7" t="s">
        <v>1443</v>
      </c>
      <c r="B525" s="6" t="str">
        <f t="shared" si="9"/>
        <v>N1000WINFO310103</v>
      </c>
      <c r="C525" s="9" t="s">
        <v>2323</v>
      </c>
      <c r="D525" s="15" t="s">
        <v>2324</v>
      </c>
      <c r="E525" s="8" t="s">
        <v>673</v>
      </c>
      <c r="F525" s="8" t="s">
        <v>686</v>
      </c>
      <c r="G525" s="8" t="s">
        <v>684</v>
      </c>
      <c r="I525" s="7" t="str">
        <f>IF(B525&lt;&gt;"",CREATE_QUERY($B$1,A$2:G$2,A525:G525),"")</f>
        <v>INSERT INTO base_mast(hqof_idcd, base_idcd, base_code, base_name, prnt_idcd, line_stat, line_levl) VALUES ('N1000WINFO', 'N1000WINFO310103', '03', 'ASA', '3101', '0', '1');</v>
      </c>
    </row>
    <row r="526" spans="1:9">
      <c r="A526" s="7" t="s">
        <v>1443</v>
      </c>
      <c r="B526" s="6" t="str">
        <f t="shared" si="9"/>
        <v>N1000WINFO310104</v>
      </c>
      <c r="C526" s="9" t="s">
        <v>2325</v>
      </c>
      <c r="D526" s="15" t="s">
        <v>2326</v>
      </c>
      <c r="E526" s="8" t="s">
        <v>673</v>
      </c>
      <c r="F526" s="8" t="s">
        <v>686</v>
      </c>
      <c r="G526" s="8" t="s">
        <v>684</v>
      </c>
      <c r="I526" s="7" t="str">
        <f>IF(B526&lt;&gt;"",CREATE_QUERY($B$1,A$2:G$2,A526:G526),"")</f>
        <v>INSERT INTO base_mast(hqof_idcd, base_idcd, base_code, base_name, prnt_idcd, line_stat, line_levl) VALUES ('N1000WINFO', 'N1000WINFO310104', '04', 'PC', '3101', '0', '1');</v>
      </c>
    </row>
    <row r="527" spans="1:9">
      <c r="A527" s="7" t="s">
        <v>1443</v>
      </c>
      <c r="B527" s="6" t="str">
        <f t="shared" si="9"/>
        <v>N1000WINFO310105</v>
      </c>
      <c r="C527" s="9" t="s">
        <v>2327</v>
      </c>
      <c r="D527" s="14" t="s">
        <v>2328</v>
      </c>
      <c r="E527" s="8" t="s">
        <v>673</v>
      </c>
      <c r="F527" s="8" t="s">
        <v>686</v>
      </c>
      <c r="G527" s="8" t="s">
        <v>684</v>
      </c>
      <c r="I527" s="7" t="str">
        <f>IF(B527&lt;&gt;"",CREATE_QUERY($B$1,A$2:G$2,A527:G527),"")</f>
        <v>INSERT INTO base_mast(hqof_idcd, base_idcd, base_code, base_name, prnt_idcd, line_stat, line_levl) VALUES ('N1000WINFO', 'N1000WINFO310105', '05', 'PCTA', '3101', '0', '1');</v>
      </c>
    </row>
    <row r="528" spans="1:9">
      <c r="A528" s="7" t="s">
        <v>1443</v>
      </c>
      <c r="B528" s="6" t="str">
        <f t="shared" si="9"/>
        <v>N1000WINFO310106</v>
      </c>
      <c r="C528" s="9" t="s">
        <v>2329</v>
      </c>
      <c r="D528" s="16" t="s">
        <v>2330</v>
      </c>
      <c r="E528" s="8" t="s">
        <v>673</v>
      </c>
      <c r="F528" s="8" t="s">
        <v>686</v>
      </c>
      <c r="G528" s="8" t="s">
        <v>684</v>
      </c>
      <c r="I528" s="7" t="str">
        <f>IF(B528&lt;&gt;"",CREATE_QUERY($B$1,A$2:G$2,A528:G528),"")</f>
        <v>INSERT INTO base_mast(hqof_idcd, base_idcd, base_code, base_name, prnt_idcd, line_stat, line_levl) VALUES ('N1000WINFO', 'N1000WINFO310106', '06', 'PE', '3101', '0', '1');</v>
      </c>
    </row>
    <row r="529" spans="1:9">
      <c r="A529" s="7" t="s">
        <v>1443</v>
      </c>
      <c r="B529" s="6" t="str">
        <f t="shared" si="9"/>
        <v>N1000WINFO310107</v>
      </c>
      <c r="C529" s="9" t="s">
        <v>2331</v>
      </c>
      <c r="D529" s="14" t="s">
        <v>2332</v>
      </c>
      <c r="E529" s="8" t="s">
        <v>673</v>
      </c>
      <c r="F529" s="8" t="s">
        <v>686</v>
      </c>
      <c r="G529" s="8" t="s">
        <v>684</v>
      </c>
      <c r="I529" s="7" t="str">
        <f>IF(B529&lt;&gt;"",CREATE_QUERY($B$1,A$2:G$2,A529:G529),"")</f>
        <v>INSERT INTO base_mast(hqof_idcd, base_idcd, base_code, base_name, prnt_idcd, line_stat, line_levl) VALUES ('N1000WINFO', 'N1000WINFO310107', '07', 'PETG', '3101', '0', '1');</v>
      </c>
    </row>
    <row r="530" spans="1:9">
      <c r="A530" s="7" t="s">
        <v>1443</v>
      </c>
      <c r="B530" s="6" t="str">
        <f t="shared" ref="B530:B535" si="10">A530&amp;E530&amp;C530</f>
        <v>N1000WINFO310108</v>
      </c>
      <c r="C530" s="9" t="s">
        <v>2333</v>
      </c>
      <c r="D530" s="15" t="s">
        <v>2334</v>
      </c>
      <c r="E530" s="8" t="s">
        <v>673</v>
      </c>
      <c r="F530" s="8" t="s">
        <v>686</v>
      </c>
      <c r="G530" s="8" t="s">
        <v>684</v>
      </c>
      <c r="I530" s="7" t="str">
        <f>IF(B530&lt;&gt;"",CREATE_QUERY($B$1,A$2:G$2,A530:G530),"")</f>
        <v>INSERT INTO base_mast(hqof_idcd, base_idcd, base_code, base_name, prnt_idcd, line_stat, line_levl) VALUES ('N1000WINFO', 'N1000WINFO310108', '08', 'PMMA', '3101', '0', '1');</v>
      </c>
    </row>
    <row r="531" spans="1:9">
      <c r="A531" s="7" t="s">
        <v>1443</v>
      </c>
      <c r="B531" s="6" t="str">
        <f t="shared" si="10"/>
        <v>N1000WINFO310109</v>
      </c>
      <c r="C531" s="9" t="s">
        <v>2335</v>
      </c>
      <c r="D531" s="17" t="s">
        <v>2336</v>
      </c>
      <c r="E531" s="8" t="s">
        <v>673</v>
      </c>
      <c r="F531" s="8" t="s">
        <v>686</v>
      </c>
      <c r="G531" s="8" t="s">
        <v>684</v>
      </c>
      <c r="I531" s="7" t="str">
        <f>IF(B531&lt;&gt;"",CREATE_QUERY($B$1,A$2:G$2,A531:G531),"")</f>
        <v>INSERT INTO base_mast(hqof_idcd, base_idcd, base_code, base_name, prnt_idcd, line_stat, line_levl) VALUES ('N1000WINFO', 'N1000WINFO310109', '09', 'POM', '3101', '0', '1');</v>
      </c>
    </row>
    <row r="532" spans="1:9">
      <c r="A532" s="7" t="s">
        <v>1443</v>
      </c>
      <c r="B532" s="6" t="str">
        <f t="shared" si="10"/>
        <v>N1000WINFO310110</v>
      </c>
      <c r="C532" s="9" t="s">
        <v>2337</v>
      </c>
      <c r="D532" s="14" t="s">
        <v>2338</v>
      </c>
      <c r="E532" s="8" t="s">
        <v>673</v>
      </c>
      <c r="F532" s="8" t="s">
        <v>686</v>
      </c>
      <c r="G532" s="8" t="s">
        <v>684</v>
      </c>
      <c r="I532" s="7" t="str">
        <f>IF(B532&lt;&gt;"",CREATE_QUERY($B$1,A$2:G$2,A532:G532),"")</f>
        <v>INSERT INTO base_mast(hqof_idcd, base_idcd, base_code, base_name, prnt_idcd, line_stat, line_levl) VALUES ('N1000WINFO', 'N1000WINFO310110', '10', 'PP', '3101', '0', '1');</v>
      </c>
    </row>
    <row r="533" spans="1:9">
      <c r="A533" s="7" t="s">
        <v>1443</v>
      </c>
      <c r="B533" s="6" t="str">
        <f t="shared" si="10"/>
        <v>N1000WINFO310111</v>
      </c>
      <c r="C533" s="9" t="s">
        <v>2339</v>
      </c>
      <c r="D533" s="14" t="s">
        <v>2340</v>
      </c>
      <c r="E533" s="8" t="s">
        <v>673</v>
      </c>
      <c r="F533" s="8" t="s">
        <v>686</v>
      </c>
      <c r="G533" s="8" t="s">
        <v>684</v>
      </c>
      <c r="I533" s="7" t="str">
        <f>IF(B533&lt;&gt;"",CREATE_QUERY($B$1,A$2:G$2,A533:G533),"")</f>
        <v>INSERT INTO base_mast(hqof_idcd, base_idcd, base_code, base_name, prnt_idcd, line_stat, line_levl) VALUES ('N1000WINFO', 'N1000WINFO310111', '11', 'PTEG', '3101', '0', '1');</v>
      </c>
    </row>
    <row r="534" spans="1:9">
      <c r="A534" s="7" t="s">
        <v>1443</v>
      </c>
      <c r="B534" s="6" t="str">
        <f t="shared" si="10"/>
        <v>N1000WINFO310112</v>
      </c>
      <c r="C534" s="9" t="s">
        <v>2341</v>
      </c>
      <c r="D534" s="15" t="s">
        <v>2342</v>
      </c>
      <c r="E534" s="8" t="s">
        <v>673</v>
      </c>
      <c r="F534" s="8" t="s">
        <v>686</v>
      </c>
      <c r="G534" s="8" t="s">
        <v>684</v>
      </c>
      <c r="I534" s="7" t="str">
        <f>IF(B534&lt;&gt;"",CREATE_QUERY($B$1,A$2:G$2,A534:G534),"")</f>
        <v>INSERT INTO base_mast(hqof_idcd, base_idcd, base_code, base_name, prnt_idcd, line_stat, line_levl) VALUES ('N1000WINFO', 'N1000WINFO310112', '12', 'SURLYN', '3101', '0', '1');</v>
      </c>
    </row>
    <row r="535" spans="1:9">
      <c r="A535" s="7" t="s">
        <v>1443</v>
      </c>
      <c r="B535" s="6" t="str">
        <f t="shared" si="10"/>
        <v>N1000WINFO310113</v>
      </c>
      <c r="C535" s="9" t="s">
        <v>2343</v>
      </c>
      <c r="D535" s="18" t="s">
        <v>2344</v>
      </c>
      <c r="E535" s="8" t="s">
        <v>673</v>
      </c>
      <c r="F535" s="8" t="s">
        <v>686</v>
      </c>
      <c r="G535" s="8" t="s">
        <v>684</v>
      </c>
      <c r="I535" s="7" t="str">
        <f>IF(B535&lt;&gt;"",CREATE_QUERY($B$1,A$2:G$2,A535:G535),"")</f>
        <v>INSERT INTO base_mast(hqof_idcd, base_idcd, base_code, base_name, prnt_idcd, line_stat, line_levl) VALUES ('N1000WINFO', 'N1000WINFO310113', '13', 'UT', '3101', '0', '1');</v>
      </c>
    </row>
    <row r="537" spans="1:9">
      <c r="A537" s="7" t="s">
        <v>1443</v>
      </c>
      <c r="B537" s="6" t="str">
        <f t="shared" ref="B537:B600" si="11">A537&amp;E537&amp;C537</f>
        <v>N1000WINFO3104001</v>
      </c>
      <c r="C537" s="8" t="s">
        <v>1895</v>
      </c>
      <c r="D537" s="10" t="s">
        <v>1470</v>
      </c>
      <c r="E537" s="8" t="s">
        <v>1894</v>
      </c>
      <c r="F537" s="8" t="s">
        <v>686</v>
      </c>
      <c r="G537" s="8" t="s">
        <v>684</v>
      </c>
      <c r="I537" s="7" t="str">
        <f>IF(B537&lt;&gt;"",CREATE_QUERY($B$1,A$2:G$2,A537:G537),"")</f>
        <v>INSERT INTO base_mast(hqof_idcd, base_idcd, base_code, base_name, prnt_idcd, line_stat, line_levl) VALUES ('N1000WINFO', 'N1000WINFO3104001', '001', 'AE백색', '3104', '0', '1');</v>
      </c>
    </row>
    <row r="538" spans="1:9">
      <c r="A538" s="7" t="s">
        <v>1443</v>
      </c>
      <c r="B538" s="6" t="str">
        <f t="shared" si="11"/>
        <v>N1000WINFO3104002</v>
      </c>
      <c r="C538" s="8" t="s">
        <v>1896</v>
      </c>
      <c r="D538" s="10" t="s">
        <v>1471</v>
      </c>
      <c r="E538" s="8" t="s">
        <v>1894</v>
      </c>
      <c r="F538" s="8" t="s">
        <v>686</v>
      </c>
      <c r="G538" s="8" t="s">
        <v>684</v>
      </c>
      <c r="I538" s="7" t="str">
        <f>IF(B538&lt;&gt;"",CREATE_QUERY($B$1,A$2:G$2,A538:G538),"")</f>
        <v>INSERT INTO base_mast(hqof_idcd, base_idcd, base_code, base_name, prnt_idcd, line_stat, line_levl) VALUES ('N1000WINFO', 'N1000WINFO3104002', '002', 'AP백색', '3104', '0', '1');</v>
      </c>
    </row>
    <row r="539" spans="1:9">
      <c r="A539" s="7" t="s">
        <v>1443</v>
      </c>
      <c r="B539" s="6" t="str">
        <f t="shared" si="11"/>
        <v>N1000WINFO3104003</v>
      </c>
      <c r="C539" s="8" t="s">
        <v>1897</v>
      </c>
      <c r="D539" s="10" t="s">
        <v>1472</v>
      </c>
      <c r="E539" s="8" t="s">
        <v>1894</v>
      </c>
      <c r="F539" s="8" t="s">
        <v>686</v>
      </c>
      <c r="G539" s="8" t="s">
        <v>684</v>
      </c>
      <c r="I539" s="7" t="str">
        <f>IF(B539&lt;&gt;"",CREATE_QUERY($B$1,A$2:G$2,A539:G539),"")</f>
        <v>INSERT INTO base_mast(hqof_idcd, base_idcd, base_code, base_name, prnt_idcd, line_stat, line_levl) VALUES ('N1000WINFO', 'N1000WINFO3104003', '003', 'EDP백색', '3104', '0', '1');</v>
      </c>
    </row>
    <row r="540" spans="1:9">
      <c r="A540" s="7" t="s">
        <v>1443</v>
      </c>
      <c r="B540" s="6" t="str">
        <f t="shared" si="11"/>
        <v>N1000WINFO3104004</v>
      </c>
      <c r="C540" s="8" t="s">
        <v>1898</v>
      </c>
      <c r="D540" s="10" t="s">
        <v>1473</v>
      </c>
      <c r="E540" s="8" t="s">
        <v>1894</v>
      </c>
      <c r="F540" s="8" t="s">
        <v>686</v>
      </c>
      <c r="G540" s="8" t="s">
        <v>684</v>
      </c>
      <c r="I540" s="7" t="str">
        <f>IF(B540&lt;&gt;"",CREATE_QUERY($B$1,A$2:G$2,A540:G540),"")</f>
        <v>INSERT INTO base_mast(hqof_idcd, base_idcd, base_code, base_name, prnt_idcd, line_stat, line_levl) VALUES ('N1000WINFO', 'N1000WINFO3104004', '004', 'H/S', '3104', '0', '1');</v>
      </c>
    </row>
    <row r="541" spans="1:9">
      <c r="A541" s="7" t="s">
        <v>1443</v>
      </c>
      <c r="B541" s="6" t="str">
        <f t="shared" si="11"/>
        <v>N1000WINFO3104005</v>
      </c>
      <c r="C541" s="8" t="s">
        <v>1899</v>
      </c>
      <c r="D541" s="10" t="s">
        <v>1474</v>
      </c>
      <c r="E541" s="8" t="s">
        <v>1894</v>
      </c>
      <c r="F541" s="8" t="s">
        <v>686</v>
      </c>
      <c r="G541" s="8" t="s">
        <v>684</v>
      </c>
      <c r="I541" s="7" t="str">
        <f>IF(B541&lt;&gt;"",CREATE_QUERY($B$1,A$2:G$2,A541:G541),"")</f>
        <v>INSERT INTO base_mast(hqof_idcd, base_idcd, base_code, base_name, prnt_idcd, line_stat, line_levl) VALUES ('N1000WINFO', 'N1000WINFO3104005', '005', 'MB노랑색반투명', '3104', '0', '1');</v>
      </c>
    </row>
    <row r="542" spans="1:9">
      <c r="A542" s="7" t="s">
        <v>1443</v>
      </c>
      <c r="B542" s="6" t="str">
        <f t="shared" si="11"/>
        <v>N1000WINFO3104006</v>
      </c>
      <c r="C542" s="8" t="s">
        <v>1900</v>
      </c>
      <c r="D542" s="10" t="s">
        <v>1475</v>
      </c>
      <c r="E542" s="8" t="s">
        <v>1894</v>
      </c>
      <c r="F542" s="8" t="s">
        <v>686</v>
      </c>
      <c r="G542" s="8" t="s">
        <v>684</v>
      </c>
      <c r="I542" s="7" t="str">
        <f>IF(B542&lt;&gt;"",CREATE_QUERY($B$1,A$2:G$2,A542:G542),"")</f>
        <v>INSERT INTO base_mast(hqof_idcd, base_idcd, base_code, base_name, prnt_idcd, line_stat, line_levl) VALUES ('N1000WINFO', 'N1000WINFO3104006', '006', 'PCTA 검정색투명', '3104', '0', '1');</v>
      </c>
    </row>
    <row r="543" spans="1:9">
      <c r="A543" s="7" t="s">
        <v>1443</v>
      </c>
      <c r="B543" s="6" t="str">
        <f t="shared" si="11"/>
        <v>N1000WINFO3104007</v>
      </c>
      <c r="C543" s="8" t="s">
        <v>1901</v>
      </c>
      <c r="D543" s="10" t="s">
        <v>1476</v>
      </c>
      <c r="E543" s="8" t="s">
        <v>1894</v>
      </c>
      <c r="F543" s="8" t="s">
        <v>686</v>
      </c>
      <c r="G543" s="8" t="s">
        <v>684</v>
      </c>
      <c r="I543" s="7" t="str">
        <f>IF(B543&lt;&gt;"",CREATE_QUERY($B$1,A$2:G$2,A543:G543),"")</f>
        <v>INSERT INTO base_mast(hqof_idcd, base_idcd, base_code, base_name, prnt_idcd, line_stat, line_levl) VALUES ('N1000WINFO', 'N1000WINFO3104007', '007', 'PCTA 투명', '3104', '0', '1');</v>
      </c>
    </row>
    <row r="544" spans="1:9">
      <c r="A544" s="7" t="s">
        <v>1443</v>
      </c>
      <c r="B544" s="6" t="str">
        <f t="shared" si="11"/>
        <v>N1000WINFO3104008</v>
      </c>
      <c r="C544" s="8" t="s">
        <v>1902</v>
      </c>
      <c r="D544" s="10" t="s">
        <v>1477</v>
      </c>
      <c r="E544" s="8" t="s">
        <v>1894</v>
      </c>
      <c r="F544" s="8" t="s">
        <v>686</v>
      </c>
      <c r="G544" s="8" t="s">
        <v>684</v>
      </c>
      <c r="I544" s="7" t="str">
        <f>IF(B544&lt;&gt;"",CREATE_QUERY($B$1,A$2:G$2,A544:G544),"")</f>
        <v>INSERT INTO base_mast(hqof_idcd, base_idcd, base_code, base_name, prnt_idcd, line_stat, line_levl) VALUES ('N1000WINFO', 'N1000WINFO3104008', '008', 'PCTA검정색', '3104', '0', '1');</v>
      </c>
    </row>
    <row r="545" spans="1:9">
      <c r="A545" s="7" t="s">
        <v>1443</v>
      </c>
      <c r="B545" s="6" t="str">
        <f t="shared" si="11"/>
        <v>N1000WINFO3104009</v>
      </c>
      <c r="C545" s="8" t="s">
        <v>1903</v>
      </c>
      <c r="D545" s="10" t="s">
        <v>1478</v>
      </c>
      <c r="E545" s="8" t="s">
        <v>1894</v>
      </c>
      <c r="F545" s="8" t="s">
        <v>686</v>
      </c>
      <c r="G545" s="8" t="s">
        <v>684</v>
      </c>
      <c r="I545" s="7" t="str">
        <f>IF(B545&lt;&gt;"",CREATE_QUERY($B$1,A$2:G$2,A545:G545),"")</f>
        <v>INSERT INTO base_mast(hqof_idcd, base_idcd, base_code, base_name, prnt_idcd, line_stat, line_levl) VALUES ('N1000WINFO', 'N1000WINFO3104009', '009', 'PCTA백색', '3104', '0', '1');</v>
      </c>
    </row>
    <row r="546" spans="1:9">
      <c r="A546" s="7" t="s">
        <v>1443</v>
      </c>
      <c r="B546" s="6" t="str">
        <f t="shared" si="11"/>
        <v>N1000WINFO3104010</v>
      </c>
      <c r="C546" s="8" t="s">
        <v>1904</v>
      </c>
      <c r="D546" s="10" t="s">
        <v>1479</v>
      </c>
      <c r="E546" s="8" t="s">
        <v>1894</v>
      </c>
      <c r="F546" s="8" t="s">
        <v>686</v>
      </c>
      <c r="G546" s="8" t="s">
        <v>684</v>
      </c>
      <c r="I546" s="7" t="str">
        <f>IF(B546&lt;&gt;"",CREATE_QUERY($B$1,A$2:G$2,A546:G546),"")</f>
        <v>INSERT INTO base_mast(hqof_idcd, base_idcd, base_code, base_name, prnt_idcd, line_stat, line_levl) VALUES ('N1000WINFO', 'N1000WINFO3104010', '010', 'PKG백색', '3104', '0', '1');</v>
      </c>
    </row>
    <row r="547" spans="1:9">
      <c r="A547" s="7" t="s">
        <v>1443</v>
      </c>
      <c r="B547" s="6" t="str">
        <f t="shared" si="11"/>
        <v>N1000WINFO3104011</v>
      </c>
      <c r="C547" s="8" t="s">
        <v>1905</v>
      </c>
      <c r="D547" s="10" t="s">
        <v>1480</v>
      </c>
      <c r="E547" s="8" t="s">
        <v>1894</v>
      </c>
      <c r="F547" s="8" t="s">
        <v>686</v>
      </c>
      <c r="G547" s="8" t="s">
        <v>684</v>
      </c>
      <c r="I547" s="7" t="str">
        <f>IF(B547&lt;&gt;"",CREATE_QUERY($B$1,A$2:G$2,A547:G547),"")</f>
        <v>INSERT INTO base_mast(hqof_idcd, base_idcd, base_code, base_name, prnt_idcd, line_stat, line_levl) VALUES ('N1000WINFO', 'N1000WINFO3104011', '011', 'PP백색', '3104', '0', '1');</v>
      </c>
    </row>
    <row r="548" spans="1:9">
      <c r="A548" s="7" t="s">
        <v>1443</v>
      </c>
      <c r="B548" s="6" t="str">
        <f t="shared" si="11"/>
        <v>N1000WINFO3104012</v>
      </c>
      <c r="C548" s="8" t="s">
        <v>1906</v>
      </c>
      <c r="D548" s="10" t="s">
        <v>1481</v>
      </c>
      <c r="E548" s="8" t="s">
        <v>1894</v>
      </c>
      <c r="F548" s="8" t="s">
        <v>686</v>
      </c>
      <c r="G548" s="8" t="s">
        <v>684</v>
      </c>
      <c r="I548" s="7" t="str">
        <f>IF(B548&lt;&gt;"",CREATE_QUERY($B$1,A$2:G$2,A548:G548),"")</f>
        <v>INSERT INTO base_mast(hqof_idcd, base_idcd, base_code, base_name, prnt_idcd, line_stat, line_levl) VALUES ('N1000WINFO', 'N1000WINFO3104012', '012', 'RD아이스', '3104', '0', '1');</v>
      </c>
    </row>
    <row r="549" spans="1:9">
      <c r="A549" s="7" t="s">
        <v>1443</v>
      </c>
      <c r="B549" s="6" t="str">
        <f t="shared" si="11"/>
        <v>N1000WINFO3104013</v>
      </c>
      <c r="C549" s="8" t="s">
        <v>1907</v>
      </c>
      <c r="D549" s="10" t="s">
        <v>1482</v>
      </c>
      <c r="E549" s="8" t="s">
        <v>1894</v>
      </c>
      <c r="F549" s="8" t="s">
        <v>686</v>
      </c>
      <c r="G549" s="8" t="s">
        <v>684</v>
      </c>
      <c r="I549" s="7" t="str">
        <f>IF(B549&lt;&gt;"",CREATE_QUERY($B$1,A$2:G$2,A549:G549),"")</f>
        <v>INSERT INTO base_mast(hqof_idcd, base_idcd, base_code, base_name, prnt_idcd, line_stat, line_levl) VALUES ('N1000WINFO', 'N1000WINFO3104013', '013', '갈반투명', '3104', '0', '1');</v>
      </c>
    </row>
    <row r="550" spans="1:9">
      <c r="A550" s="7" t="s">
        <v>1443</v>
      </c>
      <c r="B550" s="6" t="str">
        <f t="shared" si="11"/>
        <v>N1000WINFO3104014</v>
      </c>
      <c r="C550" s="8" t="s">
        <v>1908</v>
      </c>
      <c r="D550" s="10" t="s">
        <v>1483</v>
      </c>
      <c r="E550" s="8" t="s">
        <v>1894</v>
      </c>
      <c r="F550" s="8" t="s">
        <v>686</v>
      </c>
      <c r="G550" s="8" t="s">
        <v>684</v>
      </c>
      <c r="I550" s="7" t="str">
        <f>IF(B550&lt;&gt;"",CREATE_QUERY($B$1,A$2:G$2,A550:G550),"")</f>
        <v>INSERT INTO base_mast(hqof_idcd, base_idcd, base_code, base_name, prnt_idcd, line_stat, line_levl) VALUES ('N1000WINFO', 'N1000WINFO3104014', '014', '갈색', '3104', '0', '1');</v>
      </c>
    </row>
    <row r="551" spans="1:9">
      <c r="A551" s="7" t="s">
        <v>1443</v>
      </c>
      <c r="B551" s="6" t="str">
        <f t="shared" si="11"/>
        <v>N1000WINFO3104015</v>
      </c>
      <c r="C551" s="8" t="s">
        <v>1909</v>
      </c>
      <c r="D551" s="10" t="s">
        <v>1484</v>
      </c>
      <c r="E551" s="8" t="s">
        <v>1894</v>
      </c>
      <c r="F551" s="8" t="s">
        <v>686</v>
      </c>
      <c r="G551" s="8" t="s">
        <v>684</v>
      </c>
      <c r="I551" s="7" t="str">
        <f>IF(B551&lt;&gt;"",CREATE_QUERY($B$1,A$2:G$2,A551:G551),"")</f>
        <v>INSERT INTO base_mast(hqof_idcd, base_idcd, base_code, base_name, prnt_idcd, line_stat, line_levl) VALUES ('N1000WINFO', 'N1000WINFO3104015', '015', '갈색무광증착', '3104', '0', '1');</v>
      </c>
    </row>
    <row r="552" spans="1:9">
      <c r="A552" s="7" t="s">
        <v>1443</v>
      </c>
      <c r="B552" s="6" t="str">
        <f t="shared" si="11"/>
        <v>N1000WINFO3104016</v>
      </c>
      <c r="C552" s="8" t="s">
        <v>1910</v>
      </c>
      <c r="D552" s="10" t="s">
        <v>1485</v>
      </c>
      <c r="E552" s="8" t="s">
        <v>1894</v>
      </c>
      <c r="F552" s="8" t="s">
        <v>686</v>
      </c>
      <c r="G552" s="8" t="s">
        <v>684</v>
      </c>
      <c r="I552" s="7" t="str">
        <f>IF(B552&lt;&gt;"",CREATE_QUERY($B$1,A$2:G$2,A552:G552),"")</f>
        <v>INSERT INTO base_mast(hqof_idcd, base_idcd, base_code, base_name, prnt_idcd, line_stat, line_levl) VALUES ('N1000WINFO', 'N1000WINFO3104016', '016', '갈색반투명', '3104', '0', '1');</v>
      </c>
    </row>
    <row r="553" spans="1:9">
      <c r="A553" s="7" t="s">
        <v>1443</v>
      </c>
      <c r="B553" s="6" t="str">
        <f t="shared" si="11"/>
        <v>N1000WINFO3104017</v>
      </c>
      <c r="C553" s="8" t="s">
        <v>1911</v>
      </c>
      <c r="D553" s="10" t="s">
        <v>1486</v>
      </c>
      <c r="E553" s="8" t="s">
        <v>1894</v>
      </c>
      <c r="F553" s="8" t="s">
        <v>686</v>
      </c>
      <c r="G553" s="8" t="s">
        <v>684</v>
      </c>
      <c r="I553" s="7" t="str">
        <f>IF(B553&lt;&gt;"",CREATE_QUERY($B$1,A$2:G$2,A553:G553),"")</f>
        <v>INSERT INTO base_mast(hqof_idcd, base_idcd, base_code, base_name, prnt_idcd, line_stat, line_levl) VALUES ('N1000WINFO', 'N1000WINFO3104017', '017', '갈색투명', '3104', '0', '1');</v>
      </c>
    </row>
    <row r="554" spans="1:9">
      <c r="A554" s="7" t="s">
        <v>1443</v>
      </c>
      <c r="B554" s="6" t="str">
        <f t="shared" si="11"/>
        <v>N1000WINFO3104018</v>
      </c>
      <c r="C554" s="8" t="s">
        <v>1912</v>
      </c>
      <c r="D554" s="10" t="s">
        <v>1487</v>
      </c>
      <c r="E554" s="8" t="s">
        <v>1894</v>
      </c>
      <c r="F554" s="8" t="s">
        <v>686</v>
      </c>
      <c r="G554" s="8" t="s">
        <v>684</v>
      </c>
      <c r="I554" s="7" t="str">
        <f>IF(B554&lt;&gt;"",CREATE_QUERY($B$1,A$2:G$2,A554:G554),"")</f>
        <v>INSERT INTO base_mast(hqof_idcd, base_idcd, base_code, base_name, prnt_idcd, line_stat, line_levl) VALUES ('N1000WINFO', 'N1000WINFO3104018', '018', '검정', '3104', '0', '1');</v>
      </c>
    </row>
    <row r="555" spans="1:9">
      <c r="A555" s="7" t="s">
        <v>1443</v>
      </c>
      <c r="B555" s="6" t="str">
        <f t="shared" si="11"/>
        <v>N1000WINFO3104019</v>
      </c>
      <c r="C555" s="8" t="s">
        <v>1913</v>
      </c>
      <c r="D555" s="10" t="s">
        <v>1488</v>
      </c>
      <c r="E555" s="8" t="s">
        <v>1894</v>
      </c>
      <c r="F555" s="8" t="s">
        <v>686</v>
      </c>
      <c r="G555" s="8" t="s">
        <v>684</v>
      </c>
      <c r="I555" s="7" t="str">
        <f>IF(B555&lt;&gt;"",CREATE_QUERY($B$1,A$2:G$2,A555:G555),"")</f>
        <v>INSERT INTO base_mast(hqof_idcd, base_idcd, base_code, base_name, prnt_idcd, line_stat, line_levl) VALUES ('N1000WINFO', 'N1000WINFO3104019', '019', '검정반투명', '3104', '0', '1');</v>
      </c>
    </row>
    <row r="556" spans="1:9">
      <c r="A556" s="7" t="s">
        <v>1443</v>
      </c>
      <c r="B556" s="6" t="str">
        <f t="shared" si="11"/>
        <v>N1000WINFO3104020</v>
      </c>
      <c r="C556" s="8" t="s">
        <v>1914</v>
      </c>
      <c r="D556" s="10" t="s">
        <v>1489</v>
      </c>
      <c r="E556" s="8" t="s">
        <v>1894</v>
      </c>
      <c r="F556" s="8" t="s">
        <v>686</v>
      </c>
      <c r="G556" s="8" t="s">
        <v>684</v>
      </c>
      <c r="I556" s="7" t="str">
        <f>IF(B556&lt;&gt;"",CREATE_QUERY($B$1,A$2:G$2,A556:G556),"")</f>
        <v>INSERT INTO base_mast(hqof_idcd, base_idcd, base_code, base_name, prnt_idcd, line_stat, line_levl) VALUES ('N1000WINFO', 'N1000WINFO3104020', '020', '검정불투명', '3104', '0', '1');</v>
      </c>
    </row>
    <row r="557" spans="1:9">
      <c r="A557" s="7" t="s">
        <v>1443</v>
      </c>
      <c r="B557" s="6" t="str">
        <f t="shared" si="11"/>
        <v>N1000WINFO3104021</v>
      </c>
      <c r="C557" s="8" t="s">
        <v>1915</v>
      </c>
      <c r="D557" s="10" t="s">
        <v>1490</v>
      </c>
      <c r="E557" s="8" t="s">
        <v>1894</v>
      </c>
      <c r="F557" s="8" t="s">
        <v>686</v>
      </c>
      <c r="G557" s="8" t="s">
        <v>684</v>
      </c>
      <c r="I557" s="7" t="str">
        <f>IF(B557&lt;&gt;"",CREATE_QUERY($B$1,A$2:G$2,A557:G557),"")</f>
        <v>INSERT INTO base_mast(hqof_idcd, base_idcd, base_code, base_name, prnt_idcd, line_stat, line_levl) VALUES ('N1000WINFO', 'N1000WINFO3104021', '021', '검정색', '3104', '0', '1');</v>
      </c>
    </row>
    <row r="558" spans="1:9">
      <c r="A558" s="7" t="s">
        <v>1443</v>
      </c>
      <c r="B558" s="6" t="str">
        <f t="shared" si="11"/>
        <v>N1000WINFO3104022</v>
      </c>
      <c r="C558" s="8" t="s">
        <v>1916</v>
      </c>
      <c r="D558" s="10" t="s">
        <v>1491</v>
      </c>
      <c r="E558" s="8" t="s">
        <v>1894</v>
      </c>
      <c r="F558" s="8" t="s">
        <v>686</v>
      </c>
      <c r="G558" s="8" t="s">
        <v>684</v>
      </c>
      <c r="I558" s="7" t="str">
        <f>IF(B558&lt;&gt;"",CREATE_QUERY($B$1,A$2:G$2,A558:G558),"")</f>
        <v>INSERT INTO base_mast(hqof_idcd, base_idcd, base_code, base_name, prnt_idcd, line_stat, line_levl) VALUES ('N1000WINFO', 'N1000WINFO3104022', '022', '검정색반투명', '3104', '0', '1');</v>
      </c>
    </row>
    <row r="559" spans="1:9">
      <c r="A559" s="7" t="s">
        <v>1443</v>
      </c>
      <c r="B559" s="6" t="str">
        <f t="shared" si="11"/>
        <v>N1000WINFO3104023</v>
      </c>
      <c r="C559" s="8" t="s">
        <v>1917</v>
      </c>
      <c r="D559" s="10" t="s">
        <v>1492</v>
      </c>
      <c r="E559" s="8" t="s">
        <v>1894</v>
      </c>
      <c r="F559" s="8" t="s">
        <v>686</v>
      </c>
      <c r="G559" s="8" t="s">
        <v>684</v>
      </c>
      <c r="I559" s="7" t="str">
        <f>IF(B559&lt;&gt;"",CREATE_QUERY($B$1,A$2:G$2,A559:G559),"")</f>
        <v>INSERT INTO base_mast(hqof_idcd, base_idcd, base_code, base_name, prnt_idcd, line_stat, line_levl) VALUES ('N1000WINFO', 'N1000WINFO3104023', '023', '검정색불투명', '3104', '0', '1');</v>
      </c>
    </row>
    <row r="560" spans="1:9">
      <c r="A560" s="7" t="s">
        <v>1443</v>
      </c>
      <c r="B560" s="6" t="str">
        <f t="shared" si="11"/>
        <v>N1000WINFO3104024</v>
      </c>
      <c r="C560" s="8" t="s">
        <v>1918</v>
      </c>
      <c r="D560" s="10" t="s">
        <v>1493</v>
      </c>
      <c r="E560" s="8" t="s">
        <v>1894</v>
      </c>
      <c r="F560" s="8" t="s">
        <v>686</v>
      </c>
      <c r="G560" s="8" t="s">
        <v>684</v>
      </c>
      <c r="I560" s="7" t="str">
        <f>IF(B560&lt;&gt;"",CREATE_QUERY($B$1,A$2:G$2,A560:G560),"")</f>
        <v>INSERT INTO base_mast(hqof_idcd, base_idcd, base_code, base_name, prnt_idcd, line_stat, line_levl) VALUES ('N1000WINFO', 'N1000WINFO3104024', '024', '검정색투명', '3104', '0', '1');</v>
      </c>
    </row>
    <row r="561" spans="1:9">
      <c r="A561" s="7" t="s">
        <v>1443</v>
      </c>
      <c r="B561" s="6" t="str">
        <f t="shared" si="11"/>
        <v>N1000WINFO3104025</v>
      </c>
      <c r="C561" s="8" t="s">
        <v>1919</v>
      </c>
      <c r="D561" s="10" t="s">
        <v>1494</v>
      </c>
      <c r="E561" s="8" t="s">
        <v>1894</v>
      </c>
      <c r="F561" s="8" t="s">
        <v>686</v>
      </c>
      <c r="G561" s="8" t="s">
        <v>684</v>
      </c>
      <c r="I561" s="7" t="str">
        <f>IF(B561&lt;&gt;"",CREATE_QUERY($B$1,A$2:G$2,A561:G561),"")</f>
        <v>INSERT INTO base_mast(hqof_idcd, base_idcd, base_code, base_name, prnt_idcd, line_stat, line_levl) VALUES ('N1000WINFO', 'N1000WINFO3104025', '025', '검정색투명NO.3', '3104', '0', '1');</v>
      </c>
    </row>
    <row r="562" spans="1:9">
      <c r="A562" s="7" t="s">
        <v>1443</v>
      </c>
      <c r="B562" s="6" t="str">
        <f t="shared" si="11"/>
        <v>N1000WINFO3104026</v>
      </c>
      <c r="C562" s="8" t="s">
        <v>1920</v>
      </c>
      <c r="D562" s="10" t="s">
        <v>1495</v>
      </c>
      <c r="E562" s="8" t="s">
        <v>1894</v>
      </c>
      <c r="F562" s="8" t="s">
        <v>686</v>
      </c>
      <c r="G562" s="8" t="s">
        <v>684</v>
      </c>
      <c r="I562" s="7" t="str">
        <f>IF(B562&lt;&gt;"",CREATE_QUERY($B$1,A$2:G$2,A562:G562),"")</f>
        <v>INSERT INTO base_mast(hqof_idcd, base_idcd, base_code, base_name, prnt_idcd, line_stat, line_levl) VALUES ('N1000WINFO', 'N1000WINFO3104026', '026', '검정유광증착', '3104', '0', '1');</v>
      </c>
    </row>
    <row r="563" spans="1:9">
      <c r="A563" s="7" t="s">
        <v>1443</v>
      </c>
      <c r="B563" s="6" t="str">
        <f t="shared" si="11"/>
        <v>N1000WINFO3104027</v>
      </c>
      <c r="C563" s="8" t="s">
        <v>1921</v>
      </c>
      <c r="D563" s="10" t="s">
        <v>1496</v>
      </c>
      <c r="E563" s="8" t="s">
        <v>1894</v>
      </c>
      <c r="F563" s="8" t="s">
        <v>686</v>
      </c>
      <c r="G563" s="8" t="s">
        <v>684</v>
      </c>
      <c r="I563" s="7" t="str">
        <f>IF(B563&lt;&gt;"",CREATE_QUERY($B$1,A$2:G$2,A563:G563),"")</f>
        <v>INSERT INTO base_mast(hqof_idcd, base_idcd, base_code, base_name, prnt_idcd, line_stat, line_levl) VALUES ('N1000WINFO', 'N1000WINFO3104027', '027', '겨자색', '3104', '0', '1');</v>
      </c>
    </row>
    <row r="564" spans="1:9">
      <c r="A564" s="7" t="s">
        <v>1443</v>
      </c>
      <c r="B564" s="6" t="str">
        <f t="shared" si="11"/>
        <v>N1000WINFO3104028</v>
      </c>
      <c r="C564" s="8" t="s">
        <v>1922</v>
      </c>
      <c r="D564" s="10" t="s">
        <v>1497</v>
      </c>
      <c r="E564" s="8" t="s">
        <v>1894</v>
      </c>
      <c r="F564" s="8" t="s">
        <v>686</v>
      </c>
      <c r="G564" s="8" t="s">
        <v>684</v>
      </c>
      <c r="I564" s="7" t="str">
        <f>IF(B564&lt;&gt;"",CREATE_QUERY($B$1,A$2:G$2,A564:G564),"")</f>
        <v>INSERT INTO base_mast(hqof_idcd, base_idcd, base_code, base_name, prnt_idcd, line_stat, line_levl) VALUES ('N1000WINFO', 'N1000WINFO3104028', '028', '고동색', '3104', '0', '1');</v>
      </c>
    </row>
    <row r="565" spans="1:9">
      <c r="A565" s="7" t="s">
        <v>1443</v>
      </c>
      <c r="B565" s="6" t="str">
        <f t="shared" si="11"/>
        <v>N1000WINFO3104029</v>
      </c>
      <c r="C565" s="8" t="s">
        <v>1923</v>
      </c>
      <c r="D565" s="10" t="s">
        <v>1498</v>
      </c>
      <c r="E565" s="8" t="s">
        <v>1894</v>
      </c>
      <c r="F565" s="8" t="s">
        <v>686</v>
      </c>
      <c r="G565" s="8" t="s">
        <v>684</v>
      </c>
      <c r="I565" s="7" t="str">
        <f>IF(B565&lt;&gt;"",CREATE_QUERY($B$1,A$2:G$2,A565:G565),"")</f>
        <v>INSERT INTO base_mast(hqof_idcd, base_idcd, base_code, base_name, prnt_idcd, line_stat, line_levl) VALUES ('N1000WINFO', 'N1000WINFO3104029', '029', '고투명', '3104', '0', '1');</v>
      </c>
    </row>
    <row r="566" spans="1:9">
      <c r="A566" s="7" t="s">
        <v>1443</v>
      </c>
      <c r="B566" s="6" t="str">
        <f t="shared" si="11"/>
        <v>N1000WINFO3104030</v>
      </c>
      <c r="C566" s="8" t="s">
        <v>1924</v>
      </c>
      <c r="D566" s="10" t="s">
        <v>1499</v>
      </c>
      <c r="E566" s="8" t="s">
        <v>1894</v>
      </c>
      <c r="F566" s="8" t="s">
        <v>686</v>
      </c>
      <c r="G566" s="8" t="s">
        <v>684</v>
      </c>
      <c r="I566" s="7" t="str">
        <f>IF(B566&lt;&gt;"",CREATE_QUERY($B$1,A$2:G$2,A566:G566),"")</f>
        <v>INSERT INTO base_mast(hqof_idcd, base_idcd, base_code, base_name, prnt_idcd, line_stat, line_levl) VALUES ('N1000WINFO', 'N1000WINFO3104030', '030', '골드', '3104', '0', '1');</v>
      </c>
    </row>
    <row r="567" spans="1:9">
      <c r="A567" s="7" t="s">
        <v>1443</v>
      </c>
      <c r="B567" s="6" t="str">
        <f t="shared" si="11"/>
        <v>N1000WINFO3104031</v>
      </c>
      <c r="C567" s="8" t="s">
        <v>1925</v>
      </c>
      <c r="D567" s="10" t="s">
        <v>1500</v>
      </c>
      <c r="E567" s="8" t="s">
        <v>1894</v>
      </c>
      <c r="F567" s="8" t="s">
        <v>686</v>
      </c>
      <c r="G567" s="8" t="s">
        <v>684</v>
      </c>
      <c r="I567" s="7" t="str">
        <f>IF(B567&lt;&gt;"",CREATE_QUERY($B$1,A$2:G$2,A567:G567),"")</f>
        <v>INSERT INTO base_mast(hqof_idcd, base_idcd, base_code, base_name, prnt_idcd, line_stat, line_levl) VALUES ('N1000WINFO', 'N1000WINFO3104031', '031', '골드무광증착', '3104', '0', '1');</v>
      </c>
    </row>
    <row r="568" spans="1:9">
      <c r="A568" s="7" t="s">
        <v>1443</v>
      </c>
      <c r="B568" s="6" t="str">
        <f t="shared" si="11"/>
        <v>N1000WINFO3104032</v>
      </c>
      <c r="C568" s="8" t="s">
        <v>1926</v>
      </c>
      <c r="D568" s="10" t="s">
        <v>1501</v>
      </c>
      <c r="E568" s="8" t="s">
        <v>1894</v>
      </c>
      <c r="F568" s="8" t="s">
        <v>686</v>
      </c>
      <c r="G568" s="8" t="s">
        <v>684</v>
      </c>
      <c r="I568" s="7" t="str">
        <f>IF(B568&lt;&gt;"",CREATE_QUERY($B$1,A$2:G$2,A568:G568),"")</f>
        <v>INSERT INTO base_mast(hqof_idcd, base_idcd, base_code, base_name, prnt_idcd, line_stat, line_levl) VALUES ('N1000WINFO', 'N1000WINFO3104032', '032', '골드반무광증착', '3104', '0', '1');</v>
      </c>
    </row>
    <row r="569" spans="1:9">
      <c r="A569" s="7" t="s">
        <v>1443</v>
      </c>
      <c r="B569" s="6" t="str">
        <f t="shared" si="11"/>
        <v>N1000WINFO3104033</v>
      </c>
      <c r="C569" s="8" t="s">
        <v>1927</v>
      </c>
      <c r="D569" s="10" t="s">
        <v>1502</v>
      </c>
      <c r="E569" s="8" t="s">
        <v>1894</v>
      </c>
      <c r="F569" s="8" t="s">
        <v>686</v>
      </c>
      <c r="G569" s="8" t="s">
        <v>684</v>
      </c>
      <c r="I569" s="7" t="str">
        <f>IF(B569&lt;&gt;"",CREATE_QUERY($B$1,A$2:G$2,A569:G569),"")</f>
        <v>INSERT INTO base_mast(hqof_idcd, base_idcd, base_code, base_name, prnt_idcd, line_stat, line_levl) VALUES ('N1000WINFO', 'N1000WINFO3104033', '033', '골드반투명', '3104', '0', '1');</v>
      </c>
    </row>
    <row r="570" spans="1:9">
      <c r="A570" s="7" t="s">
        <v>1443</v>
      </c>
      <c r="B570" s="6" t="str">
        <f t="shared" si="11"/>
        <v>N1000WINFO3104034</v>
      </c>
      <c r="C570" s="8" t="s">
        <v>1928</v>
      </c>
      <c r="D570" s="10" t="s">
        <v>1503</v>
      </c>
      <c r="E570" s="8" t="s">
        <v>1894</v>
      </c>
      <c r="F570" s="8" t="s">
        <v>686</v>
      </c>
      <c r="G570" s="8" t="s">
        <v>684</v>
      </c>
      <c r="I570" s="7" t="str">
        <f>IF(B570&lt;&gt;"",CREATE_QUERY($B$1,A$2:G$2,A570:G570),"")</f>
        <v>INSERT INTO base_mast(hqof_idcd, base_idcd, base_code, base_name, prnt_idcd, line_stat, line_levl) VALUES ('N1000WINFO', 'N1000WINFO3104034', '034', '골드아이보리', '3104', '0', '1');</v>
      </c>
    </row>
    <row r="571" spans="1:9">
      <c r="A571" s="7" t="s">
        <v>1443</v>
      </c>
      <c r="B571" s="6" t="str">
        <f t="shared" si="11"/>
        <v>N1000WINFO3104035</v>
      </c>
      <c r="C571" s="8" t="s">
        <v>1929</v>
      </c>
      <c r="D571" s="10" t="s">
        <v>1504</v>
      </c>
      <c r="E571" s="8" t="s">
        <v>1894</v>
      </c>
      <c r="F571" s="8" t="s">
        <v>686</v>
      </c>
      <c r="G571" s="8" t="s">
        <v>684</v>
      </c>
      <c r="I571" s="7" t="str">
        <f>IF(B571&lt;&gt;"",CREATE_QUERY($B$1,A$2:G$2,A571:G571),"")</f>
        <v>INSERT INTO base_mast(hqof_idcd, base_idcd, base_code, base_name, prnt_idcd, line_stat, line_levl) VALUES ('N1000WINFO', 'N1000WINFO3104035', '035', '골드유광', '3104', '0', '1');</v>
      </c>
    </row>
    <row r="572" spans="1:9">
      <c r="A572" s="7" t="s">
        <v>1443</v>
      </c>
      <c r="B572" s="6" t="str">
        <f t="shared" si="11"/>
        <v>N1000WINFO3104036</v>
      </c>
      <c r="C572" s="8" t="s">
        <v>1930</v>
      </c>
      <c r="D572" s="10" t="s">
        <v>1505</v>
      </c>
      <c r="E572" s="8" t="s">
        <v>1894</v>
      </c>
      <c r="F572" s="8" t="s">
        <v>686</v>
      </c>
      <c r="G572" s="8" t="s">
        <v>684</v>
      </c>
      <c r="I572" s="7" t="str">
        <f>IF(B572&lt;&gt;"",CREATE_QUERY($B$1,A$2:G$2,A572:G572),"")</f>
        <v>INSERT INTO base_mast(hqof_idcd, base_idcd, base_code, base_name, prnt_idcd, line_stat, line_levl) VALUES ('N1000WINFO', 'N1000WINFO3104036', '036', '골드유광증착', '3104', '0', '1');</v>
      </c>
    </row>
    <row r="573" spans="1:9">
      <c r="A573" s="7" t="s">
        <v>1443</v>
      </c>
      <c r="B573" s="6" t="str">
        <f t="shared" si="11"/>
        <v>N1000WINFO3104037</v>
      </c>
      <c r="C573" s="8" t="s">
        <v>1931</v>
      </c>
      <c r="D573" s="10" t="s">
        <v>1506</v>
      </c>
      <c r="E573" s="8" t="s">
        <v>1894</v>
      </c>
      <c r="F573" s="8" t="s">
        <v>686</v>
      </c>
      <c r="G573" s="8" t="s">
        <v>684</v>
      </c>
      <c r="I573" s="7" t="str">
        <f>IF(B573&lt;&gt;"",CREATE_QUERY($B$1,A$2:G$2,A573:G573),"")</f>
        <v>INSERT INTO base_mast(hqof_idcd, base_idcd, base_code, base_name, prnt_idcd, line_stat, line_levl) VALUES ('N1000WINFO', 'N1000WINFO3104037', '037', '골드투명', '3104', '0', '1');</v>
      </c>
    </row>
    <row r="574" spans="1:9">
      <c r="A574" s="7" t="s">
        <v>1443</v>
      </c>
      <c r="B574" s="6" t="str">
        <f t="shared" si="11"/>
        <v>N1000WINFO3104038</v>
      </c>
      <c r="C574" s="8" t="s">
        <v>1932</v>
      </c>
      <c r="D574" s="10" t="s">
        <v>1507</v>
      </c>
      <c r="E574" s="8" t="s">
        <v>1894</v>
      </c>
      <c r="F574" s="8" t="s">
        <v>686</v>
      </c>
      <c r="G574" s="8" t="s">
        <v>684</v>
      </c>
      <c r="I574" s="7" t="str">
        <f>IF(B574&lt;&gt;"",CREATE_QUERY($B$1,A$2:G$2,A574:G574),"")</f>
        <v>INSERT INTO base_mast(hqof_idcd, base_idcd, base_code, base_name, prnt_idcd, line_stat, line_levl) VALUES ('N1000WINFO', 'N1000WINFO3104038', '038', '골드펄', '3104', '0', '1');</v>
      </c>
    </row>
    <row r="575" spans="1:9">
      <c r="A575" s="7" t="s">
        <v>1443</v>
      </c>
      <c r="B575" s="6" t="str">
        <f t="shared" si="11"/>
        <v>N1000WINFO3104039</v>
      </c>
      <c r="C575" s="8" t="s">
        <v>1933</v>
      </c>
      <c r="D575" s="10" t="s">
        <v>1508</v>
      </c>
      <c r="E575" s="8" t="s">
        <v>1894</v>
      </c>
      <c r="F575" s="8" t="s">
        <v>686</v>
      </c>
      <c r="G575" s="8" t="s">
        <v>684</v>
      </c>
      <c r="I575" s="7" t="str">
        <f>IF(B575&lt;&gt;"",CREATE_QUERY($B$1,A$2:G$2,A575:G575),"")</f>
        <v>INSERT INTO base_mast(hqof_idcd, base_idcd, base_code, base_name, prnt_idcd, line_stat, line_levl) VALUES ('N1000WINFO', 'N1000WINFO3104039', '039', '골드펄#2', '3104', '0', '1');</v>
      </c>
    </row>
    <row r="576" spans="1:9">
      <c r="A576" s="7" t="s">
        <v>1443</v>
      </c>
      <c r="B576" s="6" t="str">
        <f t="shared" si="11"/>
        <v>N1000WINFO3104040</v>
      </c>
      <c r="C576" s="8" t="s">
        <v>1934</v>
      </c>
      <c r="D576" s="10" t="s">
        <v>1509</v>
      </c>
      <c r="E576" s="8" t="s">
        <v>1894</v>
      </c>
      <c r="F576" s="8" t="s">
        <v>686</v>
      </c>
      <c r="G576" s="8" t="s">
        <v>684</v>
      </c>
      <c r="I576" s="7" t="str">
        <f>IF(B576&lt;&gt;"",CREATE_QUERY($B$1,A$2:G$2,A576:G576),"")</f>
        <v>INSERT INTO base_mast(hqof_idcd, base_idcd, base_code, base_name, prnt_idcd, line_stat, line_levl) VALUES ('N1000WINFO', 'N1000WINFO3104040', '040', '골드펄검정색', '3104', '0', '1');</v>
      </c>
    </row>
    <row r="577" spans="1:9">
      <c r="A577" s="7" t="s">
        <v>1443</v>
      </c>
      <c r="B577" s="6" t="str">
        <f t="shared" si="11"/>
        <v>N1000WINFO3104041</v>
      </c>
      <c r="C577" s="8" t="s">
        <v>1935</v>
      </c>
      <c r="D577" s="10" t="s">
        <v>1510</v>
      </c>
      <c r="E577" s="8" t="s">
        <v>1894</v>
      </c>
      <c r="F577" s="8" t="s">
        <v>686</v>
      </c>
      <c r="G577" s="8" t="s">
        <v>684</v>
      </c>
      <c r="I577" s="7" t="str">
        <f>IF(B577&lt;&gt;"",CREATE_QUERY($B$1,A$2:G$2,A577:G577),"")</f>
        <v>INSERT INTO base_mast(hqof_idcd, base_idcd, base_code, base_name, prnt_idcd, line_stat, line_levl) VALUES ('N1000WINFO', 'N1000WINFO3104041', '041', '골드펄반투명', '3104', '0', '1');</v>
      </c>
    </row>
    <row r="578" spans="1:9">
      <c r="A578" s="7" t="s">
        <v>1443</v>
      </c>
      <c r="B578" s="6" t="str">
        <f t="shared" si="11"/>
        <v>N1000WINFO3104042</v>
      </c>
      <c r="C578" s="8" t="s">
        <v>1936</v>
      </c>
      <c r="D578" s="10" t="s">
        <v>1511</v>
      </c>
      <c r="E578" s="8" t="s">
        <v>1894</v>
      </c>
      <c r="F578" s="8" t="s">
        <v>686</v>
      </c>
      <c r="G578" s="8" t="s">
        <v>684</v>
      </c>
      <c r="I578" s="7" t="str">
        <f>IF(B578&lt;&gt;"",CREATE_QUERY($B$1,A$2:G$2,A578:G578),"")</f>
        <v>INSERT INTO base_mast(hqof_idcd, base_idcd, base_code, base_name, prnt_idcd, line_stat, line_levl) VALUES ('N1000WINFO', 'N1000WINFO3104042', '042', '골드펄투명', '3104', '0', '1');</v>
      </c>
    </row>
    <row r="579" spans="1:9">
      <c r="A579" s="7" t="s">
        <v>1443</v>
      </c>
      <c r="B579" s="6" t="str">
        <f t="shared" si="11"/>
        <v>N1000WINFO3104043</v>
      </c>
      <c r="C579" s="8" t="s">
        <v>1937</v>
      </c>
      <c r="D579" s="10" t="s">
        <v>1512</v>
      </c>
      <c r="E579" s="8" t="s">
        <v>1894</v>
      </c>
      <c r="F579" s="8" t="s">
        <v>686</v>
      </c>
      <c r="G579" s="8" t="s">
        <v>684</v>
      </c>
      <c r="I579" s="7" t="str">
        <f>IF(B579&lt;&gt;"",CREATE_QUERY($B$1,A$2:G$2,A579:G579),"")</f>
        <v>INSERT INTO base_mast(hqof_idcd, base_idcd, base_code, base_name, prnt_idcd, line_stat, line_levl) VALUES ('N1000WINFO', 'N1000WINFO3104043', '043', '국방색투명', '3104', '0', '1');</v>
      </c>
    </row>
    <row r="580" spans="1:9">
      <c r="A580" s="7" t="s">
        <v>1443</v>
      </c>
      <c r="B580" s="6" t="str">
        <f t="shared" si="11"/>
        <v>N1000WINFO3104044</v>
      </c>
      <c r="C580" s="8" t="s">
        <v>1938</v>
      </c>
      <c r="D580" s="10" t="s">
        <v>1513</v>
      </c>
      <c r="E580" s="8" t="s">
        <v>1894</v>
      </c>
      <c r="F580" s="8" t="s">
        <v>686</v>
      </c>
      <c r="G580" s="8" t="s">
        <v>684</v>
      </c>
      <c r="I580" s="7" t="str">
        <f>IF(B580&lt;&gt;"",CREATE_QUERY($B$1,A$2:G$2,A580:G580),"")</f>
        <v>INSERT INTO base_mast(hqof_idcd, base_idcd, base_code, base_name, prnt_idcd, line_stat, line_levl) VALUES ('N1000WINFO', 'N1000WINFO3104044', '044', '군청색반투명', '3104', '0', '1');</v>
      </c>
    </row>
    <row r="581" spans="1:9">
      <c r="A581" s="7" t="s">
        <v>1443</v>
      </c>
      <c r="B581" s="6" t="str">
        <f t="shared" si="11"/>
        <v>N1000WINFO3104045</v>
      </c>
      <c r="C581" s="8" t="s">
        <v>1939</v>
      </c>
      <c r="D581" s="10" t="s">
        <v>1514</v>
      </c>
      <c r="E581" s="8" t="s">
        <v>1894</v>
      </c>
      <c r="F581" s="8" t="s">
        <v>686</v>
      </c>
      <c r="G581" s="8" t="s">
        <v>684</v>
      </c>
      <c r="I581" s="7" t="str">
        <f>IF(B581&lt;&gt;"",CREATE_QUERY($B$1,A$2:G$2,A581:G581),"")</f>
        <v>INSERT INTO base_mast(hqof_idcd, base_idcd, base_code, base_name, prnt_idcd, line_stat, line_levl) VALUES ('N1000WINFO', 'N1000WINFO3104045', '045', '군청색', '3104', '0', '1');</v>
      </c>
    </row>
    <row r="582" spans="1:9">
      <c r="A582" s="7" t="s">
        <v>1443</v>
      </c>
      <c r="B582" s="6" t="str">
        <f t="shared" si="11"/>
        <v>N1000WINFO3104046</v>
      </c>
      <c r="C582" s="8" t="s">
        <v>1940</v>
      </c>
      <c r="D582" s="10" t="s">
        <v>1515</v>
      </c>
      <c r="E582" s="8" t="s">
        <v>1894</v>
      </c>
      <c r="F582" s="8" t="s">
        <v>686</v>
      </c>
      <c r="G582" s="8" t="s">
        <v>684</v>
      </c>
      <c r="I582" s="7" t="str">
        <f>IF(B582&lt;&gt;"",CREATE_QUERY($B$1,A$2:G$2,A582:G582),"")</f>
        <v>INSERT INTO base_mast(hqof_idcd, base_idcd, base_code, base_name, prnt_idcd, line_stat, line_levl) VALUES ('N1000WINFO', 'N1000WINFO3104046', '046', '군청색투명', '3104', '0', '1');</v>
      </c>
    </row>
    <row r="583" spans="1:9">
      <c r="A583" s="7" t="s">
        <v>1443</v>
      </c>
      <c r="B583" s="6" t="str">
        <f t="shared" si="11"/>
        <v>N1000WINFO3104047</v>
      </c>
      <c r="C583" s="8" t="s">
        <v>1941</v>
      </c>
      <c r="D583" s="10" t="s">
        <v>1516</v>
      </c>
      <c r="E583" s="8" t="s">
        <v>1894</v>
      </c>
      <c r="F583" s="8" t="s">
        <v>686</v>
      </c>
      <c r="G583" s="8" t="s">
        <v>684</v>
      </c>
      <c r="I583" s="7" t="str">
        <f>IF(B583&lt;&gt;"",CREATE_QUERY($B$1,A$2:G$2,A583:G583),"")</f>
        <v>INSERT INTO base_mast(hqof_idcd, base_idcd, base_code, base_name, prnt_idcd, line_stat, line_levl) VALUES ('N1000WINFO', 'N1000WINFO3104047', '047', '그린불투명', '3104', '0', '1');</v>
      </c>
    </row>
    <row r="584" spans="1:9">
      <c r="A584" s="7" t="s">
        <v>1443</v>
      </c>
      <c r="B584" s="6" t="str">
        <f t="shared" si="11"/>
        <v>N1000WINFO3104048</v>
      </c>
      <c r="C584" s="8" t="s">
        <v>1942</v>
      </c>
      <c r="D584" s="10" t="s">
        <v>1517</v>
      </c>
      <c r="E584" s="8" t="s">
        <v>1894</v>
      </c>
      <c r="F584" s="8" t="s">
        <v>686</v>
      </c>
      <c r="G584" s="8" t="s">
        <v>684</v>
      </c>
      <c r="I584" s="7" t="str">
        <f>IF(B584&lt;&gt;"",CREATE_QUERY($B$1,A$2:G$2,A584:G584),"")</f>
        <v>INSERT INTO base_mast(hqof_idcd, base_idcd, base_code, base_name, prnt_idcd, line_stat, line_levl) VALUES ('N1000WINFO', 'N1000WINFO3104048', '048', '그린투명', '3104', '0', '1');</v>
      </c>
    </row>
    <row r="585" spans="1:9">
      <c r="A585" s="7" t="s">
        <v>1443</v>
      </c>
      <c r="B585" s="6" t="str">
        <f t="shared" si="11"/>
        <v>N1000WINFO3104049</v>
      </c>
      <c r="C585" s="8" t="s">
        <v>1943</v>
      </c>
      <c r="D585" s="10" t="s">
        <v>1518</v>
      </c>
      <c r="E585" s="8" t="s">
        <v>1894</v>
      </c>
      <c r="F585" s="8" t="s">
        <v>686</v>
      </c>
      <c r="G585" s="8" t="s">
        <v>684</v>
      </c>
      <c r="I585" s="7" t="str">
        <f>IF(B585&lt;&gt;"",CREATE_QUERY($B$1,A$2:G$2,A585:G585),"")</f>
        <v>INSERT INTO base_mast(hqof_idcd, base_idcd, base_code, base_name, prnt_idcd, line_stat, line_levl) VALUES ('N1000WINFO', 'N1000WINFO3104049', '049', '남색', '3104', '0', '1');</v>
      </c>
    </row>
    <row r="586" spans="1:9">
      <c r="A586" s="7" t="s">
        <v>1443</v>
      </c>
      <c r="B586" s="6" t="str">
        <f t="shared" si="11"/>
        <v>N1000WINFO3104050</v>
      </c>
      <c r="C586" s="8" t="s">
        <v>1944</v>
      </c>
      <c r="D586" s="10" t="s">
        <v>1519</v>
      </c>
      <c r="E586" s="8" t="s">
        <v>1894</v>
      </c>
      <c r="F586" s="8" t="s">
        <v>686</v>
      </c>
      <c r="G586" s="8" t="s">
        <v>684</v>
      </c>
      <c r="I586" s="7" t="str">
        <f>IF(B586&lt;&gt;"",CREATE_QUERY($B$1,A$2:G$2,A586:G586),"")</f>
        <v>INSERT INTO base_mast(hqof_idcd, base_idcd, base_code, base_name, prnt_idcd, line_stat, line_levl) VALUES ('N1000WINFO', 'N1000WINFO3104050', '050', '남색반투명', '3104', '0', '1');</v>
      </c>
    </row>
    <row r="587" spans="1:9">
      <c r="A587" s="7" t="s">
        <v>1443</v>
      </c>
      <c r="B587" s="6" t="str">
        <f t="shared" si="11"/>
        <v>N1000WINFO3104051</v>
      </c>
      <c r="C587" s="8" t="s">
        <v>1945</v>
      </c>
      <c r="D587" s="10" t="s">
        <v>1520</v>
      </c>
      <c r="E587" s="8" t="s">
        <v>1894</v>
      </c>
      <c r="F587" s="8" t="s">
        <v>686</v>
      </c>
      <c r="G587" s="8" t="s">
        <v>684</v>
      </c>
      <c r="I587" s="7" t="str">
        <f>IF(B587&lt;&gt;"",CREATE_QUERY($B$1,A$2:G$2,A587:G587),"")</f>
        <v>INSERT INTO base_mast(hqof_idcd, base_idcd, base_code, base_name, prnt_idcd, line_stat, line_levl) VALUES ('N1000WINFO', 'N1000WINFO3104051', '051', '내츄럴', '3104', '0', '1');</v>
      </c>
    </row>
    <row r="588" spans="1:9">
      <c r="A588" s="7" t="s">
        <v>1443</v>
      </c>
      <c r="B588" s="6" t="str">
        <f t="shared" si="11"/>
        <v>N1000WINFO3104052</v>
      </c>
      <c r="C588" s="8" t="s">
        <v>1946</v>
      </c>
      <c r="D588" s="10" t="s">
        <v>1521</v>
      </c>
      <c r="E588" s="8" t="s">
        <v>1894</v>
      </c>
      <c r="F588" s="8" t="s">
        <v>686</v>
      </c>
      <c r="G588" s="8" t="s">
        <v>684</v>
      </c>
      <c r="I588" s="7" t="str">
        <f>IF(B588&lt;&gt;"",CREATE_QUERY($B$1,A$2:G$2,A588:G588),"")</f>
        <v>INSERT INTO base_mast(hqof_idcd, base_idcd, base_code, base_name, prnt_idcd, line_stat, line_levl) VALUES ('N1000WINFO', 'N1000WINFO3104052', '052', '넬리아이스', '3104', '0', '1');</v>
      </c>
    </row>
    <row r="589" spans="1:9">
      <c r="A589" s="7" t="s">
        <v>1443</v>
      </c>
      <c r="B589" s="6" t="str">
        <f t="shared" si="11"/>
        <v>N1000WINFO3104053</v>
      </c>
      <c r="C589" s="8" t="s">
        <v>1947</v>
      </c>
      <c r="D589" s="10" t="s">
        <v>1522</v>
      </c>
      <c r="E589" s="8" t="s">
        <v>1894</v>
      </c>
      <c r="F589" s="8" t="s">
        <v>686</v>
      </c>
      <c r="G589" s="8" t="s">
        <v>684</v>
      </c>
      <c r="I589" s="7" t="str">
        <f>IF(B589&lt;&gt;"",CREATE_QUERY($B$1,A$2:G$2,A589:G589),"")</f>
        <v>INSERT INTO base_mast(hqof_idcd, base_idcd, base_code, base_name, prnt_idcd, line_stat, line_levl) VALUES ('N1000WINFO', 'N1000WINFO3104053', '053', '노랑색', '3104', '0', '1');</v>
      </c>
    </row>
    <row r="590" spans="1:9">
      <c r="A590" s="7" t="s">
        <v>1443</v>
      </c>
      <c r="B590" s="6" t="str">
        <f t="shared" si="11"/>
        <v>N1000WINFO3104054</v>
      </c>
      <c r="C590" s="8" t="s">
        <v>1948</v>
      </c>
      <c r="D590" s="10" t="s">
        <v>1523</v>
      </c>
      <c r="E590" s="8" t="s">
        <v>1894</v>
      </c>
      <c r="F590" s="8" t="s">
        <v>686</v>
      </c>
      <c r="G590" s="8" t="s">
        <v>684</v>
      </c>
      <c r="I590" s="7" t="str">
        <f>IF(B590&lt;&gt;"",CREATE_QUERY($B$1,A$2:G$2,A590:G590),"")</f>
        <v>INSERT INTO base_mast(hqof_idcd, base_idcd, base_code, base_name, prnt_idcd, line_stat, line_levl) VALUES ('N1000WINFO', 'N1000WINFO3104054', '054', '노랑색반투명', '3104', '0', '1');</v>
      </c>
    </row>
    <row r="591" spans="1:9">
      <c r="A591" s="7" t="s">
        <v>1443</v>
      </c>
      <c r="B591" s="6" t="str">
        <f t="shared" si="11"/>
        <v>N1000WINFO3104055</v>
      </c>
      <c r="C591" s="8" t="s">
        <v>1949</v>
      </c>
      <c r="D591" s="10" t="s">
        <v>1524</v>
      </c>
      <c r="E591" s="8" t="s">
        <v>1894</v>
      </c>
      <c r="F591" s="8" t="s">
        <v>686</v>
      </c>
      <c r="G591" s="8" t="s">
        <v>684</v>
      </c>
      <c r="I591" s="7" t="str">
        <f>IF(B591&lt;&gt;"",CREATE_QUERY($B$1,A$2:G$2,A591:G591),"")</f>
        <v>INSERT INTO base_mast(hqof_idcd, base_idcd, base_code, base_name, prnt_idcd, line_stat, line_levl) VALUES ('N1000WINFO', 'N1000WINFO3104055', '055', '노랑색투명', '3104', '0', '1');</v>
      </c>
    </row>
    <row r="592" spans="1:9">
      <c r="A592" s="7" t="s">
        <v>1443</v>
      </c>
      <c r="B592" s="6" t="str">
        <f t="shared" si="11"/>
        <v>N1000WINFO3104056</v>
      </c>
      <c r="C592" s="8" t="s">
        <v>1950</v>
      </c>
      <c r="D592" s="10" t="s">
        <v>1525</v>
      </c>
      <c r="E592" s="8" t="s">
        <v>1894</v>
      </c>
      <c r="F592" s="8" t="s">
        <v>686</v>
      </c>
      <c r="G592" s="8" t="s">
        <v>684</v>
      </c>
      <c r="I592" s="7" t="str">
        <f>IF(B592&lt;&gt;"",CREATE_QUERY($B$1,A$2:G$2,A592:G592),"")</f>
        <v>INSERT INTO base_mast(hqof_idcd, base_idcd, base_code, base_name, prnt_idcd, line_stat, line_levl) VALUES ('N1000WINFO', 'N1000WINFO3104056', '056', '녹색', '3104', '0', '1');</v>
      </c>
    </row>
    <row r="593" spans="1:9">
      <c r="A593" s="7" t="s">
        <v>1443</v>
      </c>
      <c r="B593" s="6" t="str">
        <f t="shared" si="11"/>
        <v>N1000WINFO3104057</v>
      </c>
      <c r="C593" s="8" t="s">
        <v>1951</v>
      </c>
      <c r="D593" s="10" t="s">
        <v>1526</v>
      </c>
      <c r="E593" s="8" t="s">
        <v>1894</v>
      </c>
      <c r="F593" s="8" t="s">
        <v>686</v>
      </c>
      <c r="G593" s="8" t="s">
        <v>684</v>
      </c>
      <c r="I593" s="7" t="str">
        <f>IF(B593&lt;&gt;"",CREATE_QUERY($B$1,A$2:G$2,A593:G593),"")</f>
        <v>INSERT INTO base_mast(hqof_idcd, base_idcd, base_code, base_name, prnt_idcd, line_stat, line_levl) VALUES ('N1000WINFO', 'N1000WINFO3104057', '057', '녹색반투명', '3104', '0', '1');</v>
      </c>
    </row>
    <row r="594" spans="1:9">
      <c r="A594" s="7" t="s">
        <v>1443</v>
      </c>
      <c r="B594" s="6" t="str">
        <f t="shared" si="11"/>
        <v>N1000WINFO3104058</v>
      </c>
      <c r="C594" s="8" t="s">
        <v>1952</v>
      </c>
      <c r="D594" s="10" t="s">
        <v>1527</v>
      </c>
      <c r="E594" s="8" t="s">
        <v>1894</v>
      </c>
      <c r="F594" s="8" t="s">
        <v>686</v>
      </c>
      <c r="G594" s="8" t="s">
        <v>684</v>
      </c>
      <c r="I594" s="7" t="str">
        <f>IF(B594&lt;&gt;"",CREATE_QUERY($B$1,A$2:G$2,A594:G594),"")</f>
        <v>INSERT INTO base_mast(hqof_idcd, base_idcd, base_code, base_name, prnt_idcd, line_stat, line_levl) VALUES ('N1000WINFO', 'N1000WINFO3104058', '058', '녹색불투명', '3104', '0', '1');</v>
      </c>
    </row>
    <row r="595" spans="1:9">
      <c r="A595" s="7" t="s">
        <v>1443</v>
      </c>
      <c r="B595" s="6" t="str">
        <f t="shared" si="11"/>
        <v>N1000WINFO3104059</v>
      </c>
      <c r="C595" s="8" t="s">
        <v>1953</v>
      </c>
      <c r="D595" s="10" t="s">
        <v>1528</v>
      </c>
      <c r="E595" s="8" t="s">
        <v>1894</v>
      </c>
      <c r="F595" s="8" t="s">
        <v>686</v>
      </c>
      <c r="G595" s="8" t="s">
        <v>684</v>
      </c>
      <c r="I595" s="7" t="str">
        <f>IF(B595&lt;&gt;"",CREATE_QUERY($B$1,A$2:G$2,A595:G595),"")</f>
        <v>INSERT INTO base_mast(hqof_idcd, base_idcd, base_code, base_name, prnt_idcd, line_stat, line_levl) VALUES ('N1000WINFO', 'N1000WINFO3104059', '059', '녹색투명', '3104', '0', '1');</v>
      </c>
    </row>
    <row r="596" spans="1:9">
      <c r="A596" s="7" t="s">
        <v>1443</v>
      </c>
      <c r="B596" s="6" t="str">
        <f t="shared" si="11"/>
        <v>N1000WINFO3104060</v>
      </c>
      <c r="C596" s="8" t="s">
        <v>1954</v>
      </c>
      <c r="D596" s="10" t="s">
        <v>1529</v>
      </c>
      <c r="E596" s="8" t="s">
        <v>1894</v>
      </c>
      <c r="F596" s="8" t="s">
        <v>686</v>
      </c>
      <c r="G596" s="8" t="s">
        <v>684</v>
      </c>
      <c r="I596" s="7" t="str">
        <f>IF(B596&lt;&gt;"",CREATE_QUERY($B$1,A$2:G$2,A596:G596),"")</f>
        <v>INSERT INTO base_mast(hqof_idcd, base_idcd, base_code, base_name, prnt_idcd, line_stat, line_levl) VALUES ('N1000WINFO', 'N1000WINFO3104060', '060', '다크블루', '3104', '0', '1');</v>
      </c>
    </row>
    <row r="597" spans="1:9">
      <c r="A597" s="7" t="s">
        <v>1443</v>
      </c>
      <c r="B597" s="6" t="str">
        <f t="shared" si="11"/>
        <v>N1000WINFO3104061</v>
      </c>
      <c r="C597" s="8" t="s">
        <v>1955</v>
      </c>
      <c r="D597" s="11" t="s">
        <v>1530</v>
      </c>
      <c r="E597" s="8" t="s">
        <v>1894</v>
      </c>
      <c r="F597" s="8" t="s">
        <v>686</v>
      </c>
      <c r="G597" s="8" t="s">
        <v>684</v>
      </c>
      <c r="I597" s="7" t="str">
        <f>IF(B597&lt;&gt;"",CREATE_QUERY($B$1,A$2:G$2,A597:G597),"")</f>
        <v>INSERT INTO base_mast(hqof_idcd, base_idcd, base_code, base_name, prnt_idcd, line_stat, line_levl) VALUES ('N1000WINFO', 'N1000WINFO3104061', '061', '다홍색반투명', '3104', '0', '1');</v>
      </c>
    </row>
    <row r="598" spans="1:9">
      <c r="A598" s="7" t="s">
        <v>1443</v>
      </c>
      <c r="B598" s="6" t="str">
        <f t="shared" si="11"/>
        <v>N1000WINFO3104062</v>
      </c>
      <c r="C598" s="8" t="s">
        <v>1956</v>
      </c>
      <c r="D598" s="10" t="s">
        <v>1531</v>
      </c>
      <c r="E598" s="8" t="s">
        <v>1894</v>
      </c>
      <c r="F598" s="8" t="s">
        <v>686</v>
      </c>
      <c r="G598" s="8" t="s">
        <v>684</v>
      </c>
      <c r="I598" s="7" t="str">
        <f>IF(B598&lt;&gt;"",CREATE_QUERY($B$1,A$2:G$2,A598:G598),"")</f>
        <v>INSERT INTO base_mast(hqof_idcd, base_idcd, base_code, base_name, prnt_idcd, line_stat, line_levl) VALUES ('N1000WINFO', 'N1000WINFO3104062', '062', '도금', '3104', '0', '1');</v>
      </c>
    </row>
    <row r="599" spans="1:9">
      <c r="A599" s="7" t="s">
        <v>1443</v>
      </c>
      <c r="B599" s="6" t="str">
        <f t="shared" si="11"/>
        <v>N1000WINFO3104063</v>
      </c>
      <c r="C599" s="8" t="s">
        <v>1957</v>
      </c>
      <c r="D599" s="10" t="s">
        <v>1532</v>
      </c>
      <c r="E599" s="8" t="s">
        <v>1894</v>
      </c>
      <c r="F599" s="8" t="s">
        <v>686</v>
      </c>
      <c r="G599" s="8" t="s">
        <v>684</v>
      </c>
      <c r="I599" s="7" t="str">
        <f>IF(B599&lt;&gt;"",CREATE_QUERY($B$1,A$2:G$2,A599:G599),"")</f>
        <v>INSERT INTO base_mast(hqof_idcd, base_idcd, base_code, base_name, prnt_idcd, line_stat, line_levl) VALUES ('N1000WINFO', 'N1000WINFO3104063', '063', '두유색', '3104', '0', '1');</v>
      </c>
    </row>
    <row r="600" spans="1:9">
      <c r="A600" s="7" t="s">
        <v>1443</v>
      </c>
      <c r="B600" s="6" t="str">
        <f t="shared" si="11"/>
        <v>N1000WINFO3104064</v>
      </c>
      <c r="C600" s="8" t="s">
        <v>1958</v>
      </c>
      <c r="D600" s="10" t="s">
        <v>1533</v>
      </c>
      <c r="E600" s="8" t="s">
        <v>1894</v>
      </c>
      <c r="F600" s="8" t="s">
        <v>686</v>
      </c>
      <c r="G600" s="8" t="s">
        <v>684</v>
      </c>
      <c r="I600" s="7" t="str">
        <f>IF(B600&lt;&gt;"",CREATE_QUERY($B$1,A$2:G$2,A600:G600),"")</f>
        <v>INSERT INTO base_mast(hqof_idcd, base_idcd, base_code, base_name, prnt_idcd, line_stat, line_levl) VALUES ('N1000WINFO', 'N1000WINFO3104064', '064', '레드', '3104', '0', '1');</v>
      </c>
    </row>
    <row r="601" spans="1:9">
      <c r="A601" s="7" t="s">
        <v>1443</v>
      </c>
      <c r="B601" s="6" t="str">
        <f t="shared" ref="B601:B664" si="12">A601&amp;E601&amp;C601</f>
        <v>N1000WINFO3104065</v>
      </c>
      <c r="C601" s="8" t="s">
        <v>1959</v>
      </c>
      <c r="D601" s="10" t="s">
        <v>1534</v>
      </c>
      <c r="E601" s="8" t="s">
        <v>1894</v>
      </c>
      <c r="F601" s="8" t="s">
        <v>686</v>
      </c>
      <c r="G601" s="8" t="s">
        <v>684</v>
      </c>
      <c r="I601" s="7" t="str">
        <f>IF(B601&lt;&gt;"",CREATE_QUERY($B$1,A$2:G$2,A601:G601),"")</f>
        <v>INSERT INTO base_mast(hqof_idcd, base_idcd, base_code, base_name, prnt_idcd, line_stat, line_levl) VALUES ('N1000WINFO', 'N1000WINFO3104065', '065', '레드오렌지투명', '3104', '0', '1');</v>
      </c>
    </row>
    <row r="602" spans="1:9">
      <c r="A602" s="7" t="s">
        <v>1443</v>
      </c>
      <c r="B602" s="6" t="str">
        <f t="shared" si="12"/>
        <v>N1000WINFO3104066</v>
      </c>
      <c r="C602" s="8" t="s">
        <v>1960</v>
      </c>
      <c r="D602" s="10" t="s">
        <v>1535</v>
      </c>
      <c r="E602" s="8" t="s">
        <v>1894</v>
      </c>
      <c r="F602" s="8" t="s">
        <v>686</v>
      </c>
      <c r="G602" s="8" t="s">
        <v>684</v>
      </c>
      <c r="I602" s="7" t="str">
        <f>IF(B602&lt;&gt;"",CREATE_QUERY($B$1,A$2:G$2,A602:G602),"")</f>
        <v>INSERT INTO base_mast(hqof_idcd, base_idcd, base_code, base_name, prnt_idcd, line_stat, line_levl) VALUES ('N1000WINFO', 'N1000WINFO3104066', '066', '레드투명', '3104', '0', '1');</v>
      </c>
    </row>
    <row r="603" spans="1:9">
      <c r="A603" s="7" t="s">
        <v>1443</v>
      </c>
      <c r="B603" s="6" t="str">
        <f t="shared" si="12"/>
        <v>N1000WINFO3104067</v>
      </c>
      <c r="C603" s="8" t="s">
        <v>1961</v>
      </c>
      <c r="D603" s="10" t="s">
        <v>1536</v>
      </c>
      <c r="E603" s="8" t="s">
        <v>1894</v>
      </c>
      <c r="F603" s="8" t="s">
        <v>686</v>
      </c>
      <c r="G603" s="8" t="s">
        <v>684</v>
      </c>
      <c r="I603" s="7" t="str">
        <f>IF(B603&lt;&gt;"",CREATE_QUERY($B$1,A$2:G$2,A603:G603),"")</f>
        <v>INSERT INTO base_mast(hqof_idcd, base_idcd, base_code, base_name, prnt_idcd, line_stat, line_levl) VALUES ('N1000WINFO', 'N1000WINFO3104067', '067', '로즈골드', '3104', '0', '1');</v>
      </c>
    </row>
    <row r="604" spans="1:9">
      <c r="A604" s="7" t="s">
        <v>1443</v>
      </c>
      <c r="B604" s="6" t="str">
        <f t="shared" si="12"/>
        <v>N1000WINFO3104068</v>
      </c>
      <c r="C604" s="8" t="s">
        <v>1962</v>
      </c>
      <c r="D604" s="10" t="s">
        <v>1537</v>
      </c>
      <c r="E604" s="8" t="s">
        <v>1894</v>
      </c>
      <c r="F604" s="8" t="s">
        <v>686</v>
      </c>
      <c r="G604" s="8" t="s">
        <v>684</v>
      </c>
      <c r="I604" s="7" t="str">
        <f>IF(B604&lt;&gt;"",CREATE_QUERY($B$1,A$2:G$2,A604:G604),"")</f>
        <v>INSERT INTO base_mast(hqof_idcd, base_idcd, base_code, base_name, prnt_idcd, line_stat, line_levl) VALUES ('N1000WINFO', 'N1000WINFO3104068', '068', '로즈골드반투명', '3104', '0', '1');</v>
      </c>
    </row>
    <row r="605" spans="1:9">
      <c r="A605" s="7" t="s">
        <v>1443</v>
      </c>
      <c r="B605" s="6" t="str">
        <f t="shared" si="12"/>
        <v>N1000WINFO3104069</v>
      </c>
      <c r="C605" s="8" t="s">
        <v>1963</v>
      </c>
      <c r="D605" s="10" t="s">
        <v>1538</v>
      </c>
      <c r="E605" s="8" t="s">
        <v>1894</v>
      </c>
      <c r="F605" s="8" t="s">
        <v>686</v>
      </c>
      <c r="G605" s="8" t="s">
        <v>684</v>
      </c>
      <c r="I605" s="7" t="str">
        <f>IF(B605&lt;&gt;"",CREATE_QUERY($B$1,A$2:G$2,A605:G605),"")</f>
        <v>INSERT INTO base_mast(hqof_idcd, base_idcd, base_code, base_name, prnt_idcd, line_stat, line_levl) VALUES ('N1000WINFO', 'N1000WINFO3104069', '069', '로즈골드유광증착', '3104', '0', '1');</v>
      </c>
    </row>
    <row r="606" spans="1:9">
      <c r="A606" s="7" t="s">
        <v>1443</v>
      </c>
      <c r="B606" s="6" t="str">
        <f t="shared" si="12"/>
        <v>N1000WINFO3104070</v>
      </c>
      <c r="C606" s="8" t="s">
        <v>1964</v>
      </c>
      <c r="D606" s="10" t="s">
        <v>1539</v>
      </c>
      <c r="E606" s="8" t="s">
        <v>1894</v>
      </c>
      <c r="F606" s="8" t="s">
        <v>686</v>
      </c>
      <c r="G606" s="8" t="s">
        <v>684</v>
      </c>
      <c r="I606" s="7" t="str">
        <f>IF(B606&lt;&gt;"",CREATE_QUERY($B$1,A$2:G$2,A606:G606),"")</f>
        <v>INSERT INTO base_mast(hqof_idcd, base_idcd, base_code, base_name, prnt_idcd, line_stat, line_levl) VALUES ('N1000WINFO', 'N1000WINFO3104070', '070', '로즈골드증착', '3104', '0', '1');</v>
      </c>
    </row>
    <row r="607" spans="1:9">
      <c r="A607" s="7" t="s">
        <v>1443</v>
      </c>
      <c r="B607" s="6" t="str">
        <f t="shared" si="12"/>
        <v>N1000WINFO3104071</v>
      </c>
      <c r="C607" s="8" t="s">
        <v>1965</v>
      </c>
      <c r="D607" s="10" t="s">
        <v>1540</v>
      </c>
      <c r="E607" s="8" t="s">
        <v>1894</v>
      </c>
      <c r="F607" s="8" t="s">
        <v>686</v>
      </c>
      <c r="G607" s="8" t="s">
        <v>684</v>
      </c>
      <c r="I607" s="7" t="str">
        <f>IF(B607&lt;&gt;"",CREATE_QUERY($B$1,A$2:G$2,A607:G607),"")</f>
        <v>INSERT INTO base_mast(hqof_idcd, base_idcd, base_code, base_name, prnt_idcd, line_stat, line_levl) VALUES ('N1000WINFO', 'N1000WINFO3104071', '071', '로즈골드투명', '3104', '0', '1');</v>
      </c>
    </row>
    <row r="608" spans="1:9">
      <c r="A608" s="7" t="s">
        <v>1443</v>
      </c>
      <c r="B608" s="6" t="str">
        <f t="shared" si="12"/>
        <v>N1000WINFO3104072</v>
      </c>
      <c r="C608" s="8" t="s">
        <v>1966</v>
      </c>
      <c r="D608" s="10" t="s">
        <v>1541</v>
      </c>
      <c r="E608" s="8" t="s">
        <v>1894</v>
      </c>
      <c r="F608" s="8" t="s">
        <v>686</v>
      </c>
      <c r="G608" s="8" t="s">
        <v>684</v>
      </c>
      <c r="I608" s="7" t="str">
        <f>IF(B608&lt;&gt;"",CREATE_QUERY($B$1,A$2:G$2,A608:G608),"")</f>
        <v>INSERT INTO base_mast(hqof_idcd, base_idcd, base_code, base_name, prnt_idcd, line_stat, line_levl) VALUES ('N1000WINFO', 'N1000WINFO3104072', '072', '무지개펄미백색', '3104', '0', '1');</v>
      </c>
    </row>
    <row r="609" spans="1:9">
      <c r="A609" s="7" t="s">
        <v>1443</v>
      </c>
      <c r="B609" s="6" t="str">
        <f t="shared" si="12"/>
        <v>N1000WINFO3104073</v>
      </c>
      <c r="C609" s="8" t="s">
        <v>1967</v>
      </c>
      <c r="D609" s="10" t="s">
        <v>1542</v>
      </c>
      <c r="E609" s="8" t="s">
        <v>1894</v>
      </c>
      <c r="F609" s="8" t="s">
        <v>686</v>
      </c>
      <c r="G609" s="8" t="s">
        <v>684</v>
      </c>
      <c r="I609" s="7" t="str">
        <f>IF(B609&lt;&gt;"",CREATE_QUERY($B$1,A$2:G$2,A609:G609),"")</f>
        <v>INSERT INTO base_mast(hqof_idcd, base_idcd, base_code, base_name, prnt_idcd, line_stat, line_levl) VALUES ('N1000WINFO', 'N1000WINFO3104073', '073', '무지개펄백색', '3104', '0', '1');</v>
      </c>
    </row>
    <row r="610" spans="1:9">
      <c r="A610" s="7" t="s">
        <v>1443</v>
      </c>
      <c r="B610" s="6" t="str">
        <f t="shared" si="12"/>
        <v>N1000WINFO3104074</v>
      </c>
      <c r="C610" s="8" t="s">
        <v>1968</v>
      </c>
      <c r="D610" s="10" t="s">
        <v>1543</v>
      </c>
      <c r="E610" s="8" t="s">
        <v>1894</v>
      </c>
      <c r="F610" s="8" t="s">
        <v>686</v>
      </c>
      <c r="G610" s="8" t="s">
        <v>684</v>
      </c>
      <c r="I610" s="7" t="str">
        <f>IF(B610&lt;&gt;"",CREATE_QUERY($B$1,A$2:G$2,A610:G610),"")</f>
        <v>INSERT INTO base_mast(hqof_idcd, base_idcd, base_code, base_name, prnt_idcd, line_stat, line_levl) VALUES ('N1000WINFO', 'N1000WINFO3104074', '074', '미백', '3104', '0', '1');</v>
      </c>
    </row>
    <row r="611" spans="1:9">
      <c r="A611" s="7" t="s">
        <v>1443</v>
      </c>
      <c r="B611" s="6" t="str">
        <f t="shared" si="12"/>
        <v>N1000WINFO3104075</v>
      </c>
      <c r="C611" s="8" t="s">
        <v>1969</v>
      </c>
      <c r="D611" s="10" t="s">
        <v>1544</v>
      </c>
      <c r="E611" s="8" t="s">
        <v>1894</v>
      </c>
      <c r="F611" s="8" t="s">
        <v>686</v>
      </c>
      <c r="G611" s="8" t="s">
        <v>684</v>
      </c>
      <c r="I611" s="7" t="str">
        <f>IF(B611&lt;&gt;"",CREATE_QUERY($B$1,A$2:G$2,A611:G611),"")</f>
        <v>INSERT INTO base_mast(hqof_idcd, base_idcd, base_code, base_name, prnt_idcd, line_stat, line_levl) VALUES ('N1000WINFO', 'N1000WINFO3104075', '075', '미백색', '3104', '0', '1');</v>
      </c>
    </row>
    <row r="612" spans="1:9">
      <c r="A612" s="7" t="s">
        <v>1443</v>
      </c>
      <c r="B612" s="6" t="str">
        <f t="shared" si="12"/>
        <v>N1000WINFO3104076</v>
      </c>
      <c r="C612" s="8" t="s">
        <v>1970</v>
      </c>
      <c r="D612" s="10" t="s">
        <v>1545</v>
      </c>
      <c r="E612" s="8" t="s">
        <v>1894</v>
      </c>
      <c r="F612" s="8" t="s">
        <v>686</v>
      </c>
      <c r="G612" s="8" t="s">
        <v>684</v>
      </c>
      <c r="I612" s="7" t="str">
        <f>IF(B612&lt;&gt;"",CREATE_QUERY($B$1,A$2:G$2,A612:G612),"")</f>
        <v>INSERT INTO base_mast(hqof_idcd, base_idcd, base_code, base_name, prnt_idcd, line_stat, line_levl) VALUES ('N1000WINFO', 'N1000WINFO3104076', '076', '민트색', '3104', '0', '1');</v>
      </c>
    </row>
    <row r="613" spans="1:9">
      <c r="A613" s="7" t="s">
        <v>1443</v>
      </c>
      <c r="B613" s="6" t="str">
        <f t="shared" si="12"/>
        <v>N1000WINFO3104077</v>
      </c>
      <c r="C613" s="8" t="s">
        <v>1971</v>
      </c>
      <c r="D613" s="10" t="s">
        <v>1546</v>
      </c>
      <c r="E613" s="8" t="s">
        <v>1894</v>
      </c>
      <c r="F613" s="8" t="s">
        <v>686</v>
      </c>
      <c r="G613" s="8" t="s">
        <v>684</v>
      </c>
      <c r="I613" s="7" t="str">
        <f>IF(B613&lt;&gt;"",CREATE_QUERY($B$1,A$2:G$2,A613:G613),"")</f>
        <v>INSERT INTO base_mast(hqof_idcd, base_idcd, base_code, base_name, prnt_idcd, line_stat, line_levl) VALUES ('N1000WINFO', 'N1000WINFO3104077', '077', '민트색반투명', '3104', '0', '1');</v>
      </c>
    </row>
    <row r="614" spans="1:9">
      <c r="A614" s="7" t="s">
        <v>1443</v>
      </c>
      <c r="B614" s="6" t="str">
        <f t="shared" si="12"/>
        <v>N1000WINFO3104078</v>
      </c>
      <c r="C614" s="8" t="s">
        <v>1972</v>
      </c>
      <c r="D614" s="10" t="s">
        <v>1547</v>
      </c>
      <c r="E614" s="8" t="s">
        <v>1894</v>
      </c>
      <c r="F614" s="8" t="s">
        <v>686</v>
      </c>
      <c r="G614" s="8" t="s">
        <v>684</v>
      </c>
      <c r="I614" s="7" t="str">
        <f>IF(B614&lt;&gt;"",CREATE_QUERY($B$1,A$2:G$2,A614:G614),"")</f>
        <v>INSERT INTO base_mast(hqof_idcd, base_idcd, base_code, base_name, prnt_idcd, line_stat, line_levl) VALUES ('N1000WINFO', 'N1000WINFO3104078', '078', '민트색투명', '3104', '0', '1');</v>
      </c>
    </row>
    <row r="615" spans="1:9">
      <c r="A615" s="7" t="s">
        <v>1443</v>
      </c>
      <c r="B615" s="6" t="str">
        <f t="shared" si="12"/>
        <v>N1000WINFO3104079</v>
      </c>
      <c r="C615" s="8" t="s">
        <v>1973</v>
      </c>
      <c r="D615" s="10" t="s">
        <v>1548</v>
      </c>
      <c r="E615" s="8" t="s">
        <v>1894</v>
      </c>
      <c r="F615" s="8" t="s">
        <v>686</v>
      </c>
      <c r="G615" s="8" t="s">
        <v>684</v>
      </c>
      <c r="I615" s="7" t="str">
        <f>IF(B615&lt;&gt;"",CREATE_QUERY($B$1,A$2:G$2,A615:G615),"")</f>
        <v>INSERT INTO base_mast(hqof_idcd, base_idcd, base_code, base_name, prnt_idcd, line_stat, line_levl) VALUES ('N1000WINFO', 'N1000WINFO3104079', '079', '반투명', '3104', '0', '1');</v>
      </c>
    </row>
    <row r="616" spans="1:9">
      <c r="A616" s="7" t="s">
        <v>1443</v>
      </c>
      <c r="B616" s="6" t="str">
        <f t="shared" si="12"/>
        <v>N1000WINFO3104080</v>
      </c>
      <c r="C616" s="8" t="s">
        <v>1974</v>
      </c>
      <c r="D616" s="10" t="s">
        <v>1549</v>
      </c>
      <c r="E616" s="8" t="s">
        <v>1894</v>
      </c>
      <c r="F616" s="8" t="s">
        <v>686</v>
      </c>
      <c r="G616" s="8" t="s">
        <v>684</v>
      </c>
      <c r="I616" s="7" t="str">
        <f>IF(B616&lt;&gt;"",CREATE_QUERY($B$1,A$2:G$2,A616:G616),"")</f>
        <v>INSERT INTO base_mast(hqof_idcd, base_idcd, base_code, base_name, prnt_idcd, line_stat, line_levl) VALUES ('N1000WINFO', 'N1000WINFO3104080', '080', '반투명검정', '3104', '0', '1');</v>
      </c>
    </row>
    <row r="617" spans="1:9">
      <c r="A617" s="7" t="s">
        <v>1443</v>
      </c>
      <c r="B617" s="6" t="str">
        <f t="shared" si="12"/>
        <v>N1000WINFO3104081</v>
      </c>
      <c r="C617" s="8" t="s">
        <v>1975</v>
      </c>
      <c r="D617" s="10" t="s">
        <v>1550</v>
      </c>
      <c r="E617" s="8" t="s">
        <v>1894</v>
      </c>
      <c r="F617" s="8" t="s">
        <v>686</v>
      </c>
      <c r="G617" s="8" t="s">
        <v>684</v>
      </c>
      <c r="I617" s="7" t="str">
        <f>IF(B617&lt;&gt;"",CREATE_QUERY($B$1,A$2:G$2,A617:G617),"")</f>
        <v>INSERT INTO base_mast(hqof_idcd, base_idcd, base_code, base_name, prnt_idcd, line_stat, line_levl) VALUES ('N1000WINFO', 'N1000WINFO3104081', '081', '밝은백색', '3104', '0', '1');</v>
      </c>
    </row>
    <row r="618" spans="1:9">
      <c r="A618" s="7" t="s">
        <v>1443</v>
      </c>
      <c r="B618" s="6" t="str">
        <f t="shared" si="12"/>
        <v>N1000WINFO3104082</v>
      </c>
      <c r="C618" s="8" t="s">
        <v>1976</v>
      </c>
      <c r="D618" s="10" t="s">
        <v>1551</v>
      </c>
      <c r="E618" s="8" t="s">
        <v>1894</v>
      </c>
      <c r="F618" s="8" t="s">
        <v>686</v>
      </c>
      <c r="G618" s="8" t="s">
        <v>684</v>
      </c>
      <c r="I618" s="7" t="str">
        <f>IF(B618&lt;&gt;"",CREATE_QUERY($B$1,A$2:G$2,A618:G618),"")</f>
        <v>INSERT INTO base_mast(hqof_idcd, base_idcd, base_code, base_name, prnt_idcd, line_stat, line_levl) VALUES ('N1000WINFO', 'N1000WINFO3104082', '082', '밝은연두색', '3104', '0', '1');</v>
      </c>
    </row>
    <row r="619" spans="1:9">
      <c r="A619" s="7" t="s">
        <v>1443</v>
      </c>
      <c r="B619" s="6" t="str">
        <f t="shared" si="12"/>
        <v>N1000WINFO3104083</v>
      </c>
      <c r="C619" s="8" t="s">
        <v>1977</v>
      </c>
      <c r="D619" s="10" t="s">
        <v>1552</v>
      </c>
      <c r="E619" s="8" t="s">
        <v>1894</v>
      </c>
      <c r="F619" s="8" t="s">
        <v>686</v>
      </c>
      <c r="G619" s="8" t="s">
        <v>684</v>
      </c>
      <c r="I619" s="7" t="str">
        <f>IF(B619&lt;&gt;"",CREATE_QUERY($B$1,A$2:G$2,A619:G619),"")</f>
        <v>INSERT INTO base_mast(hqof_idcd, base_idcd, base_code, base_name, prnt_idcd, line_stat, line_levl) VALUES ('N1000WINFO', 'N1000WINFO3104083', '083', '밝은하늘색투명', '3104', '0', '1');</v>
      </c>
    </row>
    <row r="620" spans="1:9">
      <c r="A620" s="7" t="s">
        <v>1443</v>
      </c>
      <c r="B620" s="6" t="str">
        <f t="shared" si="12"/>
        <v>N1000WINFO3104084</v>
      </c>
      <c r="C620" s="8" t="s">
        <v>1978</v>
      </c>
      <c r="D620" s="10" t="s">
        <v>1553</v>
      </c>
      <c r="E620" s="8" t="s">
        <v>1894</v>
      </c>
      <c r="F620" s="8" t="s">
        <v>686</v>
      </c>
      <c r="G620" s="8" t="s">
        <v>684</v>
      </c>
      <c r="I620" s="7" t="str">
        <f>IF(B620&lt;&gt;"",CREATE_QUERY($B$1,A$2:G$2,A620:G620),"")</f>
        <v>INSERT INTO base_mast(hqof_idcd, base_idcd, base_code, base_name, prnt_idcd, line_stat, line_levl) VALUES ('N1000WINFO', 'N1000WINFO3104084', '084', '밤색', '3104', '0', '1');</v>
      </c>
    </row>
    <row r="621" spans="1:9">
      <c r="A621" s="7" t="s">
        <v>1443</v>
      </c>
      <c r="B621" s="6" t="str">
        <f t="shared" si="12"/>
        <v>N1000WINFO3104085</v>
      </c>
      <c r="C621" s="8" t="s">
        <v>1979</v>
      </c>
      <c r="D621" s="10" t="s">
        <v>1554</v>
      </c>
      <c r="E621" s="8" t="s">
        <v>1894</v>
      </c>
      <c r="F621" s="8" t="s">
        <v>686</v>
      </c>
      <c r="G621" s="8" t="s">
        <v>684</v>
      </c>
      <c r="I621" s="7" t="str">
        <f>IF(B621&lt;&gt;"",CREATE_QUERY($B$1,A$2:G$2,A621:G621),"")</f>
        <v>INSERT INTO base_mast(hqof_idcd, base_idcd, base_code, base_name, prnt_idcd, line_stat, line_levl) VALUES ('N1000WINFO', 'N1000WINFO3104085', '085', '밤색투명', '3104', '0', '1');</v>
      </c>
    </row>
    <row r="622" spans="1:9">
      <c r="A622" s="7" t="s">
        <v>1443</v>
      </c>
      <c r="B622" s="6" t="str">
        <f t="shared" si="12"/>
        <v>N1000WINFO3104086</v>
      </c>
      <c r="C622" s="8" t="s">
        <v>1980</v>
      </c>
      <c r="D622" s="10" t="s">
        <v>1555</v>
      </c>
      <c r="E622" s="8" t="s">
        <v>1894</v>
      </c>
      <c r="F622" s="8" t="s">
        <v>686</v>
      </c>
      <c r="G622" s="8" t="s">
        <v>684</v>
      </c>
      <c r="I622" s="7" t="str">
        <f>IF(B622&lt;&gt;"",CREATE_QUERY($B$1,A$2:G$2,A622:G622),"")</f>
        <v>INSERT INTO base_mast(hqof_idcd, base_idcd, base_code, base_name, prnt_idcd, line_stat, line_levl) VALUES ('N1000WINFO', 'N1000WINFO3104086', '086', '백보라색', '3104', '0', '1');</v>
      </c>
    </row>
    <row r="623" spans="1:9">
      <c r="A623" s="7" t="s">
        <v>1443</v>
      </c>
      <c r="B623" s="6" t="str">
        <f t="shared" si="12"/>
        <v>N1000WINFO3104087</v>
      </c>
      <c r="C623" s="8" t="s">
        <v>1981</v>
      </c>
      <c r="D623" s="10" t="s">
        <v>1556</v>
      </c>
      <c r="E623" s="8" t="s">
        <v>1894</v>
      </c>
      <c r="F623" s="8" t="s">
        <v>686</v>
      </c>
      <c r="G623" s="8" t="s">
        <v>684</v>
      </c>
      <c r="I623" s="7" t="str">
        <f>IF(B623&lt;&gt;"",CREATE_QUERY($B$1,A$2:G$2,A623:G623),"")</f>
        <v>INSERT INTO base_mast(hqof_idcd, base_idcd, base_code, base_name, prnt_idcd, line_stat, line_levl) VALUES ('N1000WINFO', 'N1000WINFO3104087', '087', '백색', '3104', '0', '1');</v>
      </c>
    </row>
    <row r="624" spans="1:9">
      <c r="A624" s="7" t="s">
        <v>1443</v>
      </c>
      <c r="B624" s="6" t="str">
        <f t="shared" si="12"/>
        <v>N1000WINFO3104088</v>
      </c>
      <c r="C624" s="8" t="s">
        <v>1982</v>
      </c>
      <c r="D624" s="10" t="s">
        <v>1557</v>
      </c>
      <c r="E624" s="8" t="s">
        <v>1894</v>
      </c>
      <c r="F624" s="8" t="s">
        <v>686</v>
      </c>
      <c r="G624" s="8" t="s">
        <v>684</v>
      </c>
      <c r="I624" s="7" t="str">
        <f>IF(B624&lt;&gt;"",CREATE_QUERY($B$1,A$2:G$2,A624:G624),"")</f>
        <v>INSERT INTO base_mast(hqof_idcd, base_idcd, base_code, base_name, prnt_idcd, line_stat, line_levl) VALUES ('N1000WINFO', 'N1000WINFO3104088', '088', '백색(BBW)', '3104', '0', '1');</v>
      </c>
    </row>
    <row r="625" spans="1:9">
      <c r="A625" s="7" t="s">
        <v>1443</v>
      </c>
      <c r="B625" s="6" t="str">
        <f t="shared" si="12"/>
        <v>N1000WINFO3104089</v>
      </c>
      <c r="C625" s="8" t="s">
        <v>1983</v>
      </c>
      <c r="D625" s="10" t="s">
        <v>1558</v>
      </c>
      <c r="E625" s="8" t="s">
        <v>1894</v>
      </c>
      <c r="F625" s="8" t="s">
        <v>686</v>
      </c>
      <c r="G625" s="8" t="s">
        <v>684</v>
      </c>
      <c r="I625" s="7" t="str">
        <f>IF(B625&lt;&gt;"",CREATE_QUERY($B$1,A$2:G$2,A625:G625),"")</f>
        <v>INSERT INTO base_mast(hqof_idcd, base_idcd, base_code, base_name, prnt_idcd, line_stat, line_levl) VALUES ('N1000WINFO', 'N1000WINFO3104089', '089', '백색(EDP)', '3104', '0', '1');</v>
      </c>
    </row>
    <row r="626" spans="1:9">
      <c r="A626" s="7" t="s">
        <v>1443</v>
      </c>
      <c r="B626" s="6" t="str">
        <f t="shared" si="12"/>
        <v>N1000WINFO3104090</v>
      </c>
      <c r="C626" s="8" t="s">
        <v>1984</v>
      </c>
      <c r="D626" s="10" t="s">
        <v>1559</v>
      </c>
      <c r="E626" s="8" t="s">
        <v>1894</v>
      </c>
      <c r="F626" s="8" t="s">
        <v>686</v>
      </c>
      <c r="G626" s="8" t="s">
        <v>684</v>
      </c>
      <c r="I626" s="7" t="str">
        <f>IF(B626&lt;&gt;"",CREATE_QUERY($B$1,A$2:G$2,A626:G626),"")</f>
        <v>INSERT INTO base_mast(hqof_idcd, base_idcd, base_code, base_name, prnt_idcd, line_stat, line_levl) VALUES ('N1000WINFO', 'N1000WINFO3104090', '090', '백색(HI-100)', '3104', '0', '1');</v>
      </c>
    </row>
    <row r="627" spans="1:9">
      <c r="A627" s="7" t="s">
        <v>1443</v>
      </c>
      <c r="B627" s="6" t="str">
        <f t="shared" si="12"/>
        <v>N1000WINFO3104091</v>
      </c>
      <c r="C627" s="8" t="s">
        <v>1985</v>
      </c>
      <c r="D627" s="10" t="s">
        <v>1560</v>
      </c>
      <c r="E627" s="8" t="s">
        <v>1894</v>
      </c>
      <c r="F627" s="8" t="s">
        <v>686</v>
      </c>
      <c r="G627" s="8" t="s">
        <v>684</v>
      </c>
      <c r="I627" s="7" t="str">
        <f>IF(B627&lt;&gt;"",CREATE_QUERY($B$1,A$2:G$2,A627:G627),"")</f>
        <v>INSERT INTO base_mast(hqof_idcd, base_idcd, base_code, base_name, prnt_idcd, line_stat, line_levl) VALUES ('N1000WINFO', 'N1000WINFO3104091', '091', '백색_전용', '3104', '0', '1');</v>
      </c>
    </row>
    <row r="628" spans="1:9">
      <c r="A628" s="7" t="s">
        <v>1443</v>
      </c>
      <c r="B628" s="6" t="str">
        <f t="shared" si="12"/>
        <v>N1000WINFO3104092</v>
      </c>
      <c r="C628" s="8" t="s">
        <v>1986</v>
      </c>
      <c r="D628" s="10" t="s">
        <v>1561</v>
      </c>
      <c r="E628" s="8" t="s">
        <v>1894</v>
      </c>
      <c r="F628" s="8" t="s">
        <v>686</v>
      </c>
      <c r="G628" s="8" t="s">
        <v>684</v>
      </c>
      <c r="I628" s="7" t="str">
        <f>IF(B628&lt;&gt;"",CREATE_QUERY($B$1,A$2:G$2,A628:G628),"")</f>
        <v>INSERT INTO base_mast(hqof_idcd, base_idcd, base_code, base_name, prnt_idcd, line_stat, line_levl) VALUES ('N1000WINFO', 'N1000WINFO3104092', '092', '백색반투명', '3104', '0', '1');</v>
      </c>
    </row>
    <row r="629" spans="1:9">
      <c r="A629" s="7" t="s">
        <v>1443</v>
      </c>
      <c r="B629" s="6" t="str">
        <f t="shared" si="12"/>
        <v>N1000WINFO3104093</v>
      </c>
      <c r="C629" s="8" t="s">
        <v>1987</v>
      </c>
      <c r="D629" s="10" t="s">
        <v>1562</v>
      </c>
      <c r="E629" s="8" t="s">
        <v>1894</v>
      </c>
      <c r="F629" s="8" t="s">
        <v>686</v>
      </c>
      <c r="G629" s="8" t="s">
        <v>684</v>
      </c>
      <c r="I629" s="7" t="str">
        <f>IF(B629&lt;&gt;"",CREATE_QUERY($B$1,A$2:G$2,A629:G629),"")</f>
        <v>INSERT INTO base_mast(hqof_idcd, base_idcd, base_code, base_name, prnt_idcd, line_stat, line_levl) VALUES ('N1000WINFO', 'N1000WINFO3104093', '093', '백색투명', '3104', '0', '1');</v>
      </c>
    </row>
    <row r="630" spans="1:9">
      <c r="A630" s="7" t="s">
        <v>1443</v>
      </c>
      <c r="B630" s="6" t="str">
        <f t="shared" si="12"/>
        <v>N1000WINFO3104094</v>
      </c>
      <c r="C630" s="8" t="s">
        <v>1988</v>
      </c>
      <c r="D630" s="10" t="s">
        <v>1563</v>
      </c>
      <c r="E630" s="8" t="s">
        <v>1894</v>
      </c>
      <c r="F630" s="8" t="s">
        <v>686</v>
      </c>
      <c r="G630" s="8" t="s">
        <v>684</v>
      </c>
      <c r="I630" s="7" t="str">
        <f>IF(B630&lt;&gt;"",CREATE_QUERY($B$1,A$2:G$2,A630:G630),"")</f>
        <v>INSERT INTO base_mast(hqof_idcd, base_idcd, base_code, base_name, prnt_idcd, line_stat, line_levl) VALUES ('N1000WINFO', 'N1000WINFO3104094', '094', '베이지색', '3104', '0', '1');</v>
      </c>
    </row>
    <row r="631" spans="1:9">
      <c r="A631" s="7" t="s">
        <v>1443</v>
      </c>
      <c r="B631" s="6" t="str">
        <f t="shared" si="12"/>
        <v>N1000WINFO3104095</v>
      </c>
      <c r="C631" s="8" t="s">
        <v>1989</v>
      </c>
      <c r="D631" s="10" t="s">
        <v>1564</v>
      </c>
      <c r="E631" s="8" t="s">
        <v>1894</v>
      </c>
      <c r="F631" s="8" t="s">
        <v>686</v>
      </c>
      <c r="G631" s="8" t="s">
        <v>684</v>
      </c>
      <c r="I631" s="7" t="str">
        <f>IF(B631&lt;&gt;"",CREATE_QUERY($B$1,A$2:G$2,A631:G631),"")</f>
        <v>INSERT INTO base_mast(hqof_idcd, base_idcd, base_code, base_name, prnt_idcd, line_stat, line_levl) VALUES ('N1000WINFO', 'N1000WINFO3104095', '095', '베이지유광증착', '3104', '0', '1');</v>
      </c>
    </row>
    <row r="632" spans="1:9">
      <c r="A632" s="7" t="s">
        <v>1443</v>
      </c>
      <c r="B632" s="6" t="str">
        <f t="shared" si="12"/>
        <v>N1000WINFO3104096</v>
      </c>
      <c r="C632" s="8" t="s">
        <v>1990</v>
      </c>
      <c r="D632" s="10" t="s">
        <v>1565</v>
      </c>
      <c r="E632" s="8" t="s">
        <v>1894</v>
      </c>
      <c r="F632" s="8" t="s">
        <v>686</v>
      </c>
      <c r="G632" s="8" t="s">
        <v>684</v>
      </c>
      <c r="I632" s="7" t="str">
        <f>IF(B632&lt;&gt;"",CREATE_QUERY($B$1,A$2:G$2,A632:G632),"")</f>
        <v>INSERT INTO base_mast(hqof_idcd, base_idcd, base_code, base_name, prnt_idcd, line_stat, line_levl) VALUES ('N1000WINFO', 'N1000WINFO3104096', '096', '보라색', '3104', '0', '1');</v>
      </c>
    </row>
    <row r="633" spans="1:9">
      <c r="A633" s="7" t="s">
        <v>1443</v>
      </c>
      <c r="B633" s="6" t="str">
        <f t="shared" si="12"/>
        <v>N1000WINFO3104097</v>
      </c>
      <c r="C633" s="8" t="s">
        <v>1991</v>
      </c>
      <c r="D633" s="10" t="s">
        <v>1566</v>
      </c>
      <c r="E633" s="8" t="s">
        <v>1894</v>
      </c>
      <c r="F633" s="8" t="s">
        <v>686</v>
      </c>
      <c r="G633" s="8" t="s">
        <v>684</v>
      </c>
      <c r="I633" s="7" t="str">
        <f>IF(B633&lt;&gt;"",CREATE_QUERY($B$1,A$2:G$2,A633:G633),"")</f>
        <v>INSERT INTO base_mast(hqof_idcd, base_idcd, base_code, base_name, prnt_idcd, line_stat, line_levl) VALUES ('N1000WINFO', 'N1000WINFO3104097', '097', '보라색반투명', '3104', '0', '1');</v>
      </c>
    </row>
    <row r="634" spans="1:9">
      <c r="A634" s="7" t="s">
        <v>1443</v>
      </c>
      <c r="B634" s="6" t="str">
        <f t="shared" si="12"/>
        <v>N1000WINFO3104098</v>
      </c>
      <c r="C634" s="8" t="s">
        <v>1992</v>
      </c>
      <c r="D634" s="10" t="s">
        <v>1567</v>
      </c>
      <c r="E634" s="8" t="s">
        <v>1894</v>
      </c>
      <c r="F634" s="8" t="s">
        <v>686</v>
      </c>
      <c r="G634" s="8" t="s">
        <v>684</v>
      </c>
      <c r="I634" s="7" t="str">
        <f>IF(B634&lt;&gt;"",CREATE_QUERY($B$1,A$2:G$2,A634:G634),"")</f>
        <v>INSERT INTO base_mast(hqof_idcd, base_idcd, base_code, base_name, prnt_idcd, line_stat, line_levl) VALUES ('N1000WINFO', 'N1000WINFO3104098', '098', '보라색투명', '3104', '0', '1');</v>
      </c>
    </row>
    <row r="635" spans="1:9">
      <c r="A635" s="7" t="s">
        <v>1443</v>
      </c>
      <c r="B635" s="6" t="str">
        <f t="shared" si="12"/>
        <v>N1000WINFO3104099</v>
      </c>
      <c r="C635" s="8" t="s">
        <v>1993</v>
      </c>
      <c r="D635" s="10" t="s">
        <v>1568</v>
      </c>
      <c r="E635" s="8" t="s">
        <v>1894</v>
      </c>
      <c r="F635" s="8" t="s">
        <v>686</v>
      </c>
      <c r="G635" s="8" t="s">
        <v>684</v>
      </c>
      <c r="I635" s="7" t="str">
        <f>IF(B635&lt;&gt;"",CREATE_QUERY($B$1,A$2:G$2,A635:G635),"")</f>
        <v>INSERT INTO base_mast(hqof_idcd, base_idcd, base_code, base_name, prnt_idcd, line_stat, line_levl) VALUES ('N1000WINFO', 'N1000WINFO3104099', '099', '보시아백색', '3104', '0', '1');</v>
      </c>
    </row>
    <row r="636" spans="1:9">
      <c r="A636" s="7" t="s">
        <v>1443</v>
      </c>
      <c r="B636" s="6" t="str">
        <f t="shared" si="12"/>
        <v>N1000WINFO3104100</v>
      </c>
      <c r="C636" s="8" t="s">
        <v>1994</v>
      </c>
      <c r="D636" s="10" t="s">
        <v>1569</v>
      </c>
      <c r="E636" s="8" t="s">
        <v>1894</v>
      </c>
      <c r="F636" s="8" t="s">
        <v>686</v>
      </c>
      <c r="G636" s="8" t="s">
        <v>684</v>
      </c>
      <c r="I636" s="7" t="str">
        <f>IF(B636&lt;&gt;"",CREATE_QUERY($B$1,A$2:G$2,A636:G636),"")</f>
        <v>INSERT INTO base_mast(hqof_idcd, base_idcd, base_code, base_name, prnt_idcd, line_stat, line_levl) VALUES ('N1000WINFO', 'N1000WINFO3104100', '100', '분홍색', '3104', '0', '1');</v>
      </c>
    </row>
    <row r="637" spans="1:9">
      <c r="A637" s="7" t="s">
        <v>1443</v>
      </c>
      <c r="B637" s="6" t="str">
        <f t="shared" si="12"/>
        <v>N1000WINFO3104101</v>
      </c>
      <c r="C637" s="8" t="s">
        <v>1995</v>
      </c>
      <c r="D637" s="10" t="s">
        <v>1570</v>
      </c>
      <c r="E637" s="8" t="s">
        <v>1894</v>
      </c>
      <c r="F637" s="8" t="s">
        <v>686</v>
      </c>
      <c r="G637" s="8" t="s">
        <v>684</v>
      </c>
      <c r="I637" s="7" t="str">
        <f>IF(B637&lt;&gt;"",CREATE_QUERY($B$1,A$2:G$2,A637:G637),"")</f>
        <v>INSERT INTO base_mast(hqof_idcd, base_idcd, base_code, base_name, prnt_idcd, line_stat, line_levl) VALUES ('N1000WINFO', 'N1000WINFO3104101', '101', '분홍골드유광증착', '3104', '0', '1');</v>
      </c>
    </row>
    <row r="638" spans="1:9">
      <c r="A638" s="7" t="s">
        <v>1443</v>
      </c>
      <c r="B638" s="6" t="str">
        <f t="shared" si="12"/>
        <v>N1000WINFO3104102</v>
      </c>
      <c r="C638" s="8" t="s">
        <v>1996</v>
      </c>
      <c r="D638" s="10" t="s">
        <v>1571</v>
      </c>
      <c r="E638" s="8" t="s">
        <v>1894</v>
      </c>
      <c r="F638" s="8" t="s">
        <v>686</v>
      </c>
      <c r="G638" s="8" t="s">
        <v>684</v>
      </c>
      <c r="I638" s="7" t="str">
        <f>IF(B638&lt;&gt;"",CREATE_QUERY($B$1,A$2:G$2,A638:G638),"")</f>
        <v>INSERT INTO base_mast(hqof_idcd, base_idcd, base_code, base_name, prnt_idcd, line_stat, line_levl) VALUES ('N1000WINFO', 'N1000WINFO3104102', '102', '분홍색반투명', '3104', '0', '1');</v>
      </c>
    </row>
    <row r="639" spans="1:9">
      <c r="A639" s="7" t="s">
        <v>1443</v>
      </c>
      <c r="B639" s="6" t="str">
        <f t="shared" si="12"/>
        <v>N1000WINFO3104103</v>
      </c>
      <c r="C639" s="8" t="s">
        <v>1997</v>
      </c>
      <c r="D639" s="10" t="s">
        <v>1572</v>
      </c>
      <c r="E639" s="8" t="s">
        <v>1894</v>
      </c>
      <c r="F639" s="8" t="s">
        <v>686</v>
      </c>
      <c r="G639" s="8" t="s">
        <v>684</v>
      </c>
      <c r="I639" s="7" t="str">
        <f>IF(B639&lt;&gt;"",CREATE_QUERY($B$1,A$2:G$2,A639:G639),"")</f>
        <v>INSERT INTO base_mast(hqof_idcd, base_idcd, base_code, base_name, prnt_idcd, line_stat, line_levl) VALUES ('N1000WINFO', 'N1000WINFO3104103', '103', '분홍색투명', '3104', '0', '1');</v>
      </c>
    </row>
    <row r="640" spans="1:9">
      <c r="A640" s="7" t="s">
        <v>1443</v>
      </c>
      <c r="B640" s="6" t="str">
        <f t="shared" si="12"/>
        <v>N1000WINFO3104104</v>
      </c>
      <c r="C640" s="8" t="s">
        <v>1998</v>
      </c>
      <c r="D640" s="10" t="s">
        <v>1573</v>
      </c>
      <c r="E640" s="8" t="s">
        <v>1894</v>
      </c>
      <c r="F640" s="8" t="s">
        <v>686</v>
      </c>
      <c r="G640" s="8" t="s">
        <v>684</v>
      </c>
      <c r="I640" s="7" t="str">
        <f>IF(B640&lt;&gt;"",CREATE_QUERY($B$1,A$2:G$2,A640:G640),"")</f>
        <v>INSERT INTO base_mast(hqof_idcd, base_idcd, base_code, base_name, prnt_idcd, line_stat, line_levl) VALUES ('N1000WINFO', 'N1000WINFO3104104', '104', '불투명베이지마블', '3104', '0', '1');</v>
      </c>
    </row>
    <row r="641" spans="1:9">
      <c r="A641" s="7" t="s">
        <v>1443</v>
      </c>
      <c r="B641" s="6" t="str">
        <f t="shared" si="12"/>
        <v>N1000WINFO3104105</v>
      </c>
      <c r="C641" s="8" t="s">
        <v>1999</v>
      </c>
      <c r="D641" s="10" t="s">
        <v>1574</v>
      </c>
      <c r="E641" s="8" t="s">
        <v>1894</v>
      </c>
      <c r="F641" s="8" t="s">
        <v>686</v>
      </c>
      <c r="G641" s="8" t="s">
        <v>684</v>
      </c>
      <c r="I641" s="7" t="str">
        <f>IF(B641&lt;&gt;"",CREATE_QUERY($B$1,A$2:G$2,A641:G641),"")</f>
        <v>INSERT INTO base_mast(hqof_idcd, base_idcd, base_code, base_name, prnt_idcd, line_stat, line_levl) VALUES ('N1000WINFO', 'N1000WINFO3104105', '105', '블랙투명', '3104', '0', '1');</v>
      </c>
    </row>
    <row r="642" spans="1:9">
      <c r="A642" s="7" t="s">
        <v>1443</v>
      </c>
      <c r="B642" s="6" t="str">
        <f t="shared" si="12"/>
        <v>N1000WINFO3104106</v>
      </c>
      <c r="C642" s="8" t="s">
        <v>2000</v>
      </c>
      <c r="D642" s="10" t="s">
        <v>1575</v>
      </c>
      <c r="E642" s="8" t="s">
        <v>1894</v>
      </c>
      <c r="F642" s="8" t="s">
        <v>686</v>
      </c>
      <c r="G642" s="8" t="s">
        <v>684</v>
      </c>
      <c r="I642" s="7" t="str">
        <f>IF(B642&lt;&gt;"",CREATE_QUERY($B$1,A$2:G$2,A642:G642),"")</f>
        <v>INSERT INTO base_mast(hqof_idcd, base_idcd, base_code, base_name, prnt_idcd, line_stat, line_levl) VALUES ('N1000WINFO', 'N1000WINFO3104106', '106', '블루블랙', '3104', '0', '1');</v>
      </c>
    </row>
    <row r="643" spans="1:9">
      <c r="A643" s="7" t="s">
        <v>1443</v>
      </c>
      <c r="B643" s="6" t="str">
        <f t="shared" si="12"/>
        <v>N1000WINFO3104107</v>
      </c>
      <c r="C643" s="8" t="s">
        <v>2001</v>
      </c>
      <c r="D643" s="10" t="s">
        <v>1576</v>
      </c>
      <c r="E643" s="8" t="s">
        <v>1894</v>
      </c>
      <c r="F643" s="8" t="s">
        <v>686</v>
      </c>
      <c r="G643" s="8" t="s">
        <v>684</v>
      </c>
      <c r="I643" s="7" t="str">
        <f>IF(B643&lt;&gt;"",CREATE_QUERY($B$1,A$2:G$2,A643:G643),"")</f>
        <v>INSERT INTO base_mast(hqof_idcd, base_idcd, base_code, base_name, prnt_idcd, line_stat, line_levl) VALUES ('N1000WINFO', 'N1000WINFO3104107', '107', '블루투명', '3104', '0', '1');</v>
      </c>
    </row>
    <row r="644" spans="1:9">
      <c r="A644" s="7" t="s">
        <v>1443</v>
      </c>
      <c r="B644" s="6" t="str">
        <f t="shared" si="12"/>
        <v>N1000WINFO3104108</v>
      </c>
      <c r="C644" s="8" t="s">
        <v>2002</v>
      </c>
      <c r="D644" s="10" t="s">
        <v>1577</v>
      </c>
      <c r="E644" s="8" t="s">
        <v>1894</v>
      </c>
      <c r="F644" s="8" t="s">
        <v>686</v>
      </c>
      <c r="G644" s="8" t="s">
        <v>684</v>
      </c>
      <c r="I644" s="7" t="str">
        <f>IF(B644&lt;&gt;"",CREATE_QUERY($B$1,A$2:G$2,A644:G644),"")</f>
        <v>INSERT INTO base_mast(hqof_idcd, base_idcd, base_code, base_name, prnt_idcd, line_stat, line_levl) VALUES ('N1000WINFO', 'N1000WINFO3104108', '108', '빨간색', '3104', '0', '1');</v>
      </c>
    </row>
    <row r="645" spans="1:9">
      <c r="A645" s="7" t="s">
        <v>1443</v>
      </c>
      <c r="B645" s="6" t="str">
        <f t="shared" si="12"/>
        <v>N1000WINFO3104109</v>
      </c>
      <c r="C645" s="8" t="s">
        <v>2003</v>
      </c>
      <c r="D645" s="10" t="s">
        <v>1578</v>
      </c>
      <c r="E645" s="8" t="s">
        <v>1894</v>
      </c>
      <c r="F645" s="8" t="s">
        <v>686</v>
      </c>
      <c r="G645" s="8" t="s">
        <v>684</v>
      </c>
      <c r="I645" s="7" t="str">
        <f>IF(B645&lt;&gt;"",CREATE_QUERY($B$1,A$2:G$2,A645:G645),"")</f>
        <v>INSERT INTO base_mast(hqof_idcd, base_idcd, base_code, base_name, prnt_idcd, line_stat, line_levl) VALUES ('N1000WINFO', 'N1000WINFO3104109', '109', '빨간색반투명', '3104', '0', '1');</v>
      </c>
    </row>
    <row r="646" spans="1:9">
      <c r="A646" s="7" t="s">
        <v>1443</v>
      </c>
      <c r="B646" s="6" t="str">
        <f t="shared" si="12"/>
        <v>N1000WINFO3104110</v>
      </c>
      <c r="C646" s="8" t="s">
        <v>2004</v>
      </c>
      <c r="D646" s="10" t="s">
        <v>1579</v>
      </c>
      <c r="E646" s="8" t="s">
        <v>1894</v>
      </c>
      <c r="F646" s="8" t="s">
        <v>686</v>
      </c>
      <c r="G646" s="8" t="s">
        <v>684</v>
      </c>
      <c r="I646" s="7" t="str">
        <f>IF(B646&lt;&gt;"",CREATE_QUERY($B$1,A$2:G$2,A646:G646),"")</f>
        <v>INSERT INTO base_mast(hqof_idcd, base_idcd, base_code, base_name, prnt_idcd, line_stat, line_levl) VALUES ('N1000WINFO', 'N1000WINFO3104110', '110', '빨간색투명', '3104', '0', '1');</v>
      </c>
    </row>
    <row r="647" spans="1:9">
      <c r="A647" s="7" t="s">
        <v>1443</v>
      </c>
      <c r="B647" s="6" t="str">
        <f t="shared" si="12"/>
        <v>N1000WINFO3104111</v>
      </c>
      <c r="C647" s="8" t="s">
        <v>2005</v>
      </c>
      <c r="D647" s="10" t="s">
        <v>1580</v>
      </c>
      <c r="E647" s="8" t="s">
        <v>1894</v>
      </c>
      <c r="F647" s="8" t="s">
        <v>686</v>
      </c>
      <c r="G647" s="8" t="s">
        <v>684</v>
      </c>
      <c r="I647" s="7" t="str">
        <f>IF(B647&lt;&gt;"",CREATE_QUERY($B$1,A$2:G$2,A647:G647),"")</f>
        <v>INSERT INTO base_mast(hqof_idcd, base_idcd, base_code, base_name, prnt_idcd, line_stat, line_levl) VALUES ('N1000WINFO', 'N1000WINFO3104111', '111', '살구색', '3104', '0', '1');</v>
      </c>
    </row>
    <row r="648" spans="1:9">
      <c r="A648" s="7" t="s">
        <v>1443</v>
      </c>
      <c r="B648" s="6" t="str">
        <f t="shared" si="12"/>
        <v>N1000WINFO3104112</v>
      </c>
      <c r="C648" s="8" t="s">
        <v>2006</v>
      </c>
      <c r="D648" s="10" t="s">
        <v>1581</v>
      </c>
      <c r="E648" s="8" t="s">
        <v>1894</v>
      </c>
      <c r="F648" s="8" t="s">
        <v>686</v>
      </c>
      <c r="G648" s="8" t="s">
        <v>684</v>
      </c>
      <c r="I648" s="7" t="str">
        <f>IF(B648&lt;&gt;"",CREATE_QUERY($B$1,A$2:G$2,A648:G648),"")</f>
        <v>INSERT INTO base_mast(hqof_idcd, base_idcd, base_code, base_name, prnt_idcd, line_stat, line_levl) VALUES ('N1000WINFO', 'N1000WINFO3104112', '112', '살구색반투명', '3104', '0', '1');</v>
      </c>
    </row>
    <row r="649" spans="1:9">
      <c r="A649" s="7" t="s">
        <v>1443</v>
      </c>
      <c r="B649" s="6" t="str">
        <f t="shared" si="12"/>
        <v>N1000WINFO3104113</v>
      </c>
      <c r="C649" s="8" t="s">
        <v>2007</v>
      </c>
      <c r="D649" s="10" t="s">
        <v>1582</v>
      </c>
      <c r="E649" s="8" t="s">
        <v>1894</v>
      </c>
      <c r="F649" s="8" t="s">
        <v>686</v>
      </c>
      <c r="G649" s="8" t="s">
        <v>684</v>
      </c>
      <c r="I649" s="7" t="str">
        <f>IF(B649&lt;&gt;"",CREATE_QUERY($B$1,A$2:G$2,A649:G649),"")</f>
        <v>INSERT INTO base_mast(hqof_idcd, base_idcd, base_code, base_name, prnt_idcd, line_stat, line_levl) VALUES ('N1000WINFO', 'N1000WINFO3104113', '113', '살구색투명', '3104', '0', '1');</v>
      </c>
    </row>
    <row r="650" spans="1:9">
      <c r="A650" s="7" t="s">
        <v>1443</v>
      </c>
      <c r="B650" s="6" t="str">
        <f t="shared" si="12"/>
        <v>N1000WINFO3104114</v>
      </c>
      <c r="C650" s="8" t="s">
        <v>2008</v>
      </c>
      <c r="D650" s="10" t="s">
        <v>1583</v>
      </c>
      <c r="E650" s="8" t="s">
        <v>1894</v>
      </c>
      <c r="F650" s="8" t="s">
        <v>686</v>
      </c>
      <c r="G650" s="8" t="s">
        <v>684</v>
      </c>
      <c r="I650" s="7" t="str">
        <f>IF(B650&lt;&gt;"",CREATE_QUERY($B$1,A$2:G$2,A650:G650),"")</f>
        <v>INSERT INTO base_mast(hqof_idcd, base_idcd, base_code, base_name, prnt_idcd, line_stat, line_levl) VALUES ('N1000WINFO', 'N1000WINFO3104114', '114', '살색', '3104', '0', '1');</v>
      </c>
    </row>
    <row r="651" spans="1:9">
      <c r="A651" s="7" t="s">
        <v>1443</v>
      </c>
      <c r="B651" s="6" t="str">
        <f t="shared" si="12"/>
        <v>N1000WINFO3104115</v>
      </c>
      <c r="C651" s="8" t="s">
        <v>2009</v>
      </c>
      <c r="D651" s="10" t="s">
        <v>1584</v>
      </c>
      <c r="E651" s="8" t="s">
        <v>1894</v>
      </c>
      <c r="F651" s="8" t="s">
        <v>686</v>
      </c>
      <c r="G651" s="8" t="s">
        <v>684</v>
      </c>
      <c r="I651" s="7" t="str">
        <f>IF(B651&lt;&gt;"",CREATE_QUERY($B$1,A$2:G$2,A651:G651),"")</f>
        <v>INSERT INTO base_mast(hqof_idcd, base_idcd, base_code, base_name, prnt_idcd, line_stat, line_levl) VALUES ('N1000WINFO', 'N1000WINFO3104115', '115', '살색투명', '3104', '0', '1');</v>
      </c>
    </row>
    <row r="652" spans="1:9">
      <c r="A652" s="7" t="s">
        <v>1443</v>
      </c>
      <c r="B652" s="6" t="str">
        <f t="shared" si="12"/>
        <v>N1000WINFO3104116</v>
      </c>
      <c r="C652" s="8" t="s">
        <v>2010</v>
      </c>
      <c r="D652" s="10" t="s">
        <v>1585</v>
      </c>
      <c r="E652" s="8" t="s">
        <v>1894</v>
      </c>
      <c r="F652" s="8" t="s">
        <v>686</v>
      </c>
      <c r="G652" s="8" t="s">
        <v>684</v>
      </c>
      <c r="I652" s="7" t="str">
        <f>IF(B652&lt;&gt;"",CREATE_QUERY($B$1,A$2:G$2,A652:G652),"")</f>
        <v>INSERT INTO base_mast(hqof_idcd, base_idcd, base_code, base_name, prnt_idcd, line_stat, line_levl) VALUES ('N1000WINFO', 'N1000WINFO3104116', '116', '상해백색', '3104', '0', '1');</v>
      </c>
    </row>
    <row r="653" spans="1:9">
      <c r="A653" s="7" t="s">
        <v>1443</v>
      </c>
      <c r="B653" s="6" t="str">
        <f t="shared" si="12"/>
        <v>N1000WINFO3104117</v>
      </c>
      <c r="C653" s="8" t="s">
        <v>2011</v>
      </c>
      <c r="D653" s="10" t="s">
        <v>1586</v>
      </c>
      <c r="E653" s="8" t="s">
        <v>1894</v>
      </c>
      <c r="F653" s="8" t="s">
        <v>686</v>
      </c>
      <c r="G653" s="8" t="s">
        <v>684</v>
      </c>
      <c r="I653" s="7" t="str">
        <f>IF(B653&lt;&gt;"",CREATE_QUERY($B$1,A$2:G$2,A653:G653),"")</f>
        <v>INSERT INTO base_mast(hqof_idcd, base_idcd, base_code, base_name, prnt_idcd, line_stat, line_levl) VALUES ('N1000WINFO', 'N1000WINFO3104117', '117', '샛노랑', '3104', '0', '1');</v>
      </c>
    </row>
    <row r="654" spans="1:9">
      <c r="A654" s="7" t="s">
        <v>1443</v>
      </c>
      <c r="B654" s="6" t="str">
        <f t="shared" si="12"/>
        <v>N1000WINFO3104118</v>
      </c>
      <c r="C654" s="8" t="s">
        <v>2012</v>
      </c>
      <c r="D654" s="10" t="s">
        <v>1587</v>
      </c>
      <c r="E654" s="8" t="s">
        <v>1894</v>
      </c>
      <c r="F654" s="8" t="s">
        <v>686</v>
      </c>
      <c r="G654" s="8" t="s">
        <v>684</v>
      </c>
      <c r="I654" s="7" t="str">
        <f>IF(B654&lt;&gt;"",CREATE_QUERY($B$1,A$2:G$2,A654:G654),"")</f>
        <v>INSERT INTO base_mast(hqof_idcd, base_idcd, base_code, base_name, prnt_idcd, line_stat, line_levl) VALUES ('N1000WINFO', 'N1000WINFO3104118', '118', '샴페인골드', '3104', '0', '1');</v>
      </c>
    </row>
    <row r="655" spans="1:9">
      <c r="A655" s="7" t="s">
        <v>1443</v>
      </c>
      <c r="B655" s="6" t="str">
        <f t="shared" si="12"/>
        <v>N1000WINFO3104119</v>
      </c>
      <c r="C655" s="8" t="s">
        <v>2013</v>
      </c>
      <c r="D655" s="10" t="s">
        <v>1588</v>
      </c>
      <c r="E655" s="8" t="s">
        <v>1894</v>
      </c>
      <c r="F655" s="8" t="s">
        <v>686</v>
      </c>
      <c r="G655" s="8" t="s">
        <v>684</v>
      </c>
      <c r="I655" s="7" t="str">
        <f>IF(B655&lt;&gt;"",CREATE_QUERY($B$1,A$2:G$2,A655:G655),"")</f>
        <v>INSERT INTO base_mast(hqof_idcd, base_idcd, base_code, base_name, prnt_idcd, line_stat, line_levl) VALUES ('N1000WINFO', 'N1000WINFO3104119', '119', '순백색', '3104', '0', '1');</v>
      </c>
    </row>
    <row r="656" spans="1:9">
      <c r="A656" s="7" t="s">
        <v>1443</v>
      </c>
      <c r="B656" s="6" t="str">
        <f t="shared" si="12"/>
        <v>N1000WINFO3104120</v>
      </c>
      <c r="C656" s="8" t="s">
        <v>2014</v>
      </c>
      <c r="D656" s="10" t="s">
        <v>1589</v>
      </c>
      <c r="E656" s="8" t="s">
        <v>1894</v>
      </c>
      <c r="F656" s="8" t="s">
        <v>686</v>
      </c>
      <c r="G656" s="8" t="s">
        <v>684</v>
      </c>
      <c r="I656" s="7" t="str">
        <f>IF(B656&lt;&gt;"",CREATE_QUERY($B$1,A$2:G$2,A656:G656),"")</f>
        <v>INSERT INTO base_mast(hqof_idcd, base_idcd, base_code, base_name, prnt_idcd, line_stat, line_levl) VALUES ('N1000WINFO', 'N1000WINFO3104120', '120', '스모그아이스', '3104', '0', '1');</v>
      </c>
    </row>
    <row r="657" spans="1:9">
      <c r="A657" s="7" t="s">
        <v>1443</v>
      </c>
      <c r="B657" s="6" t="str">
        <f t="shared" si="12"/>
        <v>N1000WINFO3104121</v>
      </c>
      <c r="C657" s="8" t="s">
        <v>2015</v>
      </c>
      <c r="D657" s="10" t="s">
        <v>1590</v>
      </c>
      <c r="E657" s="8" t="s">
        <v>1894</v>
      </c>
      <c r="F657" s="8" t="s">
        <v>686</v>
      </c>
      <c r="G657" s="8" t="s">
        <v>684</v>
      </c>
      <c r="I657" s="7" t="str">
        <f>IF(B657&lt;&gt;"",CREATE_QUERY($B$1,A$2:G$2,A657:G657),"")</f>
        <v>INSERT INTO base_mast(hqof_idcd, base_idcd, base_code, base_name, prnt_idcd, line_stat, line_levl) VALUES ('N1000WINFO', 'N1000WINFO3104121', '121', '스모그아이스연그린색투명', '3104', '0', '1');</v>
      </c>
    </row>
    <row r="658" spans="1:9">
      <c r="A658" s="7" t="s">
        <v>1443</v>
      </c>
      <c r="B658" s="6" t="str">
        <f t="shared" si="12"/>
        <v>N1000WINFO3104122</v>
      </c>
      <c r="C658" s="8" t="s">
        <v>2016</v>
      </c>
      <c r="D658" s="10" t="s">
        <v>1591</v>
      </c>
      <c r="E658" s="8" t="s">
        <v>1894</v>
      </c>
      <c r="F658" s="8" t="s">
        <v>686</v>
      </c>
      <c r="G658" s="8" t="s">
        <v>684</v>
      </c>
      <c r="I658" s="7" t="str">
        <f>IF(B658&lt;&gt;"",CREATE_QUERY($B$1,A$2:G$2,A658:G658),"")</f>
        <v>INSERT INTO base_mast(hqof_idcd, base_idcd, base_code, base_name, prnt_idcd, line_stat, line_levl) VALUES ('N1000WINFO', 'N1000WINFO3104122', '122', '스모그아이스연그린투명', '3104', '0', '1');</v>
      </c>
    </row>
    <row r="659" spans="1:9">
      <c r="A659" s="7" t="s">
        <v>1443</v>
      </c>
      <c r="B659" s="6" t="str">
        <f t="shared" si="12"/>
        <v>N1000WINFO3104123</v>
      </c>
      <c r="C659" s="8" t="s">
        <v>2017</v>
      </c>
      <c r="D659" s="10" t="s">
        <v>1592</v>
      </c>
      <c r="E659" s="8" t="s">
        <v>1894</v>
      </c>
      <c r="F659" s="8" t="s">
        <v>686</v>
      </c>
      <c r="G659" s="8" t="s">
        <v>684</v>
      </c>
      <c r="I659" s="7" t="str">
        <f>IF(B659&lt;&gt;"",CREATE_QUERY($B$1,A$2:G$2,A659:G659),"")</f>
        <v>INSERT INTO base_mast(hqof_idcd, base_idcd, base_code, base_name, prnt_idcd, line_stat, line_levl) VALUES ('N1000WINFO', 'N1000WINFO3104123', '123', '스모그증착', '3104', '0', '1');</v>
      </c>
    </row>
    <row r="660" spans="1:9">
      <c r="A660" s="7" t="s">
        <v>1443</v>
      </c>
      <c r="B660" s="6" t="str">
        <f t="shared" si="12"/>
        <v>N1000WINFO3104124</v>
      </c>
      <c r="C660" s="8" t="s">
        <v>2018</v>
      </c>
      <c r="D660" s="10" t="s">
        <v>1593</v>
      </c>
      <c r="E660" s="8" t="s">
        <v>1894</v>
      </c>
      <c r="F660" s="8" t="s">
        <v>686</v>
      </c>
      <c r="G660" s="8" t="s">
        <v>684</v>
      </c>
      <c r="I660" s="7" t="str">
        <f>IF(B660&lt;&gt;"",CREATE_QUERY($B$1,A$2:G$2,A660:G660),"")</f>
        <v>INSERT INTO base_mast(hqof_idcd, base_idcd, base_code, base_name, prnt_idcd, line_stat, line_levl) VALUES ('N1000WINFO', 'N1000WINFO3104124', '124', '실버무유광증착', '3104', '0', '1');</v>
      </c>
    </row>
    <row r="661" spans="1:9">
      <c r="A661" s="7" t="s">
        <v>1443</v>
      </c>
      <c r="B661" s="6" t="str">
        <f t="shared" si="12"/>
        <v>N1000WINFO3104125</v>
      </c>
      <c r="C661" s="8" t="s">
        <v>2019</v>
      </c>
      <c r="D661" s="10" t="s">
        <v>1594</v>
      </c>
      <c r="E661" s="8" t="s">
        <v>1894</v>
      </c>
      <c r="F661" s="8" t="s">
        <v>686</v>
      </c>
      <c r="G661" s="8" t="s">
        <v>684</v>
      </c>
      <c r="I661" s="7" t="str">
        <f>IF(B661&lt;&gt;"",CREATE_QUERY($B$1,A$2:G$2,A661:G661),"")</f>
        <v>INSERT INTO base_mast(hqof_idcd, base_idcd, base_code, base_name, prnt_idcd, line_stat, line_levl) VALUES ('N1000WINFO', 'N1000WINFO3104125', '125', '실버반무광증착', '3104', '0', '1');</v>
      </c>
    </row>
    <row r="662" spans="1:9">
      <c r="A662" s="7" t="s">
        <v>1443</v>
      </c>
      <c r="B662" s="6" t="str">
        <f t="shared" si="12"/>
        <v>N1000WINFO3104126</v>
      </c>
      <c r="C662" s="8" t="s">
        <v>2020</v>
      </c>
      <c r="D662" s="10" t="s">
        <v>1595</v>
      </c>
      <c r="E662" s="8" t="s">
        <v>1894</v>
      </c>
      <c r="F662" s="8" t="s">
        <v>686</v>
      </c>
      <c r="G662" s="8" t="s">
        <v>684</v>
      </c>
      <c r="I662" s="7" t="str">
        <f>IF(B662&lt;&gt;"",CREATE_QUERY($B$1,A$2:G$2,A662:G662),"")</f>
        <v>INSERT INTO base_mast(hqof_idcd, base_idcd, base_code, base_name, prnt_idcd, line_stat, line_levl) VALUES ('N1000WINFO', 'N1000WINFO3104126', '126', '실버유광', '3104', '0', '1');</v>
      </c>
    </row>
    <row r="663" spans="1:9">
      <c r="A663" s="7" t="s">
        <v>1443</v>
      </c>
      <c r="B663" s="6" t="str">
        <f t="shared" si="12"/>
        <v>N1000WINFO3104127</v>
      </c>
      <c r="C663" s="8" t="s">
        <v>2021</v>
      </c>
      <c r="D663" s="10" t="s">
        <v>1596</v>
      </c>
      <c r="E663" s="8" t="s">
        <v>1894</v>
      </c>
      <c r="F663" s="8" t="s">
        <v>686</v>
      </c>
      <c r="G663" s="8" t="s">
        <v>684</v>
      </c>
      <c r="I663" s="7" t="str">
        <f>IF(B663&lt;&gt;"",CREATE_QUERY($B$1,A$2:G$2,A663:G663),"")</f>
        <v>INSERT INTO base_mast(hqof_idcd, base_idcd, base_code, base_name, prnt_idcd, line_stat, line_levl) VALUES ('N1000WINFO', 'N1000WINFO3104127', '127', '실버유광증착', '3104', '0', '1');</v>
      </c>
    </row>
    <row r="664" spans="1:9">
      <c r="A664" s="7" t="s">
        <v>1443</v>
      </c>
      <c r="B664" s="6" t="str">
        <f t="shared" si="12"/>
        <v>N1000WINFO3104128</v>
      </c>
      <c r="C664" s="8" t="s">
        <v>2022</v>
      </c>
      <c r="D664" s="10" t="s">
        <v>1597</v>
      </c>
      <c r="E664" s="8" t="s">
        <v>1894</v>
      </c>
      <c r="F664" s="8" t="s">
        <v>686</v>
      </c>
      <c r="G664" s="8" t="s">
        <v>684</v>
      </c>
      <c r="I664" s="7" t="str">
        <f>IF(B664&lt;&gt;"",CREATE_QUERY($B$1,A$2:G$2,A664:G664),"")</f>
        <v>INSERT INTO base_mast(hqof_idcd, base_idcd, base_code, base_name, prnt_idcd, line_stat, line_levl) VALUES ('N1000WINFO', 'N1000WINFO3104128', '128', '쑥색', '3104', '0', '1');</v>
      </c>
    </row>
    <row r="665" spans="1:9">
      <c r="A665" s="7" t="s">
        <v>1443</v>
      </c>
      <c r="B665" s="6" t="str">
        <f t="shared" ref="B665:B728" si="13">A665&amp;E665&amp;C665</f>
        <v>N1000WINFO3104129</v>
      </c>
      <c r="C665" s="8" t="s">
        <v>2023</v>
      </c>
      <c r="D665" s="10" t="s">
        <v>1598</v>
      </c>
      <c r="E665" s="8" t="s">
        <v>1894</v>
      </c>
      <c r="F665" s="8" t="s">
        <v>686</v>
      </c>
      <c r="G665" s="8" t="s">
        <v>684</v>
      </c>
      <c r="I665" s="7" t="str">
        <f>IF(B665&lt;&gt;"",CREATE_QUERY($B$1,A$2:G$2,A665:G665),"")</f>
        <v>INSERT INTO base_mast(hqof_idcd, base_idcd, base_code, base_name, prnt_idcd, line_stat, line_levl) VALUES ('N1000WINFO', 'N1000WINFO3104129', '129', '쑥색투명', '3104', '0', '1');</v>
      </c>
    </row>
    <row r="666" spans="1:9">
      <c r="A666" s="7" t="s">
        <v>1443</v>
      </c>
      <c r="B666" s="6" t="str">
        <f t="shared" si="13"/>
        <v>N1000WINFO3104130</v>
      </c>
      <c r="C666" s="8" t="s">
        <v>2024</v>
      </c>
      <c r="D666" s="10" t="s">
        <v>1599</v>
      </c>
      <c r="E666" s="8" t="s">
        <v>1894</v>
      </c>
      <c r="F666" s="8" t="s">
        <v>686</v>
      </c>
      <c r="G666" s="8" t="s">
        <v>684</v>
      </c>
      <c r="I666" s="7" t="str">
        <f>IF(B666&lt;&gt;"",CREATE_QUERY($B$1,A$2:G$2,A666:G666),"")</f>
        <v>INSERT INTO base_mast(hqof_idcd, base_idcd, base_code, base_name, prnt_idcd, line_stat, line_levl) VALUES ('N1000WINFO', 'N1000WINFO3104130', '130', '아이보리색', '3104', '0', '1');</v>
      </c>
    </row>
    <row r="667" spans="1:9">
      <c r="A667" s="7" t="s">
        <v>1443</v>
      </c>
      <c r="B667" s="6" t="str">
        <f t="shared" si="13"/>
        <v>N1000WINFO3104131</v>
      </c>
      <c r="C667" s="8" t="s">
        <v>2025</v>
      </c>
      <c r="D667" s="10" t="s">
        <v>1600</v>
      </c>
      <c r="E667" s="8" t="s">
        <v>1894</v>
      </c>
      <c r="F667" s="8" t="s">
        <v>686</v>
      </c>
      <c r="G667" s="8" t="s">
        <v>684</v>
      </c>
      <c r="I667" s="7" t="str">
        <f>IF(B667&lt;&gt;"",CREATE_QUERY($B$1,A$2:G$2,A667:G667),"")</f>
        <v>INSERT INTO base_mast(hqof_idcd, base_idcd, base_code, base_name, prnt_idcd, line_stat, line_levl) VALUES ('N1000WINFO', 'N1000WINFO3104131', '131', '아이보리반투명', '3104', '0', '1');</v>
      </c>
    </row>
    <row r="668" spans="1:9">
      <c r="A668" s="7" t="s">
        <v>1443</v>
      </c>
      <c r="B668" s="6" t="str">
        <f t="shared" si="13"/>
        <v>N1000WINFO3104132</v>
      </c>
      <c r="C668" s="8" t="s">
        <v>2026</v>
      </c>
      <c r="D668" s="10" t="s">
        <v>1601</v>
      </c>
      <c r="E668" s="8" t="s">
        <v>1894</v>
      </c>
      <c r="F668" s="8" t="s">
        <v>686</v>
      </c>
      <c r="G668" s="8" t="s">
        <v>684</v>
      </c>
      <c r="I668" s="7" t="str">
        <f>IF(B668&lt;&gt;"",CREATE_QUERY($B$1,A$2:G$2,A668:G668),"")</f>
        <v>INSERT INTO base_mast(hqof_idcd, base_idcd, base_code, base_name, prnt_idcd, line_stat, line_levl) VALUES ('N1000WINFO', 'N1000WINFO3104132', '132', '아이보리색투명', '3104', '0', '1');</v>
      </c>
    </row>
    <row r="669" spans="1:9">
      <c r="A669" s="7" t="s">
        <v>1443</v>
      </c>
      <c r="B669" s="6" t="str">
        <f t="shared" si="13"/>
        <v>N1000WINFO3104133</v>
      </c>
      <c r="C669" s="8" t="s">
        <v>2027</v>
      </c>
      <c r="D669" s="10" t="s">
        <v>1602</v>
      </c>
      <c r="E669" s="8" t="s">
        <v>1894</v>
      </c>
      <c r="F669" s="8" t="s">
        <v>686</v>
      </c>
      <c r="G669" s="8" t="s">
        <v>684</v>
      </c>
      <c r="I669" s="7" t="str">
        <f>IF(B669&lt;&gt;"",CREATE_QUERY($B$1,A$2:G$2,A669:G669),"")</f>
        <v>INSERT INTO base_mast(hqof_idcd, base_idcd, base_code, base_name, prnt_idcd, line_stat, line_levl) VALUES ('N1000WINFO', 'N1000WINFO3104133', '133', '아이스', '3104', '0', '1');</v>
      </c>
    </row>
    <row r="670" spans="1:9">
      <c r="A670" s="7" t="s">
        <v>1443</v>
      </c>
      <c r="B670" s="6" t="str">
        <f t="shared" si="13"/>
        <v>N1000WINFO3104134</v>
      </c>
      <c r="C670" s="8" t="s">
        <v>2028</v>
      </c>
      <c r="D670" s="10" t="s">
        <v>1603</v>
      </c>
      <c r="E670" s="8" t="s">
        <v>1894</v>
      </c>
      <c r="F670" s="8" t="s">
        <v>686</v>
      </c>
      <c r="G670" s="8" t="s">
        <v>684</v>
      </c>
      <c r="I670" s="7" t="str">
        <f>IF(B670&lt;&gt;"",CREATE_QUERY($B$1,A$2:G$2,A670:G670),"")</f>
        <v>INSERT INTO base_mast(hqof_idcd, base_idcd, base_code, base_name, prnt_idcd, line_stat, line_levl) VALUES ('N1000WINFO', 'N1000WINFO3104134', '134', '아이스(PKG레드도어색상)', '3104', '0', '1');</v>
      </c>
    </row>
    <row r="671" spans="1:9">
      <c r="A671" s="7" t="s">
        <v>1443</v>
      </c>
      <c r="B671" s="6" t="str">
        <f t="shared" si="13"/>
        <v>N1000WINFO3104135</v>
      </c>
      <c r="C671" s="8" t="s">
        <v>2029</v>
      </c>
      <c r="D671" s="10" t="s">
        <v>1604</v>
      </c>
      <c r="E671" s="8" t="s">
        <v>1894</v>
      </c>
      <c r="F671" s="8" t="s">
        <v>686</v>
      </c>
      <c r="G671" s="8" t="s">
        <v>684</v>
      </c>
      <c r="I671" s="7" t="str">
        <f>IF(B671&lt;&gt;"",CREATE_QUERY($B$1,A$2:G$2,A671:G671),"")</f>
        <v>INSERT INTO base_mast(hqof_idcd, base_idcd, base_code, base_name, prnt_idcd, line_stat, line_levl) VALUES ('N1000WINFO', 'N1000WINFO3104135', '135', '아이스1/2', '3104', '0', '1');</v>
      </c>
    </row>
    <row r="672" spans="1:9">
      <c r="A672" s="7" t="s">
        <v>1443</v>
      </c>
      <c r="B672" s="6" t="str">
        <f t="shared" si="13"/>
        <v>N1000WINFO3104136</v>
      </c>
      <c r="C672" s="8" t="s">
        <v>2030</v>
      </c>
      <c r="D672" s="10" t="s">
        <v>1605</v>
      </c>
      <c r="E672" s="8" t="s">
        <v>1894</v>
      </c>
      <c r="F672" s="8" t="s">
        <v>686</v>
      </c>
      <c r="G672" s="8" t="s">
        <v>684</v>
      </c>
      <c r="I672" s="7" t="str">
        <f>IF(B672&lt;&gt;"",CREATE_QUERY($B$1,A$2:G$2,A672:G672),"")</f>
        <v>INSERT INTO base_mast(hqof_idcd, base_idcd, base_code, base_name, prnt_idcd, line_stat, line_levl) VALUES ('N1000WINFO', 'N1000WINFO3104136', '136', '아이스NO.1', '3104', '0', '1');</v>
      </c>
    </row>
    <row r="673" spans="1:9">
      <c r="A673" s="7" t="s">
        <v>1443</v>
      </c>
      <c r="B673" s="6" t="str">
        <f t="shared" si="13"/>
        <v>N1000WINFO3104137</v>
      </c>
      <c r="C673" s="8" t="s">
        <v>2031</v>
      </c>
      <c r="D673" s="10" t="s">
        <v>1606</v>
      </c>
      <c r="E673" s="8" t="s">
        <v>1894</v>
      </c>
      <c r="F673" s="8" t="s">
        <v>686</v>
      </c>
      <c r="G673" s="8" t="s">
        <v>684</v>
      </c>
      <c r="I673" s="7" t="str">
        <f>IF(B673&lt;&gt;"",CREATE_QUERY($B$1,A$2:G$2,A673:G673),"")</f>
        <v>INSERT INTO base_mast(hqof_idcd, base_idcd, base_code, base_name, prnt_idcd, line_stat, line_levl) VALUES ('N1000WINFO', 'N1000WINFO3104137', '137', '아이스NO.2', '3104', '0', '1');</v>
      </c>
    </row>
    <row r="674" spans="1:9">
      <c r="A674" s="7" t="s">
        <v>1443</v>
      </c>
      <c r="B674" s="6" t="str">
        <f t="shared" si="13"/>
        <v>N1000WINFO3104138</v>
      </c>
      <c r="C674" s="8" t="s">
        <v>2032</v>
      </c>
      <c r="D674" s="10" t="s">
        <v>1607</v>
      </c>
      <c r="E674" s="8" t="s">
        <v>1894</v>
      </c>
      <c r="F674" s="8" t="s">
        <v>686</v>
      </c>
      <c r="G674" s="8" t="s">
        <v>684</v>
      </c>
      <c r="I674" s="7" t="str">
        <f>IF(B674&lt;&gt;"",CREATE_QUERY($B$1,A$2:G$2,A674:G674),"")</f>
        <v>INSERT INTO base_mast(hqof_idcd, base_idcd, base_code, base_name, prnt_idcd, line_stat, line_levl) VALUES ('N1000WINFO', 'N1000WINFO3104138', '138', '아이스NO.3', '3104', '0', '1');</v>
      </c>
    </row>
    <row r="675" spans="1:9">
      <c r="A675" s="7" t="s">
        <v>1443</v>
      </c>
      <c r="B675" s="6" t="str">
        <f t="shared" si="13"/>
        <v>N1000WINFO3104139</v>
      </c>
      <c r="C675" s="8" t="s">
        <v>2033</v>
      </c>
      <c r="D675" s="10" t="s">
        <v>1608</v>
      </c>
      <c r="E675" s="8" t="s">
        <v>1894</v>
      </c>
      <c r="F675" s="8" t="s">
        <v>686</v>
      </c>
      <c r="G675" s="8" t="s">
        <v>684</v>
      </c>
      <c r="I675" s="7" t="str">
        <f>IF(B675&lt;&gt;"",CREATE_QUERY($B$1,A$2:G$2,A675:G675),"")</f>
        <v>INSERT INTO base_mast(hqof_idcd, base_idcd, base_code, base_name, prnt_idcd, line_stat, line_levl) VALUES ('N1000WINFO', 'N1000WINFO3104139', '139', '아이스골드펄', '3104', '0', '1');</v>
      </c>
    </row>
    <row r="676" spans="1:9">
      <c r="A676" s="7" t="s">
        <v>1443</v>
      </c>
      <c r="B676" s="6" t="str">
        <f t="shared" si="13"/>
        <v>N1000WINFO3104140</v>
      </c>
      <c r="C676" s="8" t="s">
        <v>2034</v>
      </c>
      <c r="D676" s="10" t="s">
        <v>1609</v>
      </c>
      <c r="E676" s="8" t="s">
        <v>1894</v>
      </c>
      <c r="F676" s="8" t="s">
        <v>686</v>
      </c>
      <c r="G676" s="8" t="s">
        <v>684</v>
      </c>
      <c r="I676" s="7" t="str">
        <f>IF(B676&lt;&gt;"",CREATE_QUERY($B$1,A$2:G$2,A676:G676),"")</f>
        <v>INSERT INTO base_mast(hqof_idcd, base_idcd, base_code, base_name, prnt_idcd, line_stat, line_levl) VALUES ('N1000WINFO', 'N1000WINFO3104140', '140', '아이스반투명', '3104', '0', '1');</v>
      </c>
    </row>
    <row r="677" spans="1:9">
      <c r="A677" s="7" t="s">
        <v>1443</v>
      </c>
      <c r="B677" s="6" t="str">
        <f t="shared" si="13"/>
        <v>N1000WINFO3104141</v>
      </c>
      <c r="C677" s="8" t="s">
        <v>2035</v>
      </c>
      <c r="D677" s="10" t="s">
        <v>1610</v>
      </c>
      <c r="E677" s="8" t="s">
        <v>1894</v>
      </c>
      <c r="F677" s="8" t="s">
        <v>686</v>
      </c>
      <c r="G677" s="8" t="s">
        <v>684</v>
      </c>
      <c r="I677" s="7" t="str">
        <f>IF(B677&lt;&gt;"",CREATE_QUERY($B$1,A$2:G$2,A677:G677),"")</f>
        <v>INSERT INTO base_mast(hqof_idcd, base_idcd, base_code, base_name, prnt_idcd, line_stat, line_levl) VALUES ('N1000WINFO', 'N1000WINFO3104141', '141', '아이스아이보리', '3104', '0', '1');</v>
      </c>
    </row>
    <row r="678" spans="1:9">
      <c r="A678" s="7" t="s">
        <v>1443</v>
      </c>
      <c r="B678" s="6" t="str">
        <f t="shared" si="13"/>
        <v>N1000WINFO3104142</v>
      </c>
      <c r="C678" s="8" t="s">
        <v>2036</v>
      </c>
      <c r="D678" s="10" t="s">
        <v>1611</v>
      </c>
      <c r="E678" s="8" t="s">
        <v>1894</v>
      </c>
      <c r="F678" s="8" t="s">
        <v>686</v>
      </c>
      <c r="G678" s="8" t="s">
        <v>684</v>
      </c>
      <c r="I678" s="7" t="str">
        <f>IF(B678&lt;&gt;"",CREATE_QUERY($B$1,A$2:G$2,A678:G678),"")</f>
        <v>INSERT INTO base_mast(hqof_idcd, base_idcd, base_code, base_name, prnt_idcd, line_stat, line_levl) VALUES ('N1000WINFO', 'N1000WINFO3104142', '142', '아이스유백색', '3104', '0', '1');</v>
      </c>
    </row>
    <row r="679" spans="1:9">
      <c r="A679" s="7" t="s">
        <v>1443</v>
      </c>
      <c r="B679" s="6" t="str">
        <f t="shared" si="13"/>
        <v>N1000WINFO3104143</v>
      </c>
      <c r="C679" s="8" t="s">
        <v>2037</v>
      </c>
      <c r="D679" s="10" t="s">
        <v>1612</v>
      </c>
      <c r="E679" s="8" t="s">
        <v>1894</v>
      </c>
      <c r="F679" s="8" t="s">
        <v>686</v>
      </c>
      <c r="G679" s="8" t="s">
        <v>684</v>
      </c>
      <c r="I679" s="7" t="str">
        <f>IF(B679&lt;&gt;"",CREATE_QUERY($B$1,A$2:G$2,A679:G679),"")</f>
        <v>INSERT INTO base_mast(hqof_idcd, base_idcd, base_code, base_name, prnt_idcd, line_stat, line_levl) VALUES ('N1000WINFO', 'N1000WINFO3104143', '143', '아이스칼라', '3104', '0', '1');</v>
      </c>
    </row>
    <row r="680" spans="1:9">
      <c r="A680" s="7" t="s">
        <v>1443</v>
      </c>
      <c r="B680" s="6" t="str">
        <f t="shared" si="13"/>
        <v>N1000WINFO3104144</v>
      </c>
      <c r="C680" s="8" t="s">
        <v>2038</v>
      </c>
      <c r="D680" s="10" t="s">
        <v>1613</v>
      </c>
      <c r="E680" s="8" t="s">
        <v>1894</v>
      </c>
      <c r="F680" s="8" t="s">
        <v>686</v>
      </c>
      <c r="G680" s="8" t="s">
        <v>684</v>
      </c>
      <c r="I680" s="7" t="str">
        <f>IF(B680&lt;&gt;"",CREATE_QUERY($B$1,A$2:G$2,A680:G680),"")</f>
        <v>INSERT INTO base_mast(hqof_idcd, base_idcd, base_code, base_name, prnt_idcd, line_stat, line_levl) VALUES ('N1000WINFO', 'N1000WINFO3104144', '144', '아이스투명', '3104', '0', '1');</v>
      </c>
    </row>
    <row r="681" spans="1:9">
      <c r="A681" s="7" t="s">
        <v>1443</v>
      </c>
      <c r="B681" s="6" t="str">
        <f t="shared" si="13"/>
        <v>N1000WINFO3104145</v>
      </c>
      <c r="C681" s="8" t="s">
        <v>2039</v>
      </c>
      <c r="D681" s="10" t="s">
        <v>1614</v>
      </c>
      <c r="E681" s="8" t="s">
        <v>1894</v>
      </c>
      <c r="F681" s="8" t="s">
        <v>686</v>
      </c>
      <c r="G681" s="8" t="s">
        <v>684</v>
      </c>
      <c r="I681" s="7" t="str">
        <f>IF(B681&lt;&gt;"",CREATE_QUERY($B$1,A$2:G$2,A681:G681),"")</f>
        <v>INSERT INTO base_mast(hqof_idcd, base_idcd, base_code, base_name, prnt_idcd, line_stat, line_levl) VALUES ('N1000WINFO', 'N1000WINFO3104145', '145', '에메랄드투명', '3104', '0', '1');</v>
      </c>
    </row>
    <row r="682" spans="1:9">
      <c r="A682" s="7" t="s">
        <v>1443</v>
      </c>
      <c r="B682" s="6" t="str">
        <f t="shared" si="13"/>
        <v>N1000WINFO3104146</v>
      </c>
      <c r="C682" s="8" t="s">
        <v>2040</v>
      </c>
      <c r="D682" s="10" t="s">
        <v>1615</v>
      </c>
      <c r="E682" s="8" t="s">
        <v>1894</v>
      </c>
      <c r="F682" s="8" t="s">
        <v>686</v>
      </c>
      <c r="G682" s="8" t="s">
        <v>684</v>
      </c>
      <c r="I682" s="7" t="str">
        <f>IF(B682&lt;&gt;"",CREATE_QUERY($B$1,A$2:G$2,A682:G682),"")</f>
        <v>INSERT INTO base_mast(hqof_idcd, base_idcd, base_code, base_name, prnt_idcd, line_stat, line_levl) VALUES ('N1000WINFO', 'N1000WINFO3104146', '146', '연갈색', '3104', '0', '1');</v>
      </c>
    </row>
    <row r="683" spans="1:9">
      <c r="A683" s="7" t="s">
        <v>1443</v>
      </c>
      <c r="B683" s="6" t="str">
        <f t="shared" si="13"/>
        <v>N1000WINFO3104147</v>
      </c>
      <c r="C683" s="8" t="s">
        <v>2041</v>
      </c>
      <c r="D683" s="10" t="s">
        <v>1616</v>
      </c>
      <c r="E683" s="8" t="s">
        <v>1894</v>
      </c>
      <c r="F683" s="8" t="s">
        <v>686</v>
      </c>
      <c r="G683" s="8" t="s">
        <v>684</v>
      </c>
      <c r="I683" s="7" t="str">
        <f>IF(B683&lt;&gt;"",CREATE_QUERY($B$1,A$2:G$2,A683:G683),"")</f>
        <v>INSERT INTO base_mast(hqof_idcd, base_idcd, base_code, base_name, prnt_idcd, line_stat, line_levl) VALUES ('N1000WINFO', 'N1000WINFO3104147', '147', '연갈색반투명', '3104', '0', '1');</v>
      </c>
    </row>
    <row r="684" spans="1:9">
      <c r="A684" s="7" t="s">
        <v>1443</v>
      </c>
      <c r="B684" s="6" t="str">
        <f t="shared" si="13"/>
        <v>N1000WINFO3104148</v>
      </c>
      <c r="C684" s="8" t="s">
        <v>2042</v>
      </c>
      <c r="D684" s="10" t="s">
        <v>1617</v>
      </c>
      <c r="E684" s="8" t="s">
        <v>1894</v>
      </c>
      <c r="F684" s="8" t="s">
        <v>686</v>
      </c>
      <c r="G684" s="8" t="s">
        <v>684</v>
      </c>
      <c r="I684" s="7" t="str">
        <f>IF(B684&lt;&gt;"",CREATE_QUERY($B$1,A$2:G$2,A684:G684),"")</f>
        <v>INSERT INTO base_mast(hqof_idcd, base_idcd, base_code, base_name, prnt_idcd, line_stat, line_levl) VALUES ('N1000WINFO', 'N1000WINFO3104148', '148', '연갈색투명', '3104', '0', '1');</v>
      </c>
    </row>
    <row r="685" spans="1:9">
      <c r="A685" s="7" t="s">
        <v>1443</v>
      </c>
      <c r="B685" s="6" t="str">
        <f t="shared" si="13"/>
        <v>N1000WINFO3104149</v>
      </c>
      <c r="C685" s="8" t="s">
        <v>2043</v>
      </c>
      <c r="D685" s="10" t="s">
        <v>1618</v>
      </c>
      <c r="E685" s="8" t="s">
        <v>1894</v>
      </c>
      <c r="F685" s="8" t="s">
        <v>686</v>
      </c>
      <c r="G685" s="8" t="s">
        <v>684</v>
      </c>
      <c r="I685" s="7" t="str">
        <f>IF(B685&lt;&gt;"",CREATE_QUERY($B$1,A$2:G$2,A685:G685),"")</f>
        <v>INSERT INTO base_mast(hqof_idcd, base_idcd, base_code, base_name, prnt_idcd, line_stat, line_levl) VALUES ('N1000WINFO', 'N1000WINFO3104149', '149', '연골드', '3104', '0', '1');</v>
      </c>
    </row>
    <row r="686" spans="1:9">
      <c r="A686" s="7" t="s">
        <v>1443</v>
      </c>
      <c r="B686" s="6" t="str">
        <f t="shared" si="13"/>
        <v>N1000WINFO3104150</v>
      </c>
      <c r="C686" s="8" t="s">
        <v>2044</v>
      </c>
      <c r="D686" s="10" t="s">
        <v>1619</v>
      </c>
      <c r="E686" s="8" t="s">
        <v>1894</v>
      </c>
      <c r="F686" s="8" t="s">
        <v>686</v>
      </c>
      <c r="G686" s="8" t="s">
        <v>684</v>
      </c>
      <c r="I686" s="7" t="str">
        <f>IF(B686&lt;&gt;"",CREATE_QUERY($B$1,A$2:G$2,A686:G686),"")</f>
        <v>INSERT INTO base_mast(hqof_idcd, base_idcd, base_code, base_name, prnt_idcd, line_stat, line_levl) VALUES ('N1000WINFO', 'N1000WINFO3104150', '150', '연골드유광증착', '3104', '0', '1');</v>
      </c>
    </row>
    <row r="687" spans="1:9">
      <c r="A687" s="7" t="s">
        <v>1443</v>
      </c>
      <c r="B687" s="6" t="str">
        <f t="shared" si="13"/>
        <v>N1000WINFO3104151</v>
      </c>
      <c r="C687" s="8" t="s">
        <v>2045</v>
      </c>
      <c r="D687" s="10" t="s">
        <v>1620</v>
      </c>
      <c r="E687" s="8" t="s">
        <v>1894</v>
      </c>
      <c r="F687" s="8" t="s">
        <v>686</v>
      </c>
      <c r="G687" s="8" t="s">
        <v>684</v>
      </c>
      <c r="I687" s="7" t="str">
        <f>IF(B687&lt;&gt;"",CREATE_QUERY($B$1,A$2:G$2,A687:G687),"")</f>
        <v>INSERT INTO base_mast(hqof_idcd, base_idcd, base_code, base_name, prnt_idcd, line_stat, line_levl) VALUES ('N1000WINFO', 'N1000WINFO3104151', '151', '연골드투명', '3104', '0', '1');</v>
      </c>
    </row>
    <row r="688" spans="1:9">
      <c r="A688" s="7" t="s">
        <v>1443</v>
      </c>
      <c r="B688" s="6" t="str">
        <f t="shared" si="13"/>
        <v>N1000WINFO3104152</v>
      </c>
      <c r="C688" s="8" t="s">
        <v>2046</v>
      </c>
      <c r="D688" s="10" t="s">
        <v>1621</v>
      </c>
      <c r="E688" s="8" t="s">
        <v>1894</v>
      </c>
      <c r="F688" s="8" t="s">
        <v>686</v>
      </c>
      <c r="G688" s="8" t="s">
        <v>684</v>
      </c>
      <c r="I688" s="7" t="str">
        <f>IF(B688&lt;&gt;"",CREATE_QUERY($B$1,A$2:G$2,A688:G688),"")</f>
        <v>INSERT INTO base_mast(hqof_idcd, base_idcd, base_code, base_name, prnt_idcd, line_stat, line_levl) VALUES ('N1000WINFO', 'N1000WINFO3104152', '152', '연그린', '3104', '0', '1');</v>
      </c>
    </row>
    <row r="689" spans="1:9">
      <c r="A689" s="7" t="s">
        <v>1443</v>
      </c>
      <c r="B689" s="6" t="str">
        <f t="shared" si="13"/>
        <v>N1000WINFO3104153</v>
      </c>
      <c r="C689" s="8" t="s">
        <v>2047</v>
      </c>
      <c r="D689" s="10" t="s">
        <v>1622</v>
      </c>
      <c r="E689" s="8" t="s">
        <v>1894</v>
      </c>
      <c r="F689" s="8" t="s">
        <v>686</v>
      </c>
      <c r="G689" s="8" t="s">
        <v>684</v>
      </c>
      <c r="I689" s="7" t="str">
        <f>IF(B689&lt;&gt;"",CREATE_QUERY($B$1,A$2:G$2,A689:G689),"")</f>
        <v>INSERT INTO base_mast(hqof_idcd, base_idcd, base_code, base_name, prnt_idcd, line_stat, line_levl) VALUES ('N1000WINFO', 'N1000WINFO3104153', '153', '연그린반투명', '3104', '0', '1');</v>
      </c>
    </row>
    <row r="690" spans="1:9">
      <c r="A690" s="7" t="s">
        <v>1443</v>
      </c>
      <c r="B690" s="6" t="str">
        <f t="shared" si="13"/>
        <v>N1000WINFO3104154</v>
      </c>
      <c r="C690" s="8" t="s">
        <v>2048</v>
      </c>
      <c r="D690" s="10" t="s">
        <v>1623</v>
      </c>
      <c r="E690" s="8" t="s">
        <v>1894</v>
      </c>
      <c r="F690" s="8" t="s">
        <v>686</v>
      </c>
      <c r="G690" s="8" t="s">
        <v>684</v>
      </c>
      <c r="I690" s="7" t="str">
        <f>IF(B690&lt;&gt;"",CREATE_QUERY($B$1,A$2:G$2,A690:G690),"")</f>
        <v>INSERT INTO base_mast(hqof_idcd, base_idcd, base_code, base_name, prnt_idcd, line_stat, line_levl) VALUES ('N1000WINFO', 'N1000WINFO3104154', '154', '연그린색투명', '3104', '0', '1');</v>
      </c>
    </row>
    <row r="691" spans="1:9">
      <c r="A691" s="7" t="s">
        <v>1443</v>
      </c>
      <c r="B691" s="6" t="str">
        <f t="shared" si="13"/>
        <v>N1000WINFO3104155</v>
      </c>
      <c r="C691" s="8" t="s">
        <v>2049</v>
      </c>
      <c r="D691" s="10" t="s">
        <v>1624</v>
      </c>
      <c r="E691" s="8" t="s">
        <v>1894</v>
      </c>
      <c r="F691" s="8" t="s">
        <v>686</v>
      </c>
      <c r="G691" s="8" t="s">
        <v>684</v>
      </c>
      <c r="I691" s="7" t="str">
        <f>IF(B691&lt;&gt;"",CREATE_QUERY($B$1,A$2:G$2,A691:G691),"")</f>
        <v>INSERT INTO base_mast(hqof_idcd, base_idcd, base_code, base_name, prnt_idcd, line_stat, line_levl) VALUES ('N1000WINFO', 'N1000WINFO3104155', '155', '연그린투명', '3104', '0', '1');</v>
      </c>
    </row>
    <row r="692" spans="1:9">
      <c r="A692" s="7" t="s">
        <v>1443</v>
      </c>
      <c r="B692" s="6" t="str">
        <f t="shared" si="13"/>
        <v>N1000WINFO3104156</v>
      </c>
      <c r="C692" s="8" t="s">
        <v>2050</v>
      </c>
      <c r="D692" s="10" t="s">
        <v>1625</v>
      </c>
      <c r="E692" s="8" t="s">
        <v>1894</v>
      </c>
      <c r="F692" s="8" t="s">
        <v>686</v>
      </c>
      <c r="G692" s="8" t="s">
        <v>684</v>
      </c>
      <c r="I692" s="7" t="str">
        <f>IF(B692&lt;&gt;"",CREATE_QUERY($B$1,A$2:G$2,A692:G692),"")</f>
        <v>INSERT INTO base_mast(hqof_idcd, base_idcd, base_code, base_name, prnt_idcd, line_stat, line_levl) VALUES ('N1000WINFO', 'N1000WINFO3104156', '156', '연남색', '3104', '0', '1');</v>
      </c>
    </row>
    <row r="693" spans="1:9">
      <c r="A693" s="7" t="s">
        <v>1443</v>
      </c>
      <c r="B693" s="6" t="str">
        <f t="shared" si="13"/>
        <v>N1000WINFO3104157</v>
      </c>
      <c r="C693" s="8" t="s">
        <v>2051</v>
      </c>
      <c r="D693" s="10" t="s">
        <v>1626</v>
      </c>
      <c r="E693" s="8" t="s">
        <v>1894</v>
      </c>
      <c r="F693" s="8" t="s">
        <v>686</v>
      </c>
      <c r="G693" s="8" t="s">
        <v>684</v>
      </c>
      <c r="I693" s="7" t="str">
        <f>IF(B693&lt;&gt;"",CREATE_QUERY($B$1,A$2:G$2,A693:G693),"")</f>
        <v>INSERT INTO base_mast(hqof_idcd, base_idcd, base_code, base_name, prnt_idcd, line_stat, line_levl) VALUES ('N1000WINFO', 'N1000WINFO3104157', '157', '연노랑색', '3104', '0', '1');</v>
      </c>
    </row>
    <row r="694" spans="1:9">
      <c r="A694" s="7" t="s">
        <v>1443</v>
      </c>
      <c r="B694" s="6" t="str">
        <f t="shared" si="13"/>
        <v>N1000WINFO3104158</v>
      </c>
      <c r="C694" s="8" t="s">
        <v>2052</v>
      </c>
      <c r="D694" s="10" t="s">
        <v>1627</v>
      </c>
      <c r="E694" s="8" t="s">
        <v>1894</v>
      </c>
      <c r="F694" s="8" t="s">
        <v>686</v>
      </c>
      <c r="G694" s="8" t="s">
        <v>684</v>
      </c>
      <c r="I694" s="7" t="str">
        <f>IF(B694&lt;&gt;"",CREATE_QUERY($B$1,A$2:G$2,A694:G694),"")</f>
        <v>INSERT INTO base_mast(hqof_idcd, base_idcd, base_code, base_name, prnt_idcd, line_stat, line_levl) VALUES ('N1000WINFO', 'N1000WINFO3104158', '158', '연노랑색투명', '3104', '0', '1');</v>
      </c>
    </row>
    <row r="695" spans="1:9">
      <c r="A695" s="7" t="s">
        <v>1443</v>
      </c>
      <c r="B695" s="6" t="str">
        <f t="shared" si="13"/>
        <v>N1000WINFO3104159</v>
      </c>
      <c r="C695" s="8" t="s">
        <v>2053</v>
      </c>
      <c r="D695" s="10" t="s">
        <v>1628</v>
      </c>
      <c r="E695" s="8" t="s">
        <v>1894</v>
      </c>
      <c r="F695" s="8" t="s">
        <v>686</v>
      </c>
      <c r="G695" s="8" t="s">
        <v>684</v>
      </c>
      <c r="I695" s="7" t="str">
        <f>IF(B695&lt;&gt;"",CREATE_QUERY($B$1,A$2:G$2,A695:G695),"")</f>
        <v>INSERT INTO base_mast(hqof_idcd, base_idcd, base_code, base_name, prnt_idcd, line_stat, line_levl) VALUES ('N1000WINFO', 'N1000WINFO3104159', '159', '연노랑', '3104', '0', '1');</v>
      </c>
    </row>
    <row r="696" spans="1:9">
      <c r="A696" s="7" t="s">
        <v>1443</v>
      </c>
      <c r="B696" s="6" t="str">
        <f t="shared" si="13"/>
        <v>N1000WINFO3104160</v>
      </c>
      <c r="C696" s="8" t="s">
        <v>2054</v>
      </c>
      <c r="D696" s="10" t="s">
        <v>1629</v>
      </c>
      <c r="E696" s="8" t="s">
        <v>1894</v>
      </c>
      <c r="F696" s="8" t="s">
        <v>686</v>
      </c>
      <c r="G696" s="8" t="s">
        <v>684</v>
      </c>
      <c r="I696" s="7" t="str">
        <f>IF(B696&lt;&gt;"",CREATE_QUERY($B$1,A$2:G$2,A696:G696),"")</f>
        <v>INSERT INTO base_mast(hqof_idcd, base_idcd, base_code, base_name, prnt_idcd, line_stat, line_levl) VALUES ('N1000WINFO', 'N1000WINFO3104160', '160', '연노랑반투명', '3104', '0', '1');</v>
      </c>
    </row>
    <row r="697" spans="1:9">
      <c r="A697" s="7" t="s">
        <v>1443</v>
      </c>
      <c r="B697" s="6" t="str">
        <f t="shared" si="13"/>
        <v>N1000WINFO3104161</v>
      </c>
      <c r="C697" s="8" t="s">
        <v>2055</v>
      </c>
      <c r="D697" s="10" t="s">
        <v>1630</v>
      </c>
      <c r="E697" s="8" t="s">
        <v>1894</v>
      </c>
      <c r="F697" s="8" t="s">
        <v>686</v>
      </c>
      <c r="G697" s="8" t="s">
        <v>684</v>
      </c>
      <c r="I697" s="7" t="str">
        <f>IF(B697&lt;&gt;"",CREATE_QUERY($B$1,A$2:G$2,A697:G697),"")</f>
        <v>INSERT INTO base_mast(hqof_idcd, base_idcd, base_code, base_name, prnt_idcd, line_stat, line_levl) VALUES ('N1000WINFO', 'N1000WINFO3104161', '161', '연녹검정색투명', '3104', '0', '1');</v>
      </c>
    </row>
    <row r="698" spans="1:9">
      <c r="A698" s="7" t="s">
        <v>1443</v>
      </c>
      <c r="B698" s="6" t="str">
        <f t="shared" si="13"/>
        <v>N1000WINFO3104162</v>
      </c>
      <c r="C698" s="8" t="s">
        <v>2056</v>
      </c>
      <c r="D698" s="10" t="s">
        <v>1631</v>
      </c>
      <c r="E698" s="8" t="s">
        <v>1894</v>
      </c>
      <c r="F698" s="8" t="s">
        <v>686</v>
      </c>
      <c r="G698" s="8" t="s">
        <v>684</v>
      </c>
      <c r="I698" s="7" t="str">
        <f>IF(B698&lt;&gt;"",CREATE_QUERY($B$1,A$2:G$2,A698:G698),"")</f>
        <v>INSERT INTO base_mast(hqof_idcd, base_idcd, base_code, base_name, prnt_idcd, line_stat, line_levl) VALUES ('N1000WINFO', 'N1000WINFO3104162', '162', '연녹색', '3104', '0', '1');</v>
      </c>
    </row>
    <row r="699" spans="1:9">
      <c r="A699" s="7" t="s">
        <v>1443</v>
      </c>
      <c r="B699" s="6" t="str">
        <f t="shared" si="13"/>
        <v>N1000WINFO3104163</v>
      </c>
      <c r="C699" s="8" t="s">
        <v>2057</v>
      </c>
      <c r="D699" s="10" t="s">
        <v>1632</v>
      </c>
      <c r="E699" s="8" t="s">
        <v>1894</v>
      </c>
      <c r="F699" s="8" t="s">
        <v>686</v>
      </c>
      <c r="G699" s="8" t="s">
        <v>684</v>
      </c>
      <c r="I699" s="7" t="str">
        <f>IF(B699&lt;&gt;"",CREATE_QUERY($B$1,A$2:G$2,A699:G699),"")</f>
        <v>INSERT INTO base_mast(hqof_idcd, base_idcd, base_code, base_name, prnt_idcd, line_stat, line_levl) VALUES ('N1000WINFO', 'N1000WINFO3104163', '163', '연녹색반투명', '3104', '0', '1');</v>
      </c>
    </row>
    <row r="700" spans="1:9">
      <c r="A700" s="7" t="s">
        <v>1443</v>
      </c>
      <c r="B700" s="6" t="str">
        <f t="shared" si="13"/>
        <v>N1000WINFO3104164</v>
      </c>
      <c r="C700" s="8" t="s">
        <v>2058</v>
      </c>
      <c r="D700" s="10" t="s">
        <v>1633</v>
      </c>
      <c r="E700" s="8" t="s">
        <v>1894</v>
      </c>
      <c r="F700" s="8" t="s">
        <v>686</v>
      </c>
      <c r="G700" s="8" t="s">
        <v>684</v>
      </c>
      <c r="I700" s="7" t="str">
        <f>IF(B700&lt;&gt;"",CREATE_QUERY($B$1,A$2:G$2,A700:G700),"")</f>
        <v>INSERT INTO base_mast(hqof_idcd, base_idcd, base_code, base_name, prnt_idcd, line_stat, line_levl) VALUES ('N1000WINFO', 'N1000WINFO3104164', '164', '연녹색투명', '3104', '0', '1');</v>
      </c>
    </row>
    <row r="701" spans="1:9">
      <c r="A701" s="7" t="s">
        <v>1443</v>
      </c>
      <c r="B701" s="6" t="str">
        <f t="shared" si="13"/>
        <v>N1000WINFO3104165</v>
      </c>
      <c r="C701" s="8" t="s">
        <v>2059</v>
      </c>
      <c r="D701" s="10" t="s">
        <v>1634</v>
      </c>
      <c r="E701" s="8" t="s">
        <v>1894</v>
      </c>
      <c r="F701" s="8" t="s">
        <v>686</v>
      </c>
      <c r="G701" s="8" t="s">
        <v>684</v>
      </c>
      <c r="I701" s="7" t="str">
        <f>IF(B701&lt;&gt;"",CREATE_QUERY($B$1,A$2:G$2,A701:G701),"")</f>
        <v>INSERT INTO base_mast(hqof_idcd, base_idcd, base_code, base_name, prnt_idcd, line_stat, line_levl) VALUES ('N1000WINFO', 'N1000WINFO3104165', '165', '연녹황색반투명', '3104', '0', '1');</v>
      </c>
    </row>
    <row r="702" spans="1:9">
      <c r="A702" s="7" t="s">
        <v>1443</v>
      </c>
      <c r="B702" s="6" t="str">
        <f t="shared" si="13"/>
        <v>N1000WINFO3104166</v>
      </c>
      <c r="C702" s="8" t="s">
        <v>2060</v>
      </c>
      <c r="D702" s="10" t="s">
        <v>1635</v>
      </c>
      <c r="E702" s="8" t="s">
        <v>1894</v>
      </c>
      <c r="F702" s="8" t="s">
        <v>686</v>
      </c>
      <c r="G702" s="8" t="s">
        <v>684</v>
      </c>
      <c r="I702" s="7" t="str">
        <f>IF(B702&lt;&gt;"",CREATE_QUERY($B$1,A$2:G$2,A702:G702),"")</f>
        <v>INSERT INTO base_mast(hqof_idcd, base_idcd, base_code, base_name, prnt_idcd, line_stat, line_levl) VALUES ('N1000WINFO', 'N1000WINFO3104166', '166', '연두색반투명', '3104', '0', '1');</v>
      </c>
    </row>
    <row r="703" spans="1:9">
      <c r="A703" s="7" t="s">
        <v>1443</v>
      </c>
      <c r="B703" s="6" t="str">
        <f t="shared" si="13"/>
        <v>N1000WINFO3104167</v>
      </c>
      <c r="C703" s="8" t="s">
        <v>2061</v>
      </c>
      <c r="D703" s="10" t="s">
        <v>1636</v>
      </c>
      <c r="E703" s="8" t="s">
        <v>1894</v>
      </c>
      <c r="F703" s="8" t="s">
        <v>686</v>
      </c>
      <c r="G703" s="8" t="s">
        <v>684</v>
      </c>
      <c r="I703" s="7" t="str">
        <f>IF(B703&lt;&gt;"",CREATE_QUERY($B$1,A$2:G$2,A703:G703),"")</f>
        <v>INSERT INTO base_mast(hqof_idcd, base_idcd, base_code, base_name, prnt_idcd, line_stat, line_levl) VALUES ('N1000WINFO', 'N1000WINFO3104167', '167', '연두색', '3104', '0', '1');</v>
      </c>
    </row>
    <row r="704" spans="1:9">
      <c r="A704" s="7" t="s">
        <v>1443</v>
      </c>
      <c r="B704" s="6" t="str">
        <f t="shared" si="13"/>
        <v>N1000WINFO3104168</v>
      </c>
      <c r="C704" s="8" t="s">
        <v>2062</v>
      </c>
      <c r="D704" s="10" t="s">
        <v>1637</v>
      </c>
      <c r="E704" s="8" t="s">
        <v>1894</v>
      </c>
      <c r="F704" s="8" t="s">
        <v>686</v>
      </c>
      <c r="G704" s="8" t="s">
        <v>684</v>
      </c>
      <c r="I704" s="7" t="str">
        <f>IF(B704&lt;&gt;"",CREATE_QUERY($B$1,A$2:G$2,A704:G704),"")</f>
        <v>INSERT INTO base_mast(hqof_idcd, base_idcd, base_code, base_name, prnt_idcd, line_stat, line_levl) VALUES ('N1000WINFO', 'N1000WINFO3104168', '168', '연두색투명', '3104', '0', '1');</v>
      </c>
    </row>
    <row r="705" spans="1:9">
      <c r="A705" s="7" t="s">
        <v>1443</v>
      </c>
      <c r="B705" s="6" t="str">
        <f t="shared" si="13"/>
        <v>N1000WINFO3104169</v>
      </c>
      <c r="C705" s="8" t="s">
        <v>2063</v>
      </c>
      <c r="D705" s="10" t="s">
        <v>1638</v>
      </c>
      <c r="E705" s="8" t="s">
        <v>1894</v>
      </c>
      <c r="F705" s="8" t="s">
        <v>686</v>
      </c>
      <c r="G705" s="8" t="s">
        <v>684</v>
      </c>
      <c r="I705" s="7" t="str">
        <f>IF(B705&lt;&gt;"",CREATE_QUERY($B$1,A$2:G$2,A705:G705),"")</f>
        <v>INSERT INTO base_mast(hqof_idcd, base_idcd, base_code, base_name, prnt_idcd, line_stat, line_levl) VALUES ('N1000WINFO', 'N1000WINFO3104169', '169', '연미백색', '3104', '0', '1');</v>
      </c>
    </row>
    <row r="706" spans="1:9">
      <c r="A706" s="7" t="s">
        <v>1443</v>
      </c>
      <c r="B706" s="6" t="str">
        <f t="shared" si="13"/>
        <v>N1000WINFO3104170</v>
      </c>
      <c r="C706" s="8" t="s">
        <v>2064</v>
      </c>
      <c r="D706" s="10" t="s">
        <v>1639</v>
      </c>
      <c r="E706" s="8" t="s">
        <v>1894</v>
      </c>
      <c r="F706" s="8" t="s">
        <v>686</v>
      </c>
      <c r="G706" s="8" t="s">
        <v>684</v>
      </c>
      <c r="I706" s="7" t="str">
        <f>IF(B706&lt;&gt;"",CREATE_QUERY($B$1,A$2:G$2,A706:G706),"")</f>
        <v>INSERT INTO base_mast(hqof_idcd, base_idcd, base_code, base_name, prnt_idcd, line_stat, line_levl) VALUES ('N1000WINFO', 'N1000WINFO3104170', '170', '연베이지', '3104', '0', '1');</v>
      </c>
    </row>
    <row r="707" spans="1:9">
      <c r="A707" s="7" t="s">
        <v>1443</v>
      </c>
      <c r="B707" s="6" t="str">
        <f t="shared" si="13"/>
        <v>N1000WINFO3104171</v>
      </c>
      <c r="C707" s="8" t="s">
        <v>2065</v>
      </c>
      <c r="D707" s="10" t="s">
        <v>1640</v>
      </c>
      <c r="E707" s="8" t="s">
        <v>1894</v>
      </c>
      <c r="F707" s="8" t="s">
        <v>686</v>
      </c>
      <c r="G707" s="8" t="s">
        <v>684</v>
      </c>
      <c r="I707" s="7" t="str">
        <f>IF(B707&lt;&gt;"",CREATE_QUERY($B$1,A$2:G$2,A707:G707),"")</f>
        <v>INSERT INTO base_mast(hqof_idcd, base_idcd, base_code, base_name, prnt_idcd, line_stat, line_levl) VALUES ('N1000WINFO', 'N1000WINFO3104171', '171', '연보라색', '3104', '0', '1');</v>
      </c>
    </row>
    <row r="708" spans="1:9">
      <c r="A708" s="7" t="s">
        <v>1443</v>
      </c>
      <c r="B708" s="6" t="str">
        <f t="shared" si="13"/>
        <v>N1000WINFO3104172</v>
      </c>
      <c r="C708" s="8" t="s">
        <v>2066</v>
      </c>
      <c r="D708" s="10" t="s">
        <v>1641</v>
      </c>
      <c r="E708" s="8" t="s">
        <v>1894</v>
      </c>
      <c r="F708" s="8" t="s">
        <v>686</v>
      </c>
      <c r="G708" s="8" t="s">
        <v>684</v>
      </c>
      <c r="I708" s="7" t="str">
        <f>IF(B708&lt;&gt;"",CREATE_QUERY($B$1,A$2:G$2,A708:G708),"")</f>
        <v>INSERT INTO base_mast(hqof_idcd, base_idcd, base_code, base_name, prnt_idcd, line_stat, line_levl) VALUES ('N1000WINFO', 'N1000WINFO3104172', '172', '연보라반투명', '3104', '0', '1');</v>
      </c>
    </row>
    <row r="709" spans="1:9">
      <c r="A709" s="7" t="s">
        <v>1443</v>
      </c>
      <c r="B709" s="6" t="str">
        <f t="shared" si="13"/>
        <v>N1000WINFO3104173</v>
      </c>
      <c r="C709" s="8" t="s">
        <v>2067</v>
      </c>
      <c r="D709" s="10" t="s">
        <v>1642</v>
      </c>
      <c r="E709" s="8" t="s">
        <v>1894</v>
      </c>
      <c r="F709" s="8" t="s">
        <v>686</v>
      </c>
      <c r="G709" s="8" t="s">
        <v>684</v>
      </c>
      <c r="I709" s="7" t="str">
        <f>IF(B709&lt;&gt;"",CREATE_QUERY($B$1,A$2:G$2,A709:G709),"")</f>
        <v>INSERT INTO base_mast(hqof_idcd, base_idcd, base_code, base_name, prnt_idcd, line_stat, line_levl) VALUES ('N1000WINFO', 'N1000WINFO3104173', '173', '연보라색투명', '3104', '0', '1');</v>
      </c>
    </row>
    <row r="710" spans="1:9">
      <c r="A710" s="7" t="s">
        <v>1443</v>
      </c>
      <c r="B710" s="6" t="str">
        <f t="shared" si="13"/>
        <v>N1000WINFO3104174</v>
      </c>
      <c r="C710" s="8" t="s">
        <v>2068</v>
      </c>
      <c r="D710" s="10" t="s">
        <v>1643</v>
      </c>
      <c r="E710" s="8" t="s">
        <v>1894</v>
      </c>
      <c r="F710" s="8" t="s">
        <v>686</v>
      </c>
      <c r="G710" s="8" t="s">
        <v>684</v>
      </c>
      <c r="I710" s="7" t="str">
        <f>IF(B710&lt;&gt;"",CREATE_QUERY($B$1,A$2:G$2,A710:G710),"")</f>
        <v>INSERT INTO base_mast(hqof_idcd, base_idcd, base_code, base_name, prnt_idcd, line_stat, line_levl) VALUES ('N1000WINFO', 'N1000WINFO3104174', '174', '연분홍', '3104', '0', '1');</v>
      </c>
    </row>
    <row r="711" spans="1:9">
      <c r="A711" s="7" t="s">
        <v>1443</v>
      </c>
      <c r="B711" s="6" t="str">
        <f t="shared" si="13"/>
        <v>N1000WINFO3104175</v>
      </c>
      <c r="C711" s="8" t="s">
        <v>2069</v>
      </c>
      <c r="D711" s="10" t="s">
        <v>1644</v>
      </c>
      <c r="E711" s="8" t="s">
        <v>1894</v>
      </c>
      <c r="F711" s="8" t="s">
        <v>686</v>
      </c>
      <c r="G711" s="8" t="s">
        <v>684</v>
      </c>
      <c r="I711" s="7" t="str">
        <f>IF(B711&lt;&gt;"",CREATE_QUERY($B$1,A$2:G$2,A711:G711),"")</f>
        <v>INSERT INTO base_mast(hqof_idcd, base_idcd, base_code, base_name, prnt_idcd, line_stat, line_levl) VALUES ('N1000WINFO', 'N1000WINFO3104175', '175', '연분홍마블', '3104', '0', '1');</v>
      </c>
    </row>
    <row r="712" spans="1:9">
      <c r="A712" s="7" t="s">
        <v>1443</v>
      </c>
      <c r="B712" s="6" t="str">
        <f t="shared" si="13"/>
        <v>N1000WINFO3104176</v>
      </c>
      <c r="C712" s="8" t="s">
        <v>2070</v>
      </c>
      <c r="D712" s="10" t="s">
        <v>1645</v>
      </c>
      <c r="E712" s="8" t="s">
        <v>1894</v>
      </c>
      <c r="F712" s="8" t="s">
        <v>686</v>
      </c>
      <c r="G712" s="8" t="s">
        <v>684</v>
      </c>
      <c r="I712" s="7" t="str">
        <f>IF(B712&lt;&gt;"",CREATE_QUERY($B$1,A$2:G$2,A712:G712),"")</f>
        <v>INSERT INTO base_mast(hqof_idcd, base_idcd, base_code, base_name, prnt_idcd, line_stat, line_levl) VALUES ('N1000WINFO', 'N1000WINFO3104176', '176', '연분홍색', '3104', '0', '1');</v>
      </c>
    </row>
    <row r="713" spans="1:9">
      <c r="A713" s="7" t="s">
        <v>1443</v>
      </c>
      <c r="B713" s="6" t="str">
        <f t="shared" si="13"/>
        <v>N1000WINFO3104177</v>
      </c>
      <c r="C713" s="8" t="s">
        <v>2071</v>
      </c>
      <c r="D713" s="10" t="s">
        <v>1646</v>
      </c>
      <c r="E713" s="8" t="s">
        <v>1894</v>
      </c>
      <c r="F713" s="8" t="s">
        <v>686</v>
      </c>
      <c r="G713" s="8" t="s">
        <v>684</v>
      </c>
      <c r="I713" s="7" t="str">
        <f>IF(B713&lt;&gt;"",CREATE_QUERY($B$1,A$2:G$2,A713:G713),"")</f>
        <v>INSERT INTO base_mast(hqof_idcd, base_idcd, base_code, base_name, prnt_idcd, line_stat, line_levl) VALUES ('N1000WINFO', 'N1000WINFO3104177', '177', '연분홍색반투명', '3104', '0', '1');</v>
      </c>
    </row>
    <row r="714" spans="1:9">
      <c r="A714" s="7" t="s">
        <v>1443</v>
      </c>
      <c r="B714" s="6" t="str">
        <f t="shared" si="13"/>
        <v>N1000WINFO3104178</v>
      </c>
      <c r="C714" s="8" t="s">
        <v>2072</v>
      </c>
      <c r="D714" s="10" t="s">
        <v>1647</v>
      </c>
      <c r="E714" s="8" t="s">
        <v>1894</v>
      </c>
      <c r="F714" s="8" t="s">
        <v>686</v>
      </c>
      <c r="G714" s="8" t="s">
        <v>684</v>
      </c>
      <c r="I714" s="7" t="str">
        <f>IF(B714&lt;&gt;"",CREATE_QUERY($B$1,A$2:G$2,A714:G714),"")</f>
        <v>INSERT INTO base_mast(hqof_idcd, base_idcd, base_code, base_name, prnt_idcd, line_stat, line_levl) VALUES ('N1000WINFO', 'N1000WINFO3104178', '178', '연분홍색투명', '3104', '0', '1');</v>
      </c>
    </row>
    <row r="715" spans="1:9">
      <c r="A715" s="7" t="s">
        <v>1443</v>
      </c>
      <c r="B715" s="6" t="str">
        <f t="shared" si="13"/>
        <v>N1000WINFO3104179</v>
      </c>
      <c r="C715" s="8" t="s">
        <v>2073</v>
      </c>
      <c r="D715" s="10" t="s">
        <v>1648</v>
      </c>
      <c r="E715" s="8" t="s">
        <v>1894</v>
      </c>
      <c r="F715" s="8" t="s">
        <v>686</v>
      </c>
      <c r="G715" s="8" t="s">
        <v>684</v>
      </c>
      <c r="I715" s="7" t="str">
        <f>IF(B715&lt;&gt;"",CREATE_QUERY($B$1,A$2:G$2,A715:G715),"")</f>
        <v>INSERT INTO base_mast(hqof_idcd, base_idcd, base_code, base_name, prnt_idcd, line_stat, line_levl) VALUES ('N1000WINFO', 'N1000WINFO3104179', '179', '연분홍투명', '3104', '0', '1');</v>
      </c>
    </row>
    <row r="716" spans="1:9">
      <c r="A716" s="7" t="s">
        <v>1443</v>
      </c>
      <c r="B716" s="6" t="str">
        <f t="shared" si="13"/>
        <v>N1000WINFO3104180</v>
      </c>
      <c r="C716" s="8" t="s">
        <v>2074</v>
      </c>
      <c r="D716" s="10" t="s">
        <v>1649</v>
      </c>
      <c r="E716" s="8" t="s">
        <v>1894</v>
      </c>
      <c r="F716" s="8" t="s">
        <v>686</v>
      </c>
      <c r="G716" s="8" t="s">
        <v>684</v>
      </c>
      <c r="I716" s="7" t="str">
        <f>IF(B716&lt;&gt;"",CREATE_QUERY($B$1,A$2:G$2,A716:G716),"")</f>
        <v>INSERT INTO base_mast(hqof_idcd, base_idcd, base_code, base_name, prnt_idcd, line_stat, line_levl) VALUES ('N1000WINFO', 'N1000WINFO3104180', '180', '연블루메탈코팅', '3104', '0', '1');</v>
      </c>
    </row>
    <row r="717" spans="1:9">
      <c r="A717" s="7" t="s">
        <v>1443</v>
      </c>
      <c r="B717" s="6" t="str">
        <f t="shared" si="13"/>
        <v>N1000WINFO3104181</v>
      </c>
      <c r="C717" s="8" t="s">
        <v>2075</v>
      </c>
      <c r="D717" s="10" t="s">
        <v>1650</v>
      </c>
      <c r="E717" s="8" t="s">
        <v>1894</v>
      </c>
      <c r="F717" s="8" t="s">
        <v>686</v>
      </c>
      <c r="G717" s="8" t="s">
        <v>684</v>
      </c>
      <c r="I717" s="7" t="str">
        <f>IF(B717&lt;&gt;"",CREATE_QUERY($B$1,A$2:G$2,A717:G717),"")</f>
        <v>INSERT INTO base_mast(hqof_idcd, base_idcd, base_code, base_name, prnt_idcd, line_stat, line_levl) VALUES ('N1000WINFO', 'N1000WINFO3104181', '181', '연살구마블', '3104', '0', '1');</v>
      </c>
    </row>
    <row r="718" spans="1:9">
      <c r="A718" s="7" t="s">
        <v>1443</v>
      </c>
      <c r="B718" s="6" t="str">
        <f t="shared" si="13"/>
        <v>N1000WINFO3104182</v>
      </c>
      <c r="C718" s="8" t="s">
        <v>2076</v>
      </c>
      <c r="D718" s="10" t="s">
        <v>1651</v>
      </c>
      <c r="E718" s="8" t="s">
        <v>1894</v>
      </c>
      <c r="F718" s="8" t="s">
        <v>686</v>
      </c>
      <c r="G718" s="8" t="s">
        <v>684</v>
      </c>
      <c r="I718" s="7" t="str">
        <f>IF(B718&lt;&gt;"",CREATE_QUERY($B$1,A$2:G$2,A718:G718),"")</f>
        <v>INSERT INTO base_mast(hqof_idcd, base_idcd, base_code, base_name, prnt_idcd, line_stat, line_levl) VALUES ('N1000WINFO', 'N1000WINFO3104182', '182', '연살구색', '3104', '0', '1');</v>
      </c>
    </row>
    <row r="719" spans="1:9">
      <c r="A719" s="7" t="s">
        <v>1443</v>
      </c>
      <c r="B719" s="6" t="str">
        <f t="shared" si="13"/>
        <v>N1000WINFO3104183</v>
      </c>
      <c r="C719" s="8" t="s">
        <v>2077</v>
      </c>
      <c r="D719" s="10" t="s">
        <v>1652</v>
      </c>
      <c r="E719" s="8" t="s">
        <v>1894</v>
      </c>
      <c r="F719" s="8" t="s">
        <v>686</v>
      </c>
      <c r="G719" s="8" t="s">
        <v>684</v>
      </c>
      <c r="I719" s="7" t="str">
        <f>IF(B719&lt;&gt;"",CREATE_QUERY($B$1,A$2:G$2,A719:G719),"")</f>
        <v>INSERT INTO base_mast(hqof_idcd, base_idcd, base_code, base_name, prnt_idcd, line_stat, line_levl) VALUES ('N1000WINFO', 'N1000WINFO3104183', '183', '연살구색투명', '3104', '0', '1');</v>
      </c>
    </row>
    <row r="720" spans="1:9">
      <c r="A720" s="7" t="s">
        <v>1443</v>
      </c>
      <c r="B720" s="6" t="str">
        <f t="shared" si="13"/>
        <v>N1000WINFO3104184</v>
      </c>
      <c r="C720" s="8" t="s">
        <v>2078</v>
      </c>
      <c r="D720" s="10" t="s">
        <v>1653</v>
      </c>
      <c r="E720" s="8" t="s">
        <v>1894</v>
      </c>
      <c r="F720" s="8" t="s">
        <v>686</v>
      </c>
      <c r="G720" s="8" t="s">
        <v>684</v>
      </c>
      <c r="I720" s="7" t="str">
        <f>IF(B720&lt;&gt;"",CREATE_QUERY($B$1,A$2:G$2,A720:G720),"")</f>
        <v>INSERT INTO base_mast(hqof_idcd, base_idcd, base_code, base_name, prnt_idcd, line_stat, line_levl) VALUES ('N1000WINFO', 'N1000WINFO3104184', '184', '연아이보리', '3104', '0', '1');</v>
      </c>
    </row>
    <row r="721" spans="1:9">
      <c r="A721" s="7" t="s">
        <v>1443</v>
      </c>
      <c r="B721" s="6" t="str">
        <f t="shared" si="13"/>
        <v>N1000WINFO3104185</v>
      </c>
      <c r="C721" s="8" t="s">
        <v>2079</v>
      </c>
      <c r="D721" s="10" t="s">
        <v>1654</v>
      </c>
      <c r="E721" s="8" t="s">
        <v>1894</v>
      </c>
      <c r="F721" s="8" t="s">
        <v>686</v>
      </c>
      <c r="G721" s="8" t="s">
        <v>684</v>
      </c>
      <c r="I721" s="7" t="str">
        <f>IF(B721&lt;&gt;"",CREATE_QUERY($B$1,A$2:G$2,A721:G721),"")</f>
        <v>INSERT INTO base_mast(hqof_idcd, base_idcd, base_code, base_name, prnt_idcd, line_stat, line_levl) VALUES ('N1000WINFO', 'N1000WINFO3104185', '185', '연아이보리반투명', '3104', '0', '1');</v>
      </c>
    </row>
    <row r="722" spans="1:9">
      <c r="A722" s="7" t="s">
        <v>1443</v>
      </c>
      <c r="B722" s="6" t="str">
        <f t="shared" si="13"/>
        <v>N1000WINFO3104186</v>
      </c>
      <c r="C722" s="8" t="s">
        <v>2080</v>
      </c>
      <c r="D722" s="10" t="s">
        <v>1655</v>
      </c>
      <c r="E722" s="8" t="s">
        <v>1894</v>
      </c>
      <c r="F722" s="8" t="s">
        <v>686</v>
      </c>
      <c r="G722" s="8" t="s">
        <v>684</v>
      </c>
      <c r="I722" s="7" t="str">
        <f>IF(B722&lt;&gt;"",CREATE_QUERY($B$1,A$2:G$2,A722:G722),"")</f>
        <v>INSERT INTO base_mast(hqof_idcd, base_idcd, base_code, base_name, prnt_idcd, line_stat, line_levl) VALUES ('N1000WINFO', 'N1000WINFO3104186', '186', '연아이보리색', '3104', '0', '1');</v>
      </c>
    </row>
    <row r="723" spans="1:9">
      <c r="A723" s="7" t="s">
        <v>1443</v>
      </c>
      <c r="B723" s="6" t="str">
        <f t="shared" si="13"/>
        <v>N1000WINFO3104187</v>
      </c>
      <c r="C723" s="8" t="s">
        <v>2081</v>
      </c>
      <c r="D723" s="10" t="s">
        <v>1656</v>
      </c>
      <c r="E723" s="8" t="s">
        <v>1894</v>
      </c>
      <c r="F723" s="8" t="s">
        <v>686</v>
      </c>
      <c r="G723" s="8" t="s">
        <v>684</v>
      </c>
      <c r="I723" s="7" t="str">
        <f>IF(B723&lt;&gt;"",CREATE_QUERY($B$1,A$2:G$2,A723:G723),"")</f>
        <v>INSERT INTO base_mast(hqof_idcd, base_idcd, base_code, base_name, prnt_idcd, line_stat, line_levl) VALUES ('N1000WINFO', 'N1000WINFO3104187', '187', '연아이보리아이스반투명', '3104', '0', '1');</v>
      </c>
    </row>
    <row r="724" spans="1:9">
      <c r="A724" s="7" t="s">
        <v>1443</v>
      </c>
      <c r="B724" s="6" t="str">
        <f t="shared" si="13"/>
        <v>N1000WINFO3104188</v>
      </c>
      <c r="C724" s="8" t="s">
        <v>2082</v>
      </c>
      <c r="D724" s="10" t="s">
        <v>1657</v>
      </c>
      <c r="E724" s="8" t="s">
        <v>1894</v>
      </c>
      <c r="F724" s="8" t="s">
        <v>686</v>
      </c>
      <c r="G724" s="8" t="s">
        <v>684</v>
      </c>
      <c r="I724" s="7" t="str">
        <f>IF(B724&lt;&gt;"",CREATE_QUERY($B$1,A$2:G$2,A724:G724),"")</f>
        <v>INSERT INTO base_mast(hqof_idcd, base_idcd, base_code, base_name, prnt_idcd, line_stat, line_levl) VALUES ('N1000WINFO', 'N1000WINFO3104188', '188', '연아이스', '3104', '0', '1');</v>
      </c>
    </row>
    <row r="725" spans="1:9">
      <c r="A725" s="7" t="s">
        <v>1443</v>
      </c>
      <c r="B725" s="6" t="str">
        <f t="shared" si="13"/>
        <v>N1000WINFO3104189</v>
      </c>
      <c r="C725" s="8" t="s">
        <v>2083</v>
      </c>
      <c r="D725" s="10" t="s">
        <v>1658</v>
      </c>
      <c r="E725" s="8" t="s">
        <v>1894</v>
      </c>
      <c r="F725" s="8" t="s">
        <v>686</v>
      </c>
      <c r="G725" s="8" t="s">
        <v>684</v>
      </c>
      <c r="I725" s="7" t="str">
        <f>IF(B725&lt;&gt;"",CREATE_QUERY($B$1,A$2:G$2,A725:G725),"")</f>
        <v>INSERT INTO base_mast(hqof_idcd, base_idcd, base_code, base_name, prnt_idcd, line_stat, line_levl) VALUES ('N1000WINFO', 'N1000WINFO3104189', '189', '연오렌지색', '3104', '0', '1');</v>
      </c>
    </row>
    <row r="726" spans="1:9">
      <c r="A726" s="7" t="s">
        <v>1443</v>
      </c>
      <c r="B726" s="6" t="str">
        <f t="shared" si="13"/>
        <v>N1000WINFO3104190</v>
      </c>
      <c r="C726" s="8" t="s">
        <v>2084</v>
      </c>
      <c r="D726" s="10" t="s">
        <v>1659</v>
      </c>
      <c r="E726" s="8" t="s">
        <v>1894</v>
      </c>
      <c r="F726" s="8" t="s">
        <v>686</v>
      </c>
      <c r="G726" s="8" t="s">
        <v>684</v>
      </c>
      <c r="I726" s="7" t="str">
        <f>IF(B726&lt;&gt;"",CREATE_QUERY($B$1,A$2:G$2,A726:G726),"")</f>
        <v>INSERT INTO base_mast(hqof_idcd, base_idcd, base_code, base_name, prnt_idcd, line_stat, line_levl) VALUES ('N1000WINFO', 'N1000WINFO3104190', '190', '연옥색반투명', '3104', '0', '1');</v>
      </c>
    </row>
    <row r="727" spans="1:9">
      <c r="A727" s="7" t="s">
        <v>1443</v>
      </c>
      <c r="B727" s="6" t="str">
        <f t="shared" si="13"/>
        <v>N1000WINFO3104191</v>
      </c>
      <c r="C727" s="8" t="s">
        <v>2085</v>
      </c>
      <c r="D727" s="10" t="s">
        <v>1660</v>
      </c>
      <c r="E727" s="8" t="s">
        <v>1894</v>
      </c>
      <c r="F727" s="8" t="s">
        <v>686</v>
      </c>
      <c r="G727" s="8" t="s">
        <v>684</v>
      </c>
      <c r="I727" s="7" t="str">
        <f>IF(B727&lt;&gt;"",CREATE_QUERY($B$1,A$2:G$2,A727:G727),"")</f>
        <v>INSERT INTO base_mast(hqof_idcd, base_idcd, base_code, base_name, prnt_idcd, line_stat, line_levl) VALUES ('N1000WINFO', 'N1000WINFO3104191', '191', '연옥색투명', '3104', '0', '1');</v>
      </c>
    </row>
    <row r="728" spans="1:9">
      <c r="A728" s="7" t="s">
        <v>1443</v>
      </c>
      <c r="B728" s="6" t="str">
        <f t="shared" si="13"/>
        <v>N1000WINFO3104192</v>
      </c>
      <c r="C728" s="8" t="s">
        <v>2086</v>
      </c>
      <c r="D728" s="10" t="s">
        <v>1661</v>
      </c>
      <c r="E728" s="8" t="s">
        <v>1894</v>
      </c>
      <c r="F728" s="8" t="s">
        <v>686</v>
      </c>
      <c r="G728" s="8" t="s">
        <v>684</v>
      </c>
      <c r="I728" s="7" t="str">
        <f>IF(B728&lt;&gt;"",CREATE_QUERY($B$1,A$2:G$2,A728:G728),"")</f>
        <v>INSERT INTO base_mast(hqof_idcd, base_idcd, base_code, base_name, prnt_idcd, line_stat, line_levl) VALUES ('N1000WINFO', 'N1000WINFO3104192', '192', '연자주색투명', '3104', '0', '1');</v>
      </c>
    </row>
    <row r="729" spans="1:9">
      <c r="A729" s="7" t="s">
        <v>1443</v>
      </c>
      <c r="B729" s="6" t="str">
        <f t="shared" ref="B729:B792" si="14">A729&amp;E729&amp;C729</f>
        <v>N1000WINFO3104193</v>
      </c>
      <c r="C729" s="8" t="s">
        <v>2087</v>
      </c>
      <c r="D729" s="10" t="s">
        <v>1662</v>
      </c>
      <c r="E729" s="8" t="s">
        <v>1894</v>
      </c>
      <c r="F729" s="8" t="s">
        <v>686</v>
      </c>
      <c r="G729" s="8" t="s">
        <v>684</v>
      </c>
      <c r="I729" s="7" t="str">
        <f>IF(B729&lt;&gt;"",CREATE_QUERY($B$1,A$2:G$2,A729:G729),"")</f>
        <v>INSERT INTO base_mast(hqof_idcd, base_idcd, base_code, base_name, prnt_idcd, line_stat, line_levl) VALUES ('N1000WINFO', 'N1000WINFO3104193', '193', '연청색투명', '3104', '0', '1');</v>
      </c>
    </row>
    <row r="730" spans="1:9">
      <c r="A730" s="7" t="s">
        <v>1443</v>
      </c>
      <c r="B730" s="6" t="str">
        <f t="shared" si="14"/>
        <v>N1000WINFO3104194</v>
      </c>
      <c r="C730" s="8" t="s">
        <v>2088</v>
      </c>
      <c r="D730" s="10" t="s">
        <v>1663</v>
      </c>
      <c r="E730" s="8" t="s">
        <v>1894</v>
      </c>
      <c r="F730" s="8" t="s">
        <v>686</v>
      </c>
      <c r="G730" s="8" t="s">
        <v>684</v>
      </c>
      <c r="I730" s="7" t="str">
        <f>IF(B730&lt;&gt;"",CREATE_QUERY($B$1,A$2:G$2,A730:G730),"")</f>
        <v>INSERT INTO base_mast(hqof_idcd, base_idcd, base_code, base_name, prnt_idcd, line_stat, line_levl) VALUES ('N1000WINFO', 'N1000WINFO3104194', '194', '연청투명', '3104', '0', '1');</v>
      </c>
    </row>
    <row r="731" spans="1:9">
      <c r="A731" s="7" t="s">
        <v>1443</v>
      </c>
      <c r="B731" s="6" t="str">
        <f t="shared" si="14"/>
        <v>N1000WINFO3104195</v>
      </c>
      <c r="C731" s="8" t="s">
        <v>2089</v>
      </c>
      <c r="D731" s="10" t="s">
        <v>1664</v>
      </c>
      <c r="E731" s="8" t="s">
        <v>1894</v>
      </c>
      <c r="F731" s="8" t="s">
        <v>686</v>
      </c>
      <c r="G731" s="8" t="s">
        <v>684</v>
      </c>
      <c r="I731" s="7" t="str">
        <f>IF(B731&lt;&gt;"",CREATE_QUERY($B$1,A$2:G$2,A731:G731),"")</f>
        <v>INSERT INTO base_mast(hqof_idcd, base_idcd, base_code, base_name, prnt_idcd, line_stat, line_levl) VALUES ('N1000WINFO', 'N1000WINFO3104195', '195', '연파랑색', '3104', '0', '1');</v>
      </c>
    </row>
    <row r="732" spans="1:9">
      <c r="A732" s="7" t="s">
        <v>1443</v>
      </c>
      <c r="B732" s="6" t="str">
        <f t="shared" si="14"/>
        <v>N1000WINFO3104196</v>
      </c>
      <c r="C732" s="8" t="s">
        <v>2090</v>
      </c>
      <c r="D732" s="10" t="s">
        <v>1665</v>
      </c>
      <c r="E732" s="8" t="s">
        <v>1894</v>
      </c>
      <c r="F732" s="8" t="s">
        <v>686</v>
      </c>
      <c r="G732" s="8" t="s">
        <v>684</v>
      </c>
      <c r="I732" s="7" t="str">
        <f>IF(B732&lt;&gt;"",CREATE_QUERY($B$1,A$2:G$2,A732:G732),"")</f>
        <v>INSERT INTO base_mast(hqof_idcd, base_idcd, base_code, base_name, prnt_idcd, line_stat, line_levl) VALUES ('N1000WINFO', 'N1000WINFO3104196', '196', '연파랑색투명', '3104', '0', '1');</v>
      </c>
    </row>
    <row r="733" spans="1:9">
      <c r="A733" s="7" t="s">
        <v>1443</v>
      </c>
      <c r="B733" s="6" t="str">
        <f t="shared" si="14"/>
        <v>N1000WINFO3104197</v>
      </c>
      <c r="C733" s="8" t="s">
        <v>2091</v>
      </c>
      <c r="D733" s="10" t="s">
        <v>1666</v>
      </c>
      <c r="E733" s="8" t="s">
        <v>1894</v>
      </c>
      <c r="F733" s="8" t="s">
        <v>686</v>
      </c>
      <c r="G733" s="8" t="s">
        <v>684</v>
      </c>
      <c r="I733" s="7" t="str">
        <f>IF(B733&lt;&gt;"",CREATE_QUERY($B$1,A$2:G$2,A733:G733),"")</f>
        <v>INSERT INTO base_mast(hqof_idcd, base_idcd, base_code, base_name, prnt_idcd, line_stat, line_levl) VALUES ('N1000WINFO', 'N1000WINFO3104197', '197', '연풀색투명', '3104', '0', '1');</v>
      </c>
    </row>
    <row r="734" spans="1:9">
      <c r="A734" s="7" t="s">
        <v>1443</v>
      </c>
      <c r="B734" s="6" t="str">
        <f t="shared" si="14"/>
        <v>N1000WINFO3104198</v>
      </c>
      <c r="C734" s="8" t="s">
        <v>2092</v>
      </c>
      <c r="D734" s="10" t="s">
        <v>1667</v>
      </c>
      <c r="E734" s="8" t="s">
        <v>1894</v>
      </c>
      <c r="F734" s="8" t="s">
        <v>686</v>
      </c>
      <c r="G734" s="8" t="s">
        <v>684</v>
      </c>
      <c r="I734" s="7" t="str">
        <f>IF(B734&lt;&gt;"",CREATE_QUERY($B$1,A$2:G$2,A734:G734),"")</f>
        <v>INSERT INTO base_mast(hqof_idcd, base_idcd, base_code, base_name, prnt_idcd, line_stat, line_levl) VALUES ('N1000WINFO', 'N1000WINFO3104198', '198', '연핑크', '3104', '0', '1');</v>
      </c>
    </row>
    <row r="735" spans="1:9">
      <c r="A735" s="7" t="s">
        <v>1443</v>
      </c>
      <c r="B735" s="6" t="str">
        <f t="shared" si="14"/>
        <v>N1000WINFO3104199</v>
      </c>
      <c r="C735" s="8" t="s">
        <v>2093</v>
      </c>
      <c r="D735" s="10" t="s">
        <v>1668</v>
      </c>
      <c r="E735" s="8" t="s">
        <v>1894</v>
      </c>
      <c r="F735" s="8" t="s">
        <v>686</v>
      </c>
      <c r="G735" s="8" t="s">
        <v>684</v>
      </c>
      <c r="I735" s="7" t="str">
        <f>IF(B735&lt;&gt;"",CREATE_QUERY($B$1,A$2:G$2,A735:G735),"")</f>
        <v>INSERT INTO base_mast(hqof_idcd, base_idcd, base_code, base_name, prnt_idcd, line_stat, line_levl) VALUES ('N1000WINFO', 'N1000WINFO3104199', '199', '연핑크반투명', '3104', '0', '1');</v>
      </c>
    </row>
    <row r="736" spans="1:9">
      <c r="A736" s="7" t="s">
        <v>1443</v>
      </c>
      <c r="B736" s="6" t="str">
        <f t="shared" si="14"/>
        <v>N1000WINFO3104200</v>
      </c>
      <c r="C736" s="8" t="s">
        <v>2094</v>
      </c>
      <c r="D736" s="10" t="s">
        <v>1669</v>
      </c>
      <c r="E736" s="8" t="s">
        <v>1894</v>
      </c>
      <c r="F736" s="8" t="s">
        <v>686</v>
      </c>
      <c r="G736" s="8" t="s">
        <v>684</v>
      </c>
      <c r="I736" s="7" t="str">
        <f>IF(B736&lt;&gt;"",CREATE_QUERY($B$1,A$2:G$2,A736:G736),"")</f>
        <v>INSERT INTO base_mast(hqof_idcd, base_idcd, base_code, base_name, prnt_idcd, line_stat, line_levl) VALUES ('N1000WINFO', 'N1000WINFO3104200', '200', '연핑크투명', '3104', '0', '1');</v>
      </c>
    </row>
    <row r="737" spans="1:9">
      <c r="A737" s="7" t="s">
        <v>1443</v>
      </c>
      <c r="B737" s="6" t="str">
        <f t="shared" si="14"/>
        <v>N1000WINFO3104201</v>
      </c>
      <c r="C737" s="8" t="s">
        <v>2095</v>
      </c>
      <c r="D737" s="10" t="s">
        <v>1670</v>
      </c>
      <c r="E737" s="8" t="s">
        <v>1894</v>
      </c>
      <c r="F737" s="8" t="s">
        <v>686</v>
      </c>
      <c r="G737" s="8" t="s">
        <v>684</v>
      </c>
      <c r="I737" s="7" t="str">
        <f>IF(B737&lt;&gt;"",CREATE_QUERY($B$1,A$2:G$2,A737:G737),"")</f>
        <v>INSERT INTO base_mast(hqof_idcd, base_idcd, base_code, base_name, prnt_idcd, line_stat, line_levl) VALUES ('N1000WINFO', 'N1000WINFO3104201', '201', '연하늘색', '3104', '0', '1');</v>
      </c>
    </row>
    <row r="738" spans="1:9">
      <c r="A738" s="7" t="s">
        <v>1443</v>
      </c>
      <c r="B738" s="6" t="str">
        <f t="shared" si="14"/>
        <v>N1000WINFO3104202</v>
      </c>
      <c r="C738" s="8" t="s">
        <v>2096</v>
      </c>
      <c r="D738" s="10" t="s">
        <v>1671</v>
      </c>
      <c r="E738" s="8" t="s">
        <v>1894</v>
      </c>
      <c r="F738" s="8" t="s">
        <v>686</v>
      </c>
      <c r="G738" s="8" t="s">
        <v>684</v>
      </c>
      <c r="I738" s="7" t="str">
        <f>IF(B738&lt;&gt;"",CREATE_QUERY($B$1,A$2:G$2,A738:G738),"")</f>
        <v>INSERT INTO base_mast(hqof_idcd, base_idcd, base_code, base_name, prnt_idcd, line_stat, line_levl) VALUES ('N1000WINFO', 'N1000WINFO3104202', '202', '연하늘색투명', '3104', '0', '1');</v>
      </c>
    </row>
    <row r="739" spans="1:9">
      <c r="A739" s="7" t="s">
        <v>1443</v>
      </c>
      <c r="B739" s="6" t="str">
        <f t="shared" si="14"/>
        <v>N1000WINFO3104203</v>
      </c>
      <c r="C739" s="8" t="s">
        <v>2097</v>
      </c>
      <c r="D739" s="10" t="s">
        <v>1672</v>
      </c>
      <c r="E739" s="8" t="s">
        <v>1894</v>
      </c>
      <c r="F739" s="8" t="s">
        <v>686</v>
      </c>
      <c r="G739" s="8" t="s">
        <v>684</v>
      </c>
      <c r="I739" s="7" t="str">
        <f>IF(B739&lt;&gt;"",CREATE_QUERY($B$1,A$2:G$2,A739:G739),"")</f>
        <v>INSERT INTO base_mast(hqof_idcd, base_idcd, base_code, base_name, prnt_idcd, line_stat, line_levl) VALUES ('N1000WINFO', 'N1000WINFO3104203', '203', '연하늘청투명', '3104', '0', '1');</v>
      </c>
    </row>
    <row r="740" spans="1:9">
      <c r="A740" s="7" t="s">
        <v>1443</v>
      </c>
      <c r="B740" s="6" t="str">
        <f t="shared" si="14"/>
        <v>N1000WINFO3104204</v>
      </c>
      <c r="C740" s="8" t="s">
        <v>2098</v>
      </c>
      <c r="D740" s="10" t="s">
        <v>1673</v>
      </c>
      <c r="E740" s="8" t="s">
        <v>1894</v>
      </c>
      <c r="F740" s="8" t="s">
        <v>686</v>
      </c>
      <c r="G740" s="8" t="s">
        <v>684</v>
      </c>
      <c r="I740" s="7" t="str">
        <f>IF(B740&lt;&gt;"",CREATE_QUERY($B$1,A$2:G$2,A740:G740),"")</f>
        <v>INSERT INTO base_mast(hqof_idcd, base_idcd, base_code, base_name, prnt_idcd, line_stat, line_levl) VALUES ('N1000WINFO', 'N1000WINFO3104204', '204', '연한갈색', '3104', '0', '1');</v>
      </c>
    </row>
    <row r="741" spans="1:9">
      <c r="A741" s="7" t="s">
        <v>1443</v>
      </c>
      <c r="B741" s="6" t="str">
        <f t="shared" si="14"/>
        <v>N1000WINFO3104205</v>
      </c>
      <c r="C741" s="8" t="s">
        <v>2099</v>
      </c>
      <c r="D741" s="10" t="s">
        <v>1674</v>
      </c>
      <c r="E741" s="8" t="s">
        <v>1894</v>
      </c>
      <c r="F741" s="8" t="s">
        <v>686</v>
      </c>
      <c r="G741" s="8" t="s">
        <v>684</v>
      </c>
      <c r="I741" s="7" t="str">
        <f>IF(B741&lt;&gt;"",CREATE_QUERY($B$1,A$2:G$2,A741:G741),"")</f>
        <v>INSERT INTO base_mast(hqof_idcd, base_idcd, base_code, base_name, prnt_idcd, line_stat, line_levl) VALUES ('N1000WINFO', 'N1000WINFO3104205', '205', '연한살구색', '3104', '0', '1');</v>
      </c>
    </row>
    <row r="742" spans="1:9">
      <c r="A742" s="7" t="s">
        <v>1443</v>
      </c>
      <c r="B742" s="6" t="str">
        <f t="shared" si="14"/>
        <v>N1000WINFO3104206</v>
      </c>
      <c r="C742" s="8" t="s">
        <v>2100</v>
      </c>
      <c r="D742" s="10" t="s">
        <v>1675</v>
      </c>
      <c r="E742" s="8" t="s">
        <v>1894</v>
      </c>
      <c r="F742" s="8" t="s">
        <v>686</v>
      </c>
      <c r="G742" s="8" t="s">
        <v>684</v>
      </c>
      <c r="I742" s="7" t="str">
        <f>IF(B742&lt;&gt;"",CREATE_QUERY($B$1,A$2:G$2,A742:G742),"")</f>
        <v>INSERT INTO base_mast(hqof_idcd, base_idcd, base_code, base_name, prnt_idcd, line_stat, line_levl) VALUES ('N1000WINFO', 'N1000WINFO3104206', '206', '연한아이보리', '3104', '0', '1');</v>
      </c>
    </row>
    <row r="743" spans="1:9">
      <c r="A743" s="7" t="s">
        <v>1443</v>
      </c>
      <c r="B743" s="6" t="str">
        <f t="shared" si="14"/>
        <v>N1000WINFO3104207</v>
      </c>
      <c r="C743" s="8" t="s">
        <v>2101</v>
      </c>
      <c r="D743" s="10" t="s">
        <v>1676</v>
      </c>
      <c r="E743" s="8" t="s">
        <v>1894</v>
      </c>
      <c r="F743" s="8" t="s">
        <v>686</v>
      </c>
      <c r="G743" s="8" t="s">
        <v>684</v>
      </c>
      <c r="I743" s="7" t="str">
        <f>IF(B743&lt;&gt;"",CREATE_QUERY($B$1,A$2:G$2,A743:G743),"")</f>
        <v>INSERT INTO base_mast(hqof_idcd, base_idcd, base_code, base_name, prnt_idcd, line_stat, line_levl) VALUES ('N1000WINFO', 'N1000WINFO3104207', '207', '연황색', '3104', '0', '1');</v>
      </c>
    </row>
    <row r="744" spans="1:9">
      <c r="A744" s="7" t="s">
        <v>1443</v>
      </c>
      <c r="B744" s="6" t="str">
        <f t="shared" si="14"/>
        <v>N1000WINFO3104208</v>
      </c>
      <c r="C744" s="8" t="s">
        <v>2102</v>
      </c>
      <c r="D744" s="10" t="s">
        <v>1677</v>
      </c>
      <c r="E744" s="8" t="s">
        <v>1894</v>
      </c>
      <c r="F744" s="8" t="s">
        <v>686</v>
      </c>
      <c r="G744" s="8" t="s">
        <v>684</v>
      </c>
      <c r="I744" s="7" t="str">
        <f>IF(B744&lt;&gt;"",CREATE_QUERY($B$1,A$2:G$2,A744:G744),"")</f>
        <v>INSERT INTO base_mast(hqof_idcd, base_idcd, base_code, base_name, prnt_idcd, line_stat, line_levl) VALUES ('N1000WINFO', 'N1000WINFO3104208', '208', '연회색', '3104', '0', '1');</v>
      </c>
    </row>
    <row r="745" spans="1:9">
      <c r="A745" s="7" t="s">
        <v>1443</v>
      </c>
      <c r="B745" s="6" t="str">
        <f t="shared" si="14"/>
        <v>N1000WINFO3104209</v>
      </c>
      <c r="C745" s="8" t="s">
        <v>2103</v>
      </c>
      <c r="D745" s="10" t="s">
        <v>1678</v>
      </c>
      <c r="E745" s="8" t="s">
        <v>1894</v>
      </c>
      <c r="F745" s="8" t="s">
        <v>686</v>
      </c>
      <c r="G745" s="8" t="s">
        <v>684</v>
      </c>
      <c r="I745" s="7" t="str">
        <f>IF(B745&lt;&gt;"",CREATE_QUERY($B$1,A$2:G$2,A745:G745),"")</f>
        <v>INSERT INTO base_mast(hqof_idcd, base_idcd, base_code, base_name, prnt_idcd, line_stat, line_levl) VALUES ('N1000WINFO', 'N1000WINFO3104209', '209', '연흑색', '3104', '0', '1');</v>
      </c>
    </row>
    <row r="746" spans="1:9">
      <c r="A746" s="7" t="s">
        <v>1443</v>
      </c>
      <c r="B746" s="6" t="str">
        <f t="shared" si="14"/>
        <v>N1000WINFO3104210</v>
      </c>
      <c r="C746" s="8" t="s">
        <v>2104</v>
      </c>
      <c r="D746" s="10" t="s">
        <v>1679</v>
      </c>
      <c r="E746" s="8" t="s">
        <v>1894</v>
      </c>
      <c r="F746" s="8" t="s">
        <v>686</v>
      </c>
      <c r="G746" s="8" t="s">
        <v>684</v>
      </c>
      <c r="I746" s="7" t="str">
        <f>IF(B746&lt;&gt;"",CREATE_QUERY($B$1,A$2:G$2,A746:G746),"")</f>
        <v>INSERT INTO base_mast(hqof_idcd, base_idcd, base_code, base_name, prnt_idcd, line_stat, line_levl) VALUES ('N1000WINFO', 'N1000WINFO3104210', '210', '옐로우그린투명', '3104', '0', '1');</v>
      </c>
    </row>
    <row r="747" spans="1:9">
      <c r="A747" s="7" t="s">
        <v>1443</v>
      </c>
      <c r="B747" s="6" t="str">
        <f t="shared" si="14"/>
        <v>N1000WINFO3104211</v>
      </c>
      <c r="C747" s="8" t="s">
        <v>2105</v>
      </c>
      <c r="D747" s="10" t="s">
        <v>1680</v>
      </c>
      <c r="E747" s="8" t="s">
        <v>1894</v>
      </c>
      <c r="F747" s="8" t="s">
        <v>686</v>
      </c>
      <c r="G747" s="8" t="s">
        <v>684</v>
      </c>
      <c r="I747" s="7" t="str">
        <f>IF(B747&lt;&gt;"",CREATE_QUERY($B$1,A$2:G$2,A747:G747),"")</f>
        <v>INSERT INTO base_mast(hqof_idcd, base_idcd, base_code, base_name, prnt_idcd, line_stat, line_levl) VALUES ('N1000WINFO', 'N1000WINFO3104211', '211', '옐로우반투명', '3104', '0', '1');</v>
      </c>
    </row>
    <row r="748" spans="1:9">
      <c r="A748" s="7" t="s">
        <v>1443</v>
      </c>
      <c r="B748" s="6" t="str">
        <f t="shared" si="14"/>
        <v>N1000WINFO3104212</v>
      </c>
      <c r="C748" s="8" t="s">
        <v>2106</v>
      </c>
      <c r="D748" s="10" t="s">
        <v>1681</v>
      </c>
      <c r="E748" s="8" t="s">
        <v>1894</v>
      </c>
      <c r="F748" s="8" t="s">
        <v>686</v>
      </c>
      <c r="G748" s="8" t="s">
        <v>684</v>
      </c>
      <c r="I748" s="7" t="str">
        <f>IF(B748&lt;&gt;"",CREATE_QUERY($B$1,A$2:G$2,A748:G748),"")</f>
        <v>INSERT INTO base_mast(hqof_idcd, base_idcd, base_code, base_name, prnt_idcd, line_stat, line_levl) VALUES ('N1000WINFO', 'N1000WINFO3104212', '212', '오랜지,실버유광증착', '3104', '0', '1');</v>
      </c>
    </row>
    <row r="749" spans="1:9">
      <c r="A749" s="7" t="s">
        <v>1443</v>
      </c>
      <c r="B749" s="6" t="str">
        <f t="shared" si="14"/>
        <v>N1000WINFO3104213</v>
      </c>
      <c r="C749" s="8" t="s">
        <v>2107</v>
      </c>
      <c r="D749" s="10" t="s">
        <v>1682</v>
      </c>
      <c r="E749" s="8" t="s">
        <v>1894</v>
      </c>
      <c r="F749" s="8" t="s">
        <v>686</v>
      </c>
      <c r="G749" s="8" t="s">
        <v>684</v>
      </c>
      <c r="I749" s="7" t="str">
        <f>IF(B749&lt;&gt;"",CREATE_QUERY($B$1,A$2:G$2,A749:G749),"")</f>
        <v>INSERT INTO base_mast(hqof_idcd, base_idcd, base_code, base_name, prnt_idcd, line_stat, line_levl) VALUES ('N1000WINFO', 'N1000WINFO3104213', '213', '오렌지색', '3104', '0', '1');</v>
      </c>
    </row>
    <row r="750" spans="1:9">
      <c r="A750" s="7" t="s">
        <v>1443</v>
      </c>
      <c r="B750" s="6" t="str">
        <f t="shared" si="14"/>
        <v>N1000WINFO3104214</v>
      </c>
      <c r="C750" s="8" t="s">
        <v>2108</v>
      </c>
      <c r="D750" s="10" t="s">
        <v>1683</v>
      </c>
      <c r="E750" s="8" t="s">
        <v>1894</v>
      </c>
      <c r="F750" s="8" t="s">
        <v>686</v>
      </c>
      <c r="G750" s="8" t="s">
        <v>684</v>
      </c>
      <c r="I750" s="7" t="str">
        <f>IF(B750&lt;&gt;"",CREATE_QUERY($B$1,A$2:G$2,A750:G750),"")</f>
        <v>INSERT INTO base_mast(hqof_idcd, base_idcd, base_code, base_name, prnt_idcd, line_stat, line_levl) VALUES ('N1000WINFO', 'N1000WINFO3104214', '214', '오렌지반투명', '3104', '0', '1');</v>
      </c>
    </row>
    <row r="751" spans="1:9">
      <c r="A751" s="7" t="s">
        <v>1443</v>
      </c>
      <c r="B751" s="6" t="str">
        <f t="shared" si="14"/>
        <v>N1000WINFO3104215</v>
      </c>
      <c r="C751" s="8" t="s">
        <v>2109</v>
      </c>
      <c r="D751" s="10" t="s">
        <v>1684</v>
      </c>
      <c r="E751" s="8" t="s">
        <v>1894</v>
      </c>
      <c r="F751" s="8" t="s">
        <v>686</v>
      </c>
      <c r="G751" s="8" t="s">
        <v>684</v>
      </c>
      <c r="I751" s="7" t="str">
        <f>IF(B751&lt;&gt;"",CREATE_QUERY($B$1,A$2:G$2,A751:G751),"")</f>
        <v>INSERT INTO base_mast(hqof_idcd, base_idcd, base_code, base_name, prnt_idcd, line_stat, line_levl) VALUES ('N1000WINFO', 'N1000WINFO3104215', '215', '오렌지투명', '3104', '0', '1');</v>
      </c>
    </row>
    <row r="752" spans="1:9">
      <c r="A752" s="7" t="s">
        <v>1443</v>
      </c>
      <c r="B752" s="6" t="str">
        <f t="shared" si="14"/>
        <v>N1000WINFO3104216</v>
      </c>
      <c r="C752" s="8" t="s">
        <v>2110</v>
      </c>
      <c r="D752" s="10" t="s">
        <v>1685</v>
      </c>
      <c r="E752" s="8" t="s">
        <v>1894</v>
      </c>
      <c r="F752" s="8" t="s">
        <v>686</v>
      </c>
      <c r="G752" s="8" t="s">
        <v>684</v>
      </c>
      <c r="I752" s="7" t="str">
        <f>IF(B752&lt;&gt;"",CREATE_QUERY($B$1,A$2:G$2,A752:G752),"")</f>
        <v>INSERT INTO base_mast(hqof_idcd, base_idcd, base_code, base_name, prnt_idcd, line_stat, line_levl) VALUES ('N1000WINFO', 'N1000WINFO3104216', '216', '오버캡', '3104', '0', '1');</v>
      </c>
    </row>
    <row r="753" spans="1:9">
      <c r="A753" s="7" t="s">
        <v>1443</v>
      </c>
      <c r="B753" s="6" t="str">
        <f t="shared" si="14"/>
        <v>N1000WINFO3104217</v>
      </c>
      <c r="C753" s="8" t="s">
        <v>2111</v>
      </c>
      <c r="D753" s="10" t="s">
        <v>1686</v>
      </c>
      <c r="E753" s="8" t="s">
        <v>1894</v>
      </c>
      <c r="F753" s="8" t="s">
        <v>686</v>
      </c>
      <c r="G753" s="8" t="s">
        <v>684</v>
      </c>
      <c r="I753" s="7" t="str">
        <f>IF(B753&lt;&gt;"",CREATE_QUERY($B$1,A$2:G$2,A753:G753),"")</f>
        <v>INSERT INTO base_mast(hqof_idcd, base_idcd, base_code, base_name, prnt_idcd, line_stat, line_levl) VALUES ('N1000WINFO', 'N1000WINFO3104217', '217', '옥색', '3104', '0', '1');</v>
      </c>
    </row>
    <row r="754" spans="1:9">
      <c r="A754" s="7" t="s">
        <v>1443</v>
      </c>
      <c r="B754" s="6" t="str">
        <f t="shared" si="14"/>
        <v>N1000WINFO3104218</v>
      </c>
      <c r="C754" s="8" t="s">
        <v>2112</v>
      </c>
      <c r="D754" s="10" t="s">
        <v>1687</v>
      </c>
      <c r="E754" s="8" t="s">
        <v>1894</v>
      </c>
      <c r="F754" s="8" t="s">
        <v>686</v>
      </c>
      <c r="G754" s="8" t="s">
        <v>684</v>
      </c>
      <c r="I754" s="7" t="str">
        <f>IF(B754&lt;&gt;"",CREATE_QUERY($B$1,A$2:G$2,A754:G754),"")</f>
        <v>INSERT INTO base_mast(hqof_idcd, base_idcd, base_code, base_name, prnt_idcd, line_stat, line_levl) VALUES ('N1000WINFO', 'N1000WINFO3104218', '218', '옥색투명', '3104', '0', '1');</v>
      </c>
    </row>
    <row r="755" spans="1:9">
      <c r="A755" s="7" t="s">
        <v>1443</v>
      </c>
      <c r="B755" s="6" t="str">
        <f t="shared" si="14"/>
        <v>N1000WINFO3104219</v>
      </c>
      <c r="C755" s="8" t="s">
        <v>2113</v>
      </c>
      <c r="D755" s="10" t="s">
        <v>1688</v>
      </c>
      <c r="E755" s="8" t="s">
        <v>1894</v>
      </c>
      <c r="F755" s="8" t="s">
        <v>686</v>
      </c>
      <c r="G755" s="8" t="s">
        <v>684</v>
      </c>
      <c r="I755" s="7" t="str">
        <f>IF(B755&lt;&gt;"",CREATE_QUERY($B$1,A$2:G$2,A755:G755),"")</f>
        <v>INSERT INTO base_mast(hqof_idcd, base_idcd, base_code, base_name, prnt_idcd, line_stat, line_levl) VALUES ('N1000WINFO', 'N1000WINFO3104219', '219', '와인색', '3104', '0', '1');</v>
      </c>
    </row>
    <row r="756" spans="1:9">
      <c r="A756" s="7" t="s">
        <v>1443</v>
      </c>
      <c r="B756" s="6" t="str">
        <f t="shared" si="14"/>
        <v>N1000WINFO3104220</v>
      </c>
      <c r="C756" s="8" t="s">
        <v>2114</v>
      </c>
      <c r="D756" s="10" t="s">
        <v>1689</v>
      </c>
      <c r="E756" s="8" t="s">
        <v>1894</v>
      </c>
      <c r="F756" s="8" t="s">
        <v>686</v>
      </c>
      <c r="G756" s="8" t="s">
        <v>684</v>
      </c>
      <c r="I756" s="7" t="str">
        <f>IF(B756&lt;&gt;"",CREATE_QUERY($B$1,A$2:G$2,A756:G756),"")</f>
        <v>INSERT INTO base_mast(hqof_idcd, base_idcd, base_code, base_name, prnt_idcd, line_stat, line_levl) VALUES ('N1000WINFO', 'N1000WINFO3104220', '220', '와인색투명', '3104', '0', '1');</v>
      </c>
    </row>
    <row r="757" spans="1:9">
      <c r="A757" s="7" t="s">
        <v>1443</v>
      </c>
      <c r="B757" s="6" t="str">
        <f t="shared" si="14"/>
        <v>N1000WINFO3104221</v>
      </c>
      <c r="C757" s="8" t="s">
        <v>2115</v>
      </c>
      <c r="D757" s="10" t="s">
        <v>1690</v>
      </c>
      <c r="E757" s="8" t="s">
        <v>1894</v>
      </c>
      <c r="F757" s="8" t="s">
        <v>686</v>
      </c>
      <c r="G757" s="8" t="s">
        <v>684</v>
      </c>
      <c r="I757" s="7" t="str">
        <f>IF(B757&lt;&gt;"",CREATE_QUERY($B$1,A$2:G$2,A757:G757),"")</f>
        <v>INSERT INTO base_mast(hqof_idcd, base_idcd, base_code, base_name, prnt_idcd, line_stat, line_levl) VALUES ('N1000WINFO', 'N1000WINFO3104221', '221', '우유백색', '3104', '0', '1');</v>
      </c>
    </row>
    <row r="758" spans="1:9">
      <c r="A758" s="7" t="s">
        <v>1443</v>
      </c>
      <c r="B758" s="6" t="str">
        <f t="shared" si="14"/>
        <v>N1000WINFO3104222</v>
      </c>
      <c r="C758" s="8" t="s">
        <v>2116</v>
      </c>
      <c r="D758" s="10" t="s">
        <v>1691</v>
      </c>
      <c r="E758" s="8" t="s">
        <v>1894</v>
      </c>
      <c r="F758" s="8" t="s">
        <v>686</v>
      </c>
      <c r="G758" s="8" t="s">
        <v>684</v>
      </c>
      <c r="I758" s="7" t="str">
        <f>IF(B758&lt;&gt;"",CREATE_QUERY($B$1,A$2:G$2,A758:G758),"")</f>
        <v>INSERT INTO base_mast(hqof_idcd, base_idcd, base_code, base_name, prnt_idcd, line_stat, line_levl) VALUES ('N1000WINFO', 'N1000WINFO3104222', '222', '유백색', '3104', '0', '1');</v>
      </c>
    </row>
    <row r="759" spans="1:9">
      <c r="A759" s="7" t="s">
        <v>1443</v>
      </c>
      <c r="B759" s="6" t="str">
        <f t="shared" si="14"/>
        <v>N1000WINFO3104223</v>
      </c>
      <c r="C759" s="8" t="s">
        <v>2117</v>
      </c>
      <c r="D759" s="10" t="s">
        <v>1692</v>
      </c>
      <c r="E759" s="8" t="s">
        <v>1894</v>
      </c>
      <c r="F759" s="8" t="s">
        <v>686</v>
      </c>
      <c r="G759" s="8" t="s">
        <v>684</v>
      </c>
      <c r="I759" s="7" t="str">
        <f>IF(B759&lt;&gt;"",CREATE_QUERY($B$1,A$2:G$2,A759:G759),"")</f>
        <v>INSERT INTO base_mast(hqof_idcd, base_idcd, base_code, base_name, prnt_idcd, line_stat, line_levl) VALUES ('N1000WINFO', 'N1000WINFO3104223', '223', '이디피백색', '3104', '0', '1');</v>
      </c>
    </row>
    <row r="760" spans="1:9">
      <c r="A760" s="7" t="s">
        <v>1443</v>
      </c>
      <c r="B760" s="6" t="str">
        <f t="shared" si="14"/>
        <v>N1000WINFO3104224</v>
      </c>
      <c r="C760" s="8" t="s">
        <v>2118</v>
      </c>
      <c r="D760" s="10" t="s">
        <v>1693</v>
      </c>
      <c r="E760" s="8" t="s">
        <v>1894</v>
      </c>
      <c r="F760" s="8" t="s">
        <v>686</v>
      </c>
      <c r="G760" s="8" t="s">
        <v>684</v>
      </c>
      <c r="I760" s="7" t="str">
        <f>IF(B760&lt;&gt;"",CREATE_QUERY($B$1,A$2:G$2,A760:G760),"")</f>
        <v>INSERT INTO base_mast(hqof_idcd, base_idcd, base_code, base_name, prnt_idcd, line_stat, line_levl) VALUES ('N1000WINFO', 'N1000WINFO3104224', '224', '인쇄', '3104', '0', '1');</v>
      </c>
    </row>
    <row r="761" spans="1:9">
      <c r="A761" s="7" t="s">
        <v>1443</v>
      </c>
      <c r="B761" s="6" t="str">
        <f t="shared" si="14"/>
        <v>N1000WINFO3104225</v>
      </c>
      <c r="C761" s="8" t="s">
        <v>2119</v>
      </c>
      <c r="D761" s="10" t="s">
        <v>1694</v>
      </c>
      <c r="E761" s="8" t="s">
        <v>1894</v>
      </c>
      <c r="F761" s="8" t="s">
        <v>686</v>
      </c>
      <c r="G761" s="8" t="s">
        <v>684</v>
      </c>
      <c r="I761" s="7" t="str">
        <f>IF(B761&lt;&gt;"",CREATE_QUERY($B$1,A$2:G$2,A761:G761),"")</f>
        <v>INSERT INTO base_mast(hqof_idcd, base_idcd, base_code, base_name, prnt_idcd, line_stat, line_levl) VALUES ('N1000WINFO', 'N1000WINFO3104225', '225', '일반백색', '3104', '0', '1');</v>
      </c>
    </row>
    <row r="762" spans="1:9">
      <c r="A762" s="7" t="s">
        <v>1443</v>
      </c>
      <c r="B762" s="6" t="str">
        <f t="shared" si="14"/>
        <v>N1000WINFO3104226</v>
      </c>
      <c r="C762" s="8" t="s">
        <v>2120</v>
      </c>
      <c r="D762" s="10" t="s">
        <v>1695</v>
      </c>
      <c r="E762" s="8" t="s">
        <v>1894</v>
      </c>
      <c r="F762" s="8" t="s">
        <v>686</v>
      </c>
      <c r="G762" s="8" t="s">
        <v>684</v>
      </c>
      <c r="I762" s="7" t="str">
        <f>IF(B762&lt;&gt;"",CREATE_QUERY($B$1,A$2:G$2,A762:G762),"")</f>
        <v>INSERT INTO base_mast(hqof_idcd, base_idcd, base_code, base_name, prnt_idcd, line_stat, line_levl) VALUES ('N1000WINFO', 'N1000WINFO3104226', '226', '자주색', '3104', '0', '1');</v>
      </c>
    </row>
    <row r="763" spans="1:9">
      <c r="A763" s="7" t="s">
        <v>1443</v>
      </c>
      <c r="B763" s="6" t="str">
        <f t="shared" si="14"/>
        <v>N1000WINFO3104227</v>
      </c>
      <c r="C763" s="8" t="s">
        <v>2121</v>
      </c>
      <c r="D763" s="10" t="s">
        <v>1696</v>
      </c>
      <c r="E763" s="8" t="s">
        <v>1894</v>
      </c>
      <c r="F763" s="8" t="s">
        <v>686</v>
      </c>
      <c r="G763" s="8" t="s">
        <v>684</v>
      </c>
      <c r="I763" s="7" t="str">
        <f>IF(B763&lt;&gt;"",CREATE_QUERY($B$1,A$2:G$2,A763:G763),"")</f>
        <v>INSERT INTO base_mast(hqof_idcd, base_idcd, base_code, base_name, prnt_idcd, line_stat, line_levl) VALUES ('N1000WINFO', 'N1000WINFO3104227', '227', '자주색반투명', '3104', '0', '1');</v>
      </c>
    </row>
    <row r="764" spans="1:9">
      <c r="A764" s="7" t="s">
        <v>1443</v>
      </c>
      <c r="B764" s="6" t="str">
        <f t="shared" si="14"/>
        <v>N1000WINFO3104228</v>
      </c>
      <c r="C764" s="8" t="s">
        <v>2122</v>
      </c>
      <c r="D764" s="10" t="s">
        <v>1697</v>
      </c>
      <c r="E764" s="8" t="s">
        <v>1894</v>
      </c>
      <c r="F764" s="8" t="s">
        <v>686</v>
      </c>
      <c r="G764" s="8" t="s">
        <v>684</v>
      </c>
      <c r="I764" s="7" t="str">
        <f>IF(B764&lt;&gt;"",CREATE_QUERY($B$1,A$2:G$2,A764:G764),"")</f>
        <v>INSERT INTO base_mast(hqof_idcd, base_idcd, base_code, base_name, prnt_idcd, line_stat, line_levl) VALUES ('N1000WINFO', 'N1000WINFO3104228', '228', '자주색투명', '3104', '0', '1');</v>
      </c>
    </row>
    <row r="765" spans="1:9">
      <c r="A765" s="7" t="s">
        <v>1443</v>
      </c>
      <c r="B765" s="6" t="str">
        <f t="shared" si="14"/>
        <v>N1000WINFO3104229</v>
      </c>
      <c r="C765" s="8" t="s">
        <v>2123</v>
      </c>
      <c r="D765" s="10" t="s">
        <v>1698</v>
      </c>
      <c r="E765" s="8" t="s">
        <v>1894</v>
      </c>
      <c r="F765" s="8" t="s">
        <v>686</v>
      </c>
      <c r="G765" s="8" t="s">
        <v>684</v>
      </c>
      <c r="I765" s="7" t="str">
        <f>IF(B765&lt;&gt;"",CREATE_QUERY($B$1,A$2:G$2,A765:G765),"")</f>
        <v>INSERT INTO base_mast(hqof_idcd, base_idcd, base_code, base_name, prnt_idcd, line_stat, line_levl) VALUES ('N1000WINFO', 'N1000WINFO3104229', '229', '적갈색', '3104', '0', '1');</v>
      </c>
    </row>
    <row r="766" spans="1:9">
      <c r="A766" s="7" t="s">
        <v>1443</v>
      </c>
      <c r="B766" s="6" t="str">
        <f t="shared" si="14"/>
        <v>N1000WINFO3104230</v>
      </c>
      <c r="C766" s="8" t="s">
        <v>2124</v>
      </c>
      <c r="D766" s="10" t="s">
        <v>1699</v>
      </c>
      <c r="E766" s="8" t="s">
        <v>1894</v>
      </c>
      <c r="F766" s="8" t="s">
        <v>686</v>
      </c>
      <c r="G766" s="8" t="s">
        <v>684</v>
      </c>
      <c r="I766" s="7" t="str">
        <f>IF(B766&lt;&gt;"",CREATE_QUERY($B$1,A$2:G$2,A766:G766),"")</f>
        <v>INSERT INTO base_mast(hqof_idcd, base_idcd, base_code, base_name, prnt_idcd, line_stat, line_levl) VALUES ('N1000WINFO', 'N1000WINFO3104230', '230', '적갈색반투명', '3104', '0', '1');</v>
      </c>
    </row>
    <row r="767" spans="1:9">
      <c r="A767" s="7" t="s">
        <v>1443</v>
      </c>
      <c r="B767" s="6" t="str">
        <f t="shared" si="14"/>
        <v>N1000WINFO3104231</v>
      </c>
      <c r="C767" s="8" t="s">
        <v>2125</v>
      </c>
      <c r="D767" s="10" t="s">
        <v>1700</v>
      </c>
      <c r="E767" s="8" t="s">
        <v>1894</v>
      </c>
      <c r="F767" s="8" t="s">
        <v>686</v>
      </c>
      <c r="G767" s="8" t="s">
        <v>684</v>
      </c>
      <c r="I767" s="7" t="str">
        <f>IF(B767&lt;&gt;"",CREATE_QUERY($B$1,A$2:G$2,A767:G767),"")</f>
        <v>INSERT INTO base_mast(hqof_idcd, base_idcd, base_code, base_name, prnt_idcd, line_stat, line_levl) VALUES ('N1000WINFO', 'N1000WINFO3104231', '231', '적갈색투명', '3104', '0', '1');</v>
      </c>
    </row>
    <row r="768" spans="1:9">
      <c r="A768" s="7" t="s">
        <v>1443</v>
      </c>
      <c r="B768" s="6" t="str">
        <f t="shared" si="14"/>
        <v>N1000WINFO3104232</v>
      </c>
      <c r="C768" s="8" t="s">
        <v>2126</v>
      </c>
      <c r="D768" s="12" t="s">
        <v>1701</v>
      </c>
      <c r="E768" s="8" t="s">
        <v>1894</v>
      </c>
      <c r="F768" s="8" t="s">
        <v>686</v>
      </c>
      <c r="G768" s="8" t="s">
        <v>684</v>
      </c>
      <c r="I768" s="7" t="str">
        <f>IF(B768&lt;&gt;"",CREATE_QUERY($B$1,A$2:G$2,A768:G768),"")</f>
        <v>INSERT INTO base_mast(hqof_idcd, base_idcd, base_code, base_name, prnt_idcd, line_stat, line_levl) VALUES ('N1000WINFO', 'N1000WINFO3104232', '232', '적검정', '3104', '0', '1');</v>
      </c>
    </row>
    <row r="769" spans="1:9">
      <c r="A769" s="7" t="s">
        <v>1443</v>
      </c>
      <c r="B769" s="6" t="str">
        <f t="shared" si="14"/>
        <v>N1000WINFO3104233</v>
      </c>
      <c r="C769" s="8" t="s">
        <v>2127</v>
      </c>
      <c r="D769" s="12" t="s">
        <v>1702</v>
      </c>
      <c r="E769" s="8" t="s">
        <v>1894</v>
      </c>
      <c r="F769" s="8" t="s">
        <v>686</v>
      </c>
      <c r="G769" s="8" t="s">
        <v>684</v>
      </c>
      <c r="I769" s="7" t="str">
        <f>IF(B769&lt;&gt;"",CREATE_QUERY($B$1,A$2:G$2,A769:G769),"")</f>
        <v>INSERT INTO base_mast(hqof_idcd, base_idcd, base_code, base_name, prnt_idcd, line_stat, line_levl) VALUES ('N1000WINFO', 'N1000WINFO3104233', '233', '적골드', '3104', '0', '1');</v>
      </c>
    </row>
    <row r="770" spans="1:9">
      <c r="A770" s="7" t="s">
        <v>1443</v>
      </c>
      <c r="B770" s="6" t="str">
        <f t="shared" si="14"/>
        <v>N1000WINFO3104234</v>
      </c>
      <c r="C770" s="8" t="s">
        <v>2128</v>
      </c>
      <c r="D770" s="10" t="s">
        <v>1703</v>
      </c>
      <c r="E770" s="8" t="s">
        <v>1894</v>
      </c>
      <c r="F770" s="8" t="s">
        <v>686</v>
      </c>
      <c r="G770" s="8" t="s">
        <v>684</v>
      </c>
      <c r="I770" s="7" t="str">
        <f>IF(B770&lt;&gt;"",CREATE_QUERY($B$1,A$2:G$2,A770:G770),"")</f>
        <v>INSERT INTO base_mast(hqof_idcd, base_idcd, base_code, base_name, prnt_idcd, line_stat, line_levl) VALUES ('N1000WINFO', 'N1000WINFO3104234', '234', '적보라반투명', '3104', '0', '1');</v>
      </c>
    </row>
    <row r="771" spans="1:9">
      <c r="A771" s="7" t="s">
        <v>1443</v>
      </c>
      <c r="B771" s="6" t="str">
        <f t="shared" si="14"/>
        <v>N1000WINFO3104235</v>
      </c>
      <c r="C771" s="8" t="s">
        <v>2129</v>
      </c>
      <c r="D771" s="10" t="s">
        <v>1704</v>
      </c>
      <c r="E771" s="8" t="s">
        <v>1894</v>
      </c>
      <c r="F771" s="8" t="s">
        <v>686</v>
      </c>
      <c r="G771" s="8" t="s">
        <v>684</v>
      </c>
      <c r="I771" s="7" t="str">
        <f>IF(B771&lt;&gt;"",CREATE_QUERY($B$1,A$2:G$2,A771:G771),"")</f>
        <v>INSERT INTO base_mast(hqof_idcd, base_idcd, base_code, base_name, prnt_idcd, line_stat, line_levl) VALUES ('N1000WINFO', 'N1000WINFO3104235', '235', '적색', '3104', '0', '1');</v>
      </c>
    </row>
    <row r="772" spans="1:9">
      <c r="A772" s="7" t="s">
        <v>1443</v>
      </c>
      <c r="B772" s="6" t="str">
        <f t="shared" si="14"/>
        <v>N1000WINFO3104236</v>
      </c>
      <c r="C772" s="8" t="s">
        <v>2130</v>
      </c>
      <c r="D772" s="10" t="s">
        <v>1705</v>
      </c>
      <c r="E772" s="8" t="s">
        <v>1894</v>
      </c>
      <c r="F772" s="8" t="s">
        <v>686</v>
      </c>
      <c r="G772" s="8" t="s">
        <v>684</v>
      </c>
      <c r="I772" s="7" t="str">
        <f>IF(B772&lt;&gt;"",CREATE_QUERY($B$1,A$2:G$2,A772:G772),"")</f>
        <v>INSERT INTO base_mast(hqof_idcd, base_idcd, base_code, base_name, prnt_idcd, line_stat, line_levl) VALUES ('N1000WINFO', 'N1000WINFO3104236', '236', '적색반투명', '3104', '0', '1');</v>
      </c>
    </row>
    <row r="773" spans="1:9">
      <c r="A773" s="7" t="s">
        <v>1443</v>
      </c>
      <c r="B773" s="6" t="str">
        <f t="shared" si="14"/>
        <v>N1000WINFO3104237</v>
      </c>
      <c r="C773" s="8" t="s">
        <v>2131</v>
      </c>
      <c r="D773" s="10" t="s">
        <v>1706</v>
      </c>
      <c r="E773" s="8" t="s">
        <v>1894</v>
      </c>
      <c r="F773" s="8" t="s">
        <v>686</v>
      </c>
      <c r="G773" s="8" t="s">
        <v>684</v>
      </c>
      <c r="I773" s="7" t="str">
        <f>IF(B773&lt;&gt;"",CREATE_QUERY($B$1,A$2:G$2,A773:G773),"")</f>
        <v>INSERT INTO base_mast(hqof_idcd, base_idcd, base_code, base_name, prnt_idcd, line_stat, line_levl) VALUES ('N1000WINFO', 'N1000WINFO3104237', '237', '적색투명', '3104', '0', '1');</v>
      </c>
    </row>
    <row r="774" spans="1:9">
      <c r="A774" s="7" t="s">
        <v>1443</v>
      </c>
      <c r="B774" s="6" t="str">
        <f t="shared" si="14"/>
        <v>N1000WINFO3104238</v>
      </c>
      <c r="C774" s="8" t="s">
        <v>2132</v>
      </c>
      <c r="D774" s="10" t="s">
        <v>1707</v>
      </c>
      <c r="E774" s="8" t="s">
        <v>1894</v>
      </c>
      <c r="F774" s="8" t="s">
        <v>686</v>
      </c>
      <c r="G774" s="8" t="s">
        <v>684</v>
      </c>
      <c r="I774" s="7" t="str">
        <f>IF(B774&lt;&gt;"",CREATE_QUERY($B$1,A$2:G$2,A774:G774),"")</f>
        <v>INSERT INTO base_mast(hqof_idcd, base_idcd, base_code, base_name, prnt_idcd, line_stat, line_levl) VALUES ('N1000WINFO', 'N1000WINFO3104238', '238', '전용백색', '3104', '0', '1');</v>
      </c>
    </row>
    <row r="775" spans="1:9">
      <c r="A775" s="7" t="s">
        <v>1443</v>
      </c>
      <c r="B775" s="6" t="str">
        <f t="shared" si="14"/>
        <v>N1000WINFO3104239</v>
      </c>
      <c r="C775" s="8" t="s">
        <v>2133</v>
      </c>
      <c r="D775" s="10" t="s">
        <v>1708</v>
      </c>
      <c r="E775" s="8" t="s">
        <v>1894</v>
      </c>
      <c r="F775" s="8" t="s">
        <v>686</v>
      </c>
      <c r="G775" s="8" t="s">
        <v>684</v>
      </c>
      <c r="I775" s="7" t="str">
        <f>IF(B775&lt;&gt;"",CREATE_QUERY($B$1,A$2:G$2,A775:G775),"")</f>
        <v>INSERT INTO base_mast(hqof_idcd, base_idcd, base_code, base_name, prnt_idcd, line_stat, line_levl) VALUES ('N1000WINFO', 'N1000WINFO3104239', '239', '조개펄아이스', '3104', '0', '1');</v>
      </c>
    </row>
    <row r="776" spans="1:9">
      <c r="A776" s="7" t="s">
        <v>1443</v>
      </c>
      <c r="B776" s="6" t="str">
        <f t="shared" si="14"/>
        <v>N1000WINFO3104240</v>
      </c>
      <c r="C776" s="8" t="s">
        <v>2134</v>
      </c>
      <c r="D776" s="10" t="s">
        <v>1709</v>
      </c>
      <c r="E776" s="8" t="s">
        <v>1894</v>
      </c>
      <c r="F776" s="8" t="s">
        <v>686</v>
      </c>
      <c r="G776" s="8" t="s">
        <v>684</v>
      </c>
      <c r="I776" s="7" t="str">
        <f>IF(B776&lt;&gt;"",CREATE_QUERY($B$1,A$2:G$2,A776:G776),"")</f>
        <v>INSERT INTO base_mast(hqof_idcd, base_idcd, base_code, base_name, prnt_idcd, line_stat, line_levl) VALUES ('N1000WINFO', 'N1000WINFO3104240', '240', '주황색', '3104', '0', '1');</v>
      </c>
    </row>
    <row r="777" spans="1:9">
      <c r="A777" s="7" t="s">
        <v>1443</v>
      </c>
      <c r="B777" s="6" t="str">
        <f t="shared" si="14"/>
        <v>N1000WINFO3104241</v>
      </c>
      <c r="C777" s="8" t="s">
        <v>2135</v>
      </c>
      <c r="D777" s="10" t="s">
        <v>1710</v>
      </c>
      <c r="E777" s="8" t="s">
        <v>1894</v>
      </c>
      <c r="F777" s="8" t="s">
        <v>686</v>
      </c>
      <c r="G777" s="8" t="s">
        <v>684</v>
      </c>
      <c r="I777" s="7" t="str">
        <f>IF(B777&lt;&gt;"",CREATE_QUERY($B$1,A$2:G$2,A777:G777),"")</f>
        <v>INSERT INTO base_mast(hqof_idcd, base_idcd, base_code, base_name, prnt_idcd, line_stat, line_levl) VALUES ('N1000WINFO', 'N1000WINFO3104241', '241', '주황색반투명', '3104', '0', '1');</v>
      </c>
    </row>
    <row r="778" spans="1:9">
      <c r="A778" s="7" t="s">
        <v>1443</v>
      </c>
      <c r="B778" s="6" t="str">
        <f t="shared" si="14"/>
        <v>N1000WINFO3104242</v>
      </c>
      <c r="C778" s="8" t="s">
        <v>2136</v>
      </c>
      <c r="D778" s="10" t="s">
        <v>1711</v>
      </c>
      <c r="E778" s="8" t="s">
        <v>1894</v>
      </c>
      <c r="F778" s="8" t="s">
        <v>686</v>
      </c>
      <c r="G778" s="8" t="s">
        <v>684</v>
      </c>
      <c r="I778" s="7" t="str">
        <f>IF(B778&lt;&gt;"",CREATE_QUERY($B$1,A$2:G$2,A778:G778),"")</f>
        <v>INSERT INTO base_mast(hqof_idcd, base_idcd, base_code, base_name, prnt_idcd, line_stat, line_levl) VALUES ('N1000WINFO', 'N1000WINFO3104242', '242', '주황색유광증착', '3104', '0', '1');</v>
      </c>
    </row>
    <row r="779" spans="1:9">
      <c r="A779" s="7" t="s">
        <v>1443</v>
      </c>
      <c r="B779" s="6" t="str">
        <f t="shared" si="14"/>
        <v>N1000WINFO3104243</v>
      </c>
      <c r="C779" s="8" t="s">
        <v>2137</v>
      </c>
      <c r="D779" s="10" t="s">
        <v>1712</v>
      </c>
      <c r="E779" s="8" t="s">
        <v>1894</v>
      </c>
      <c r="F779" s="8" t="s">
        <v>686</v>
      </c>
      <c r="G779" s="8" t="s">
        <v>684</v>
      </c>
      <c r="I779" s="7" t="str">
        <f>IF(B779&lt;&gt;"",CREATE_QUERY($B$1,A$2:G$2,A779:G779),"")</f>
        <v>INSERT INTO base_mast(hqof_idcd, base_idcd, base_code, base_name, prnt_idcd, line_stat, line_levl) VALUES ('N1000WINFO', 'N1000WINFO3104243', '243', '주황색투명', '3104', '0', '1');</v>
      </c>
    </row>
    <row r="780" spans="1:9">
      <c r="A780" s="7" t="s">
        <v>1443</v>
      </c>
      <c r="B780" s="6" t="str">
        <f t="shared" si="14"/>
        <v>N1000WINFO3104244</v>
      </c>
      <c r="C780" s="8" t="s">
        <v>2138</v>
      </c>
      <c r="D780" s="10" t="s">
        <v>1713</v>
      </c>
      <c r="E780" s="8" t="s">
        <v>1894</v>
      </c>
      <c r="F780" s="8" t="s">
        <v>686</v>
      </c>
      <c r="G780" s="8" t="s">
        <v>684</v>
      </c>
      <c r="I780" s="7" t="str">
        <f>IF(B780&lt;&gt;"",CREATE_QUERY($B$1,A$2:G$2,A780:G780),"")</f>
        <v>INSERT INTO base_mast(hqof_idcd, base_idcd, base_code, base_name, prnt_idcd, line_stat, line_levl) VALUES ('N1000WINFO', 'N1000WINFO3104244', '244', '증착', '3104', '0', '1');</v>
      </c>
    </row>
    <row r="781" spans="1:9">
      <c r="A781" s="7" t="s">
        <v>1443</v>
      </c>
      <c r="B781" s="6" t="str">
        <f t="shared" si="14"/>
        <v>N1000WINFO3104245</v>
      </c>
      <c r="C781" s="8" t="s">
        <v>2139</v>
      </c>
      <c r="D781" s="10" t="s">
        <v>1714</v>
      </c>
      <c r="E781" s="8" t="s">
        <v>1894</v>
      </c>
      <c r="F781" s="8" t="s">
        <v>686</v>
      </c>
      <c r="G781" s="8" t="s">
        <v>684</v>
      </c>
      <c r="I781" s="7" t="str">
        <f>IF(B781&lt;&gt;"",CREATE_QUERY($B$1,A$2:G$2,A781:G781),"")</f>
        <v>INSERT INTO base_mast(hqof_idcd, base_idcd, base_code, base_name, prnt_idcd, line_stat, line_levl) VALUES ('N1000WINFO', 'N1000WINFO3104245', '245', '진갈색', '3104', '0', '1');</v>
      </c>
    </row>
    <row r="782" spans="1:9">
      <c r="A782" s="7" t="s">
        <v>1443</v>
      </c>
      <c r="B782" s="6" t="str">
        <f t="shared" si="14"/>
        <v>N1000WINFO3104246</v>
      </c>
      <c r="C782" s="8" t="s">
        <v>2140</v>
      </c>
      <c r="D782" s="10" t="s">
        <v>1715</v>
      </c>
      <c r="E782" s="8" t="s">
        <v>1894</v>
      </c>
      <c r="F782" s="8" t="s">
        <v>686</v>
      </c>
      <c r="G782" s="8" t="s">
        <v>684</v>
      </c>
      <c r="I782" s="7" t="str">
        <f>IF(B782&lt;&gt;"",CREATE_QUERY($B$1,A$2:G$2,A782:G782),"")</f>
        <v>INSERT INTO base_mast(hqof_idcd, base_idcd, base_code, base_name, prnt_idcd, line_stat, line_levl) VALUES ('N1000WINFO', 'N1000WINFO3104246', '246', '진갈색반투명', '3104', '0', '1');</v>
      </c>
    </row>
    <row r="783" spans="1:9">
      <c r="A783" s="7" t="s">
        <v>1443</v>
      </c>
      <c r="B783" s="6" t="str">
        <f t="shared" si="14"/>
        <v>N1000WINFO3104247</v>
      </c>
      <c r="C783" s="8" t="s">
        <v>2141</v>
      </c>
      <c r="D783" s="10" t="s">
        <v>1716</v>
      </c>
      <c r="E783" s="8" t="s">
        <v>1894</v>
      </c>
      <c r="F783" s="8" t="s">
        <v>686</v>
      </c>
      <c r="G783" s="8" t="s">
        <v>684</v>
      </c>
      <c r="I783" s="7" t="str">
        <f>IF(B783&lt;&gt;"",CREATE_QUERY($B$1,A$2:G$2,A783:G783),"")</f>
        <v>INSERT INTO base_mast(hqof_idcd, base_idcd, base_code, base_name, prnt_idcd, line_stat, line_levl) VALUES ('N1000WINFO', 'N1000WINFO3104247', '247', '진갈색투명', '3104', '0', '1');</v>
      </c>
    </row>
    <row r="784" spans="1:9">
      <c r="A784" s="7" t="s">
        <v>1443</v>
      </c>
      <c r="B784" s="6" t="str">
        <f t="shared" si="14"/>
        <v>N1000WINFO3104248</v>
      </c>
      <c r="C784" s="8" t="s">
        <v>2142</v>
      </c>
      <c r="D784" s="10" t="s">
        <v>1717</v>
      </c>
      <c r="E784" s="8" t="s">
        <v>1894</v>
      </c>
      <c r="F784" s="8" t="s">
        <v>686</v>
      </c>
      <c r="G784" s="8" t="s">
        <v>684</v>
      </c>
      <c r="I784" s="7" t="str">
        <f>IF(B784&lt;&gt;"",CREATE_QUERY($B$1,A$2:G$2,A784:G784),"")</f>
        <v>INSERT INTO base_mast(hqof_idcd, base_idcd, base_code, base_name, prnt_idcd, line_stat, line_levl) VALUES ('N1000WINFO', 'N1000WINFO3104248', '248', '진검정보라투명', '3104', '0', '1');</v>
      </c>
    </row>
    <row r="785" spans="1:9">
      <c r="A785" s="7" t="s">
        <v>1443</v>
      </c>
      <c r="B785" s="6" t="str">
        <f t="shared" si="14"/>
        <v>N1000WINFO3104249</v>
      </c>
      <c r="C785" s="8" t="s">
        <v>2143</v>
      </c>
      <c r="D785" s="10" t="s">
        <v>1718</v>
      </c>
      <c r="E785" s="8" t="s">
        <v>1894</v>
      </c>
      <c r="F785" s="8" t="s">
        <v>686</v>
      </c>
      <c r="G785" s="8" t="s">
        <v>684</v>
      </c>
      <c r="I785" s="7" t="str">
        <f>IF(B785&lt;&gt;"",CREATE_QUERY($B$1,A$2:G$2,A785:G785),"")</f>
        <v>INSERT INTO base_mast(hqof_idcd, base_idcd, base_code, base_name, prnt_idcd, line_stat, line_levl) VALUES ('N1000WINFO', 'N1000WINFO3104249', '249', '진고동색', '3104', '0', '1');</v>
      </c>
    </row>
    <row r="786" spans="1:9">
      <c r="A786" s="7" t="s">
        <v>1443</v>
      </c>
      <c r="B786" s="6" t="str">
        <f t="shared" si="14"/>
        <v>N1000WINFO3104250</v>
      </c>
      <c r="C786" s="8" t="s">
        <v>2144</v>
      </c>
      <c r="D786" s="10" t="s">
        <v>1719</v>
      </c>
      <c r="E786" s="8" t="s">
        <v>1894</v>
      </c>
      <c r="F786" s="8" t="s">
        <v>686</v>
      </c>
      <c r="G786" s="8" t="s">
        <v>684</v>
      </c>
      <c r="I786" s="7" t="str">
        <f>IF(B786&lt;&gt;"",CREATE_QUERY($B$1,A$2:G$2,A786:G786),"")</f>
        <v>INSERT INTO base_mast(hqof_idcd, base_idcd, base_code, base_name, prnt_idcd, line_stat, line_levl) VALUES ('N1000WINFO', 'N1000WINFO3104250', '250', '진골드', '3104', '0', '1');</v>
      </c>
    </row>
    <row r="787" spans="1:9">
      <c r="A787" s="7" t="s">
        <v>1443</v>
      </c>
      <c r="B787" s="6" t="str">
        <f t="shared" si="14"/>
        <v>N1000WINFO3104251</v>
      </c>
      <c r="C787" s="8" t="s">
        <v>2145</v>
      </c>
      <c r="D787" s="10" t="s">
        <v>1720</v>
      </c>
      <c r="E787" s="8" t="s">
        <v>1894</v>
      </c>
      <c r="F787" s="8" t="s">
        <v>686</v>
      </c>
      <c r="G787" s="8" t="s">
        <v>684</v>
      </c>
      <c r="I787" s="7" t="str">
        <f>IF(B787&lt;&gt;"",CREATE_QUERY($B$1,A$2:G$2,A787:G787),"")</f>
        <v>INSERT INTO base_mast(hqof_idcd, base_idcd, base_code, base_name, prnt_idcd, line_stat, line_levl) VALUES ('N1000WINFO', 'N1000WINFO3104251', '251', '진군청색', '3104', '0', '1');</v>
      </c>
    </row>
    <row r="788" spans="1:9">
      <c r="A788" s="7" t="s">
        <v>1443</v>
      </c>
      <c r="B788" s="6" t="str">
        <f t="shared" si="14"/>
        <v>N1000WINFO3104252</v>
      </c>
      <c r="C788" s="8" t="s">
        <v>2146</v>
      </c>
      <c r="D788" s="10" t="s">
        <v>1721</v>
      </c>
      <c r="E788" s="8" t="s">
        <v>1894</v>
      </c>
      <c r="F788" s="8" t="s">
        <v>686</v>
      </c>
      <c r="G788" s="8" t="s">
        <v>684</v>
      </c>
      <c r="I788" s="7" t="str">
        <f>IF(B788&lt;&gt;"",CREATE_QUERY($B$1,A$2:G$2,A788:G788),"")</f>
        <v>INSERT INTO base_mast(hqof_idcd, base_idcd, base_code, base_name, prnt_idcd, line_stat, line_levl) VALUES ('N1000WINFO', 'N1000WINFO3104252', '252', '진남색', '3104', '0', '1');</v>
      </c>
    </row>
    <row r="789" spans="1:9">
      <c r="A789" s="7" t="s">
        <v>1443</v>
      </c>
      <c r="B789" s="6" t="str">
        <f t="shared" si="14"/>
        <v>N1000WINFO3104253</v>
      </c>
      <c r="C789" s="8" t="s">
        <v>2147</v>
      </c>
      <c r="D789" s="10" t="s">
        <v>1722</v>
      </c>
      <c r="E789" s="8" t="s">
        <v>1894</v>
      </c>
      <c r="F789" s="8" t="s">
        <v>686</v>
      </c>
      <c r="G789" s="8" t="s">
        <v>684</v>
      </c>
      <c r="I789" s="7" t="str">
        <f>IF(B789&lt;&gt;"",CREATE_QUERY($B$1,A$2:G$2,A789:G789),"")</f>
        <v>INSERT INTO base_mast(hqof_idcd, base_idcd, base_code, base_name, prnt_idcd, line_stat, line_levl) VALUES ('N1000WINFO', 'N1000WINFO3104253', '253', '진노랑색반투명', '3104', '0', '1');</v>
      </c>
    </row>
    <row r="790" spans="1:9">
      <c r="A790" s="7" t="s">
        <v>1443</v>
      </c>
      <c r="B790" s="6" t="str">
        <f t="shared" si="14"/>
        <v>N1000WINFO3104254</v>
      </c>
      <c r="C790" s="8" t="s">
        <v>2148</v>
      </c>
      <c r="D790" s="10" t="s">
        <v>1723</v>
      </c>
      <c r="E790" s="8" t="s">
        <v>1894</v>
      </c>
      <c r="F790" s="8" t="s">
        <v>686</v>
      </c>
      <c r="G790" s="8" t="s">
        <v>684</v>
      </c>
      <c r="I790" s="7" t="str">
        <f>IF(B790&lt;&gt;"",CREATE_QUERY($B$1,A$2:G$2,A790:G790),"")</f>
        <v>INSERT INTO base_mast(hqof_idcd, base_idcd, base_code, base_name, prnt_idcd, line_stat, line_levl) VALUES ('N1000WINFO', 'N1000WINFO3104254', '254', '진녹색', '3104', '0', '1');</v>
      </c>
    </row>
    <row r="791" spans="1:9">
      <c r="A791" s="7" t="s">
        <v>1443</v>
      </c>
      <c r="B791" s="6" t="str">
        <f t="shared" si="14"/>
        <v>N1000WINFO3104255</v>
      </c>
      <c r="C791" s="8" t="s">
        <v>2149</v>
      </c>
      <c r="D791" s="10" t="s">
        <v>1724</v>
      </c>
      <c r="E791" s="8" t="s">
        <v>1894</v>
      </c>
      <c r="F791" s="8" t="s">
        <v>686</v>
      </c>
      <c r="G791" s="8" t="s">
        <v>684</v>
      </c>
      <c r="I791" s="7" t="str">
        <f>IF(B791&lt;&gt;"",CREATE_QUERY($B$1,A$2:G$2,A791:G791),"")</f>
        <v>INSERT INTO base_mast(hqof_idcd, base_idcd, base_code, base_name, prnt_idcd, line_stat, line_levl) VALUES ('N1000WINFO', 'N1000WINFO3104255', '255', '진녹색반투명', '3104', '0', '1');</v>
      </c>
    </row>
    <row r="792" spans="1:9">
      <c r="A792" s="7" t="s">
        <v>1443</v>
      </c>
      <c r="B792" s="6" t="str">
        <f t="shared" si="14"/>
        <v>N1000WINFO3104256</v>
      </c>
      <c r="C792" s="8" t="s">
        <v>2150</v>
      </c>
      <c r="D792" s="10" t="s">
        <v>1725</v>
      </c>
      <c r="E792" s="8" t="s">
        <v>1894</v>
      </c>
      <c r="F792" s="8" t="s">
        <v>686</v>
      </c>
      <c r="G792" s="8" t="s">
        <v>684</v>
      </c>
      <c r="I792" s="7" t="str">
        <f>IF(B792&lt;&gt;"",CREATE_QUERY($B$1,A$2:G$2,A792:G792),"")</f>
        <v>INSERT INTO base_mast(hqof_idcd, base_idcd, base_code, base_name, prnt_idcd, line_stat, line_levl) VALUES ('N1000WINFO', 'N1000WINFO3104256', '256', '진녹색투명', '3104', '0', '1');</v>
      </c>
    </row>
    <row r="793" spans="1:9">
      <c r="A793" s="7" t="s">
        <v>1443</v>
      </c>
      <c r="B793" s="6" t="str">
        <f t="shared" ref="B793:B856" si="15">A793&amp;E793&amp;C793</f>
        <v>N1000WINFO3104257</v>
      </c>
      <c r="C793" s="8" t="s">
        <v>2151</v>
      </c>
      <c r="D793" s="10" t="s">
        <v>1726</v>
      </c>
      <c r="E793" s="8" t="s">
        <v>1894</v>
      </c>
      <c r="F793" s="8" t="s">
        <v>686</v>
      </c>
      <c r="G793" s="8" t="s">
        <v>684</v>
      </c>
      <c r="I793" s="7" t="str">
        <f>IF(B793&lt;&gt;"",CREATE_QUERY($B$1,A$2:G$2,A793:G793),"")</f>
        <v>INSERT INTO base_mast(hqof_idcd, base_idcd, base_code, base_name, prnt_idcd, line_stat, line_levl) VALUES ('N1000WINFO', 'N1000WINFO3104257', '257', '진베이지', '3104', '0', '1');</v>
      </c>
    </row>
    <row r="794" spans="1:9">
      <c r="A794" s="7" t="s">
        <v>1443</v>
      </c>
      <c r="B794" s="6" t="str">
        <f t="shared" si="15"/>
        <v>N1000WINFO3104258</v>
      </c>
      <c r="C794" s="8" t="s">
        <v>2152</v>
      </c>
      <c r="D794" s="10" t="s">
        <v>1727</v>
      </c>
      <c r="E794" s="8" t="s">
        <v>1894</v>
      </c>
      <c r="F794" s="8" t="s">
        <v>686</v>
      </c>
      <c r="G794" s="8" t="s">
        <v>684</v>
      </c>
      <c r="I794" s="7" t="str">
        <f>IF(B794&lt;&gt;"",CREATE_QUERY($B$1,A$2:G$2,A794:G794),"")</f>
        <v>INSERT INTO base_mast(hqof_idcd, base_idcd, base_code, base_name, prnt_idcd, line_stat, line_levl) VALUES ('N1000WINFO', 'N1000WINFO3104258', '258', '진보라색', '3104', '0', '1');</v>
      </c>
    </row>
    <row r="795" spans="1:9">
      <c r="A795" s="7" t="s">
        <v>1443</v>
      </c>
      <c r="B795" s="6" t="str">
        <f t="shared" si="15"/>
        <v>N1000WINFO3104259</v>
      </c>
      <c r="C795" s="8" t="s">
        <v>2153</v>
      </c>
      <c r="D795" s="10" t="s">
        <v>1728</v>
      </c>
      <c r="E795" s="8" t="s">
        <v>1894</v>
      </c>
      <c r="F795" s="8" t="s">
        <v>686</v>
      </c>
      <c r="G795" s="8" t="s">
        <v>684</v>
      </c>
      <c r="I795" s="7" t="str">
        <f>IF(B795&lt;&gt;"",CREATE_QUERY($B$1,A$2:G$2,A795:G795),"")</f>
        <v>INSERT INTO base_mast(hqof_idcd, base_idcd, base_code, base_name, prnt_idcd, line_stat, line_levl) VALUES ('N1000WINFO', 'N1000WINFO3104259', '259', '진보라투명', '3104', '0', '1');</v>
      </c>
    </row>
    <row r="796" spans="1:9">
      <c r="A796" s="7" t="s">
        <v>1443</v>
      </c>
      <c r="B796" s="6" t="str">
        <f t="shared" si="15"/>
        <v>N1000WINFO3104260</v>
      </c>
      <c r="C796" s="8" t="s">
        <v>2154</v>
      </c>
      <c r="D796" s="10" t="s">
        <v>1729</v>
      </c>
      <c r="E796" s="8" t="s">
        <v>1894</v>
      </c>
      <c r="F796" s="8" t="s">
        <v>686</v>
      </c>
      <c r="G796" s="8" t="s">
        <v>684</v>
      </c>
      <c r="I796" s="7" t="str">
        <f>IF(B796&lt;&gt;"",CREATE_QUERY($B$1,A$2:G$2,A796:G796),"")</f>
        <v>INSERT INTO base_mast(hqof_idcd, base_idcd, base_code, base_name, prnt_idcd, line_stat, line_levl) VALUES ('N1000WINFO', 'N1000WINFO3104260', '260', '진분홍색', '3104', '0', '1');</v>
      </c>
    </row>
    <row r="797" spans="1:9">
      <c r="A797" s="7" t="s">
        <v>1443</v>
      </c>
      <c r="B797" s="6" t="str">
        <f t="shared" si="15"/>
        <v>N1000WINFO3104261</v>
      </c>
      <c r="C797" s="8" t="s">
        <v>2155</v>
      </c>
      <c r="D797" s="10" t="s">
        <v>1730</v>
      </c>
      <c r="E797" s="8" t="s">
        <v>1894</v>
      </c>
      <c r="F797" s="8" t="s">
        <v>686</v>
      </c>
      <c r="G797" s="8" t="s">
        <v>684</v>
      </c>
      <c r="I797" s="7" t="str">
        <f>IF(B797&lt;&gt;"",CREATE_QUERY($B$1,A$2:G$2,A797:G797),"")</f>
        <v>INSERT INTO base_mast(hqof_idcd, base_idcd, base_code, base_name, prnt_idcd, line_stat, line_levl) VALUES ('N1000WINFO', 'N1000WINFO3104261', '261', '진분홍색반투명', '3104', '0', '1');</v>
      </c>
    </row>
    <row r="798" spans="1:9">
      <c r="A798" s="7" t="s">
        <v>1443</v>
      </c>
      <c r="B798" s="6" t="str">
        <f t="shared" si="15"/>
        <v>N1000WINFO3104262</v>
      </c>
      <c r="C798" s="8" t="s">
        <v>2156</v>
      </c>
      <c r="D798" s="10" t="s">
        <v>1731</v>
      </c>
      <c r="E798" s="8" t="s">
        <v>1894</v>
      </c>
      <c r="F798" s="8" t="s">
        <v>686</v>
      </c>
      <c r="G798" s="8" t="s">
        <v>684</v>
      </c>
      <c r="I798" s="7" t="str">
        <f>IF(B798&lt;&gt;"",CREATE_QUERY($B$1,A$2:G$2,A798:G798),"")</f>
        <v>INSERT INTO base_mast(hqof_idcd, base_idcd, base_code, base_name, prnt_idcd, line_stat, line_levl) VALUES ('N1000WINFO', 'N1000WINFO3104262', '262', '진분홍색투명', '3104', '0', '1');</v>
      </c>
    </row>
    <row r="799" spans="1:9">
      <c r="A799" s="7" t="s">
        <v>1443</v>
      </c>
      <c r="B799" s="6" t="str">
        <f t="shared" si="15"/>
        <v>N1000WINFO3104263</v>
      </c>
      <c r="C799" s="8" t="s">
        <v>2157</v>
      </c>
      <c r="D799" s="10" t="s">
        <v>1732</v>
      </c>
      <c r="E799" s="8" t="s">
        <v>1894</v>
      </c>
      <c r="F799" s="8" t="s">
        <v>686</v>
      </c>
      <c r="G799" s="8" t="s">
        <v>684</v>
      </c>
      <c r="I799" s="7" t="str">
        <f>IF(B799&lt;&gt;"",CREATE_QUERY($B$1,A$2:G$2,A799:G799),"")</f>
        <v>INSERT INTO base_mast(hqof_idcd, base_idcd, base_code, base_name, prnt_idcd, line_stat, line_levl) VALUES ('N1000WINFO', 'N1000WINFO3104263', '263', '진빨간색투명', '3104', '0', '1');</v>
      </c>
    </row>
    <row r="800" spans="1:9">
      <c r="A800" s="7" t="s">
        <v>1443</v>
      </c>
      <c r="B800" s="6" t="str">
        <f t="shared" si="15"/>
        <v>N1000WINFO3104264</v>
      </c>
      <c r="C800" s="8" t="s">
        <v>2158</v>
      </c>
      <c r="D800" s="10" t="s">
        <v>1733</v>
      </c>
      <c r="E800" s="8" t="s">
        <v>1894</v>
      </c>
      <c r="F800" s="8" t="s">
        <v>686</v>
      </c>
      <c r="G800" s="8" t="s">
        <v>684</v>
      </c>
      <c r="I800" s="7" t="str">
        <f>IF(B800&lt;&gt;"",CREATE_QUERY($B$1,A$2:G$2,A800:G800),"")</f>
        <v>INSERT INTO base_mast(hqof_idcd, base_idcd, base_code, base_name, prnt_idcd, line_stat, line_levl) VALUES ('N1000WINFO', 'N1000WINFO3104264', '264', '진아이스', '3104', '0', '1');</v>
      </c>
    </row>
    <row r="801" spans="1:9">
      <c r="A801" s="7" t="s">
        <v>1443</v>
      </c>
      <c r="B801" s="6" t="str">
        <f t="shared" si="15"/>
        <v>N1000WINFO3104265</v>
      </c>
      <c r="C801" s="8" t="s">
        <v>2159</v>
      </c>
      <c r="D801" s="10" t="s">
        <v>1734</v>
      </c>
      <c r="E801" s="8" t="s">
        <v>1894</v>
      </c>
      <c r="F801" s="8" t="s">
        <v>686</v>
      </c>
      <c r="G801" s="8" t="s">
        <v>684</v>
      </c>
      <c r="I801" s="7" t="str">
        <f>IF(B801&lt;&gt;"",CREATE_QUERY($B$1,A$2:G$2,A801:G801),"")</f>
        <v>INSERT INTO base_mast(hqof_idcd, base_idcd, base_code, base_name, prnt_idcd, line_stat, line_levl) VALUES ('N1000WINFO', 'N1000WINFO3104265', '265', '진연두색', '3104', '0', '1');</v>
      </c>
    </row>
    <row r="802" spans="1:9">
      <c r="A802" s="7" t="s">
        <v>1443</v>
      </c>
      <c r="B802" s="6" t="str">
        <f t="shared" si="15"/>
        <v>N1000WINFO3104266</v>
      </c>
      <c r="C802" s="8" t="s">
        <v>2160</v>
      </c>
      <c r="D802" s="10" t="s">
        <v>1735</v>
      </c>
      <c r="E802" s="8" t="s">
        <v>1894</v>
      </c>
      <c r="F802" s="8" t="s">
        <v>686</v>
      </c>
      <c r="G802" s="8" t="s">
        <v>684</v>
      </c>
      <c r="I802" s="7" t="str">
        <f>IF(B802&lt;&gt;"",CREATE_QUERY($B$1,A$2:G$2,A802:G802),"")</f>
        <v>INSERT INTO base_mast(hqof_idcd, base_idcd, base_code, base_name, prnt_idcd, line_stat, line_levl) VALUES ('N1000WINFO', 'N1000WINFO3104266', '266', '진자주색', '3104', '0', '1');</v>
      </c>
    </row>
    <row r="803" spans="1:9">
      <c r="A803" s="7" t="s">
        <v>1443</v>
      </c>
      <c r="B803" s="6" t="str">
        <f t="shared" si="15"/>
        <v>N1000WINFO3104267</v>
      </c>
      <c r="C803" s="8" t="s">
        <v>2161</v>
      </c>
      <c r="D803" s="10" t="s">
        <v>1736</v>
      </c>
      <c r="E803" s="8" t="s">
        <v>1894</v>
      </c>
      <c r="F803" s="8" t="s">
        <v>686</v>
      </c>
      <c r="G803" s="8" t="s">
        <v>684</v>
      </c>
      <c r="I803" s="7" t="str">
        <f>IF(B803&lt;&gt;"",CREATE_QUERY($B$1,A$2:G$2,A803:G803),"")</f>
        <v>INSERT INTO base_mast(hqof_idcd, base_idcd, base_code, base_name, prnt_idcd, line_stat, line_levl) VALUES ('N1000WINFO', 'N1000WINFO3104267', '267', '진청색투명', '3104', '0', '1');</v>
      </c>
    </row>
    <row r="804" spans="1:9">
      <c r="A804" s="7" t="s">
        <v>1443</v>
      </c>
      <c r="B804" s="6" t="str">
        <f t="shared" si="15"/>
        <v>N1000WINFO3104268</v>
      </c>
      <c r="C804" s="8" t="s">
        <v>2162</v>
      </c>
      <c r="D804" s="10" t="s">
        <v>1737</v>
      </c>
      <c r="E804" s="8" t="s">
        <v>1894</v>
      </c>
      <c r="F804" s="8" t="s">
        <v>686</v>
      </c>
      <c r="G804" s="8" t="s">
        <v>684</v>
      </c>
      <c r="I804" s="7" t="str">
        <f>IF(B804&lt;&gt;"",CREATE_QUERY($B$1,A$2:G$2,A804:G804),"")</f>
        <v>INSERT INTO base_mast(hqof_idcd, base_idcd, base_code, base_name, prnt_idcd, line_stat, line_levl) VALUES ('N1000WINFO', 'N1000WINFO3104268', '268', '진초록검정', '3104', '0', '1');</v>
      </c>
    </row>
    <row r="805" spans="1:9">
      <c r="A805" s="7" t="s">
        <v>1443</v>
      </c>
      <c r="B805" s="6" t="str">
        <f t="shared" si="15"/>
        <v>N1000WINFO3104269</v>
      </c>
      <c r="C805" s="8" t="s">
        <v>2163</v>
      </c>
      <c r="D805" s="10" t="s">
        <v>1738</v>
      </c>
      <c r="E805" s="8" t="s">
        <v>1894</v>
      </c>
      <c r="F805" s="8" t="s">
        <v>686</v>
      </c>
      <c r="G805" s="8" t="s">
        <v>684</v>
      </c>
      <c r="I805" s="7" t="str">
        <f>IF(B805&lt;&gt;"",CREATE_QUERY($B$1,A$2:G$2,A805:G805),"")</f>
        <v>INSERT INTO base_mast(hqof_idcd, base_idcd, base_code, base_name, prnt_idcd, line_stat, line_levl) VALUES ('N1000WINFO', 'N1000WINFO3104269', '269', '진파랑색', '3104', '0', '1');</v>
      </c>
    </row>
    <row r="806" spans="1:9">
      <c r="A806" s="7" t="s">
        <v>1443</v>
      </c>
      <c r="B806" s="6" t="str">
        <f t="shared" si="15"/>
        <v>N1000WINFO3104270</v>
      </c>
      <c r="C806" s="8" t="s">
        <v>2164</v>
      </c>
      <c r="D806" s="10" t="s">
        <v>1739</v>
      </c>
      <c r="E806" s="8" t="s">
        <v>1894</v>
      </c>
      <c r="F806" s="8" t="s">
        <v>686</v>
      </c>
      <c r="G806" s="8" t="s">
        <v>684</v>
      </c>
      <c r="I806" s="7" t="str">
        <f>IF(B806&lt;&gt;"",CREATE_QUERY($B$1,A$2:G$2,A806:G806),"")</f>
        <v>INSERT INTO base_mast(hqof_idcd, base_idcd, base_code, base_name, prnt_idcd, line_stat, line_levl) VALUES ('N1000WINFO', 'N1000WINFO3104270', '270', '진파랑반투명', '3104', '0', '1');</v>
      </c>
    </row>
    <row r="807" spans="1:9">
      <c r="A807" s="7" t="s">
        <v>1443</v>
      </c>
      <c r="B807" s="6" t="str">
        <f t="shared" si="15"/>
        <v>N1000WINFO3104271</v>
      </c>
      <c r="C807" s="8" t="s">
        <v>2165</v>
      </c>
      <c r="D807" s="10" t="s">
        <v>1740</v>
      </c>
      <c r="E807" s="8" t="s">
        <v>1894</v>
      </c>
      <c r="F807" s="8" t="s">
        <v>686</v>
      </c>
      <c r="G807" s="8" t="s">
        <v>684</v>
      </c>
      <c r="I807" s="7" t="str">
        <f>IF(B807&lt;&gt;"",CREATE_QUERY($B$1,A$2:G$2,A807:G807),"")</f>
        <v>INSERT INTO base_mast(hqof_idcd, base_idcd, base_code, base_name, prnt_idcd, line_stat, line_levl) VALUES ('N1000WINFO', 'N1000WINFO3104271', '271', '진파랑투명', '3104', '0', '1');</v>
      </c>
    </row>
    <row r="808" spans="1:9">
      <c r="A808" s="7" t="s">
        <v>1443</v>
      </c>
      <c r="B808" s="6" t="str">
        <f t="shared" si="15"/>
        <v>N1000WINFO3104272</v>
      </c>
      <c r="C808" s="8" t="s">
        <v>2166</v>
      </c>
      <c r="D808" s="10" t="s">
        <v>1741</v>
      </c>
      <c r="E808" s="8" t="s">
        <v>1894</v>
      </c>
      <c r="F808" s="8" t="s">
        <v>686</v>
      </c>
      <c r="G808" s="8" t="s">
        <v>684</v>
      </c>
      <c r="I808" s="7" t="str">
        <f>IF(B808&lt;&gt;"",CREATE_QUERY($B$1,A$2:G$2,A808:G808),"")</f>
        <v>INSERT INTO base_mast(hqof_idcd, base_idcd, base_code, base_name, prnt_idcd, line_stat, line_levl) VALUES ('N1000WINFO', 'N1000WINFO3104272', '272', '진펄고동반투명', '3104', '0', '1');</v>
      </c>
    </row>
    <row r="809" spans="1:9">
      <c r="A809" s="7" t="s">
        <v>1443</v>
      </c>
      <c r="B809" s="6" t="str">
        <f t="shared" si="15"/>
        <v>N1000WINFO3104273</v>
      </c>
      <c r="C809" s="8" t="s">
        <v>2167</v>
      </c>
      <c r="D809" s="10" t="s">
        <v>1742</v>
      </c>
      <c r="E809" s="8" t="s">
        <v>1894</v>
      </c>
      <c r="F809" s="8" t="s">
        <v>686</v>
      </c>
      <c r="G809" s="8" t="s">
        <v>684</v>
      </c>
      <c r="I809" s="7" t="str">
        <f>IF(B809&lt;&gt;"",CREATE_QUERY($B$1,A$2:G$2,A809:G809),"")</f>
        <v>INSERT INTO base_mast(hqof_idcd, base_idcd, base_code, base_name, prnt_idcd, line_stat, line_levl) VALUES ('N1000WINFO', 'N1000WINFO3104273', '273', '진하늘색', '3104', '0', '1');</v>
      </c>
    </row>
    <row r="810" spans="1:9">
      <c r="A810" s="7" t="s">
        <v>1443</v>
      </c>
      <c r="B810" s="6" t="str">
        <f t="shared" si="15"/>
        <v>N1000WINFO3104274</v>
      </c>
      <c r="C810" s="8" t="s">
        <v>2168</v>
      </c>
      <c r="D810" s="10" t="s">
        <v>1743</v>
      </c>
      <c r="E810" s="8" t="s">
        <v>1894</v>
      </c>
      <c r="F810" s="8" t="s">
        <v>686</v>
      </c>
      <c r="G810" s="8" t="s">
        <v>684</v>
      </c>
      <c r="I810" s="7" t="str">
        <f>IF(B810&lt;&gt;"",CREATE_QUERY($B$1,A$2:G$2,A810:G810),"")</f>
        <v>INSERT INTO base_mast(hqof_idcd, base_idcd, base_code, base_name, prnt_idcd, line_stat, line_levl) VALUES ('N1000WINFO', 'N1000WINFO3104274', '274', '진하늘색투명', '3104', '0', '1');</v>
      </c>
    </row>
    <row r="811" spans="1:9">
      <c r="A811" s="7" t="s">
        <v>1443</v>
      </c>
      <c r="B811" s="6" t="str">
        <f t="shared" si="15"/>
        <v>N1000WINFO3104275</v>
      </c>
      <c r="C811" s="8" t="s">
        <v>2169</v>
      </c>
      <c r="D811" s="10" t="s">
        <v>1744</v>
      </c>
      <c r="E811" s="8" t="s">
        <v>1894</v>
      </c>
      <c r="F811" s="8" t="s">
        <v>686</v>
      </c>
      <c r="G811" s="8" t="s">
        <v>684</v>
      </c>
      <c r="I811" s="7" t="str">
        <f>IF(B811&lt;&gt;"",CREATE_QUERY($B$1,A$2:G$2,A811:G811),"")</f>
        <v>INSERT INTO base_mast(hqof_idcd, base_idcd, base_code, base_name, prnt_idcd, line_stat, line_levl) VALUES ('N1000WINFO', 'N1000WINFO3104275', '275', '진한녹색', '3104', '0', '1');</v>
      </c>
    </row>
    <row r="812" spans="1:9">
      <c r="A812" s="7" t="s">
        <v>1443</v>
      </c>
      <c r="B812" s="6" t="str">
        <f t="shared" si="15"/>
        <v>N1000WINFO3104276</v>
      </c>
      <c r="C812" s="8" t="s">
        <v>2170</v>
      </c>
      <c r="D812" s="10" t="s">
        <v>1745</v>
      </c>
      <c r="E812" s="8" t="s">
        <v>1894</v>
      </c>
      <c r="F812" s="8" t="s">
        <v>686</v>
      </c>
      <c r="G812" s="8" t="s">
        <v>684</v>
      </c>
      <c r="I812" s="7" t="str">
        <f>IF(B812&lt;&gt;"",CREATE_QUERY($B$1,A$2:G$2,A812:G812),"")</f>
        <v>INSERT INTO base_mast(hqof_idcd, base_idcd, base_code, base_name, prnt_idcd, line_stat, line_levl) VALUES ('N1000WINFO', 'N1000WINFO3104276', '276', '진한녹색투명', '3104', '0', '1');</v>
      </c>
    </row>
    <row r="813" spans="1:9">
      <c r="A813" s="7" t="s">
        <v>1443</v>
      </c>
      <c r="B813" s="6" t="str">
        <f t="shared" si="15"/>
        <v>N1000WINFO3104277</v>
      </c>
      <c r="C813" s="8" t="s">
        <v>2171</v>
      </c>
      <c r="D813" s="10" t="s">
        <v>1746</v>
      </c>
      <c r="E813" s="8" t="s">
        <v>1894</v>
      </c>
      <c r="F813" s="8" t="s">
        <v>686</v>
      </c>
      <c r="G813" s="8" t="s">
        <v>684</v>
      </c>
      <c r="I813" s="7" t="str">
        <f>IF(B813&lt;&gt;"",CREATE_QUERY($B$1,A$2:G$2,A813:G813),"")</f>
        <v>INSERT INTO base_mast(hqof_idcd, base_idcd, base_code, base_name, prnt_idcd, line_stat, line_levl) VALUES ('N1000WINFO', 'N1000WINFO3104277', '277', '진회색', '3104', '0', '1');</v>
      </c>
    </row>
    <row r="814" spans="1:9">
      <c r="A814" s="7" t="s">
        <v>1443</v>
      </c>
      <c r="B814" s="6" t="str">
        <f t="shared" si="15"/>
        <v>N1000WINFO3104278</v>
      </c>
      <c r="C814" s="8" t="s">
        <v>2172</v>
      </c>
      <c r="D814" s="10" t="s">
        <v>1747</v>
      </c>
      <c r="E814" s="8" t="s">
        <v>1894</v>
      </c>
      <c r="F814" s="8" t="s">
        <v>686</v>
      </c>
      <c r="G814" s="8" t="s">
        <v>684</v>
      </c>
      <c r="I814" s="7" t="str">
        <f>IF(B814&lt;&gt;"",CREATE_QUERY($B$1,A$2:G$2,A814:G814),"")</f>
        <v>INSERT INTO base_mast(hqof_idcd, base_idcd, base_code, base_name, prnt_idcd, line_stat, line_levl) VALUES ('N1000WINFO', 'N1000WINFO3104278', '278', '진회색투명', '3104', '0', '1');</v>
      </c>
    </row>
    <row r="815" spans="1:9">
      <c r="A815" s="7" t="s">
        <v>1443</v>
      </c>
      <c r="B815" s="6" t="str">
        <f t="shared" si="15"/>
        <v>N1000WINFO3104279</v>
      </c>
      <c r="C815" s="8" t="s">
        <v>2173</v>
      </c>
      <c r="D815" s="10" t="s">
        <v>1748</v>
      </c>
      <c r="E815" s="8" t="s">
        <v>1894</v>
      </c>
      <c r="F815" s="8" t="s">
        <v>686</v>
      </c>
      <c r="G815" s="8" t="s">
        <v>684</v>
      </c>
      <c r="I815" s="7" t="str">
        <f>IF(B815&lt;&gt;"",CREATE_QUERY($B$1,A$2:G$2,A815:G815),"")</f>
        <v>INSERT INTO base_mast(hqof_idcd, base_idcd, base_code, base_name, prnt_idcd, line_stat, line_levl) VALUES ('N1000WINFO', 'N1000WINFO3104279', '279', '진흑갈색', '3104', '0', '1');</v>
      </c>
    </row>
    <row r="816" spans="1:9">
      <c r="A816" s="7" t="s">
        <v>1443</v>
      </c>
      <c r="B816" s="6" t="str">
        <f t="shared" si="15"/>
        <v>N1000WINFO3104280</v>
      </c>
      <c r="C816" s="8" t="s">
        <v>2174</v>
      </c>
      <c r="D816" s="10" t="s">
        <v>1749</v>
      </c>
      <c r="E816" s="8" t="s">
        <v>1894</v>
      </c>
      <c r="F816" s="8" t="s">
        <v>686</v>
      </c>
      <c r="G816" s="8" t="s">
        <v>684</v>
      </c>
      <c r="I816" s="7" t="str">
        <f>IF(B816&lt;&gt;"",CREATE_QUERY($B$1,A$2:G$2,A816:G816),"")</f>
        <v>INSERT INTO base_mast(hqof_idcd, base_idcd, base_code, base_name, prnt_idcd, line_stat, line_levl) VALUES ('N1000WINFO', 'N1000WINFO3104280', '280', '진흙갈색반투명', '3104', '0', '1');</v>
      </c>
    </row>
    <row r="817" spans="1:9">
      <c r="A817" s="7" t="s">
        <v>1443</v>
      </c>
      <c r="B817" s="6" t="str">
        <f t="shared" si="15"/>
        <v>N1000WINFO3104281</v>
      </c>
      <c r="C817" s="8" t="s">
        <v>2175</v>
      </c>
      <c r="D817" s="10" t="s">
        <v>1750</v>
      </c>
      <c r="E817" s="8" t="s">
        <v>1894</v>
      </c>
      <c r="F817" s="8" t="s">
        <v>686</v>
      </c>
      <c r="G817" s="8" t="s">
        <v>684</v>
      </c>
      <c r="I817" s="7" t="str">
        <f>IF(B817&lt;&gt;"",CREATE_QUERY($B$1,A$2:G$2,A817:G817),"")</f>
        <v>INSERT INTO base_mast(hqof_idcd, base_idcd, base_code, base_name, prnt_idcd, line_stat, line_levl) VALUES ('N1000WINFO', 'N1000WINFO3104281', '281', '청녹색', '3104', '0', '1');</v>
      </c>
    </row>
    <row r="818" spans="1:9">
      <c r="A818" s="7" t="s">
        <v>1443</v>
      </c>
      <c r="B818" s="6" t="str">
        <f t="shared" si="15"/>
        <v>N1000WINFO3104282</v>
      </c>
      <c r="C818" s="8" t="s">
        <v>2176</v>
      </c>
      <c r="D818" s="10" t="s">
        <v>1751</v>
      </c>
      <c r="E818" s="8" t="s">
        <v>1894</v>
      </c>
      <c r="F818" s="8" t="s">
        <v>686</v>
      </c>
      <c r="G818" s="8" t="s">
        <v>684</v>
      </c>
      <c r="I818" s="7" t="str">
        <f>IF(B818&lt;&gt;"",CREATE_QUERY($B$1,A$2:G$2,A818:G818),"")</f>
        <v>INSERT INTO base_mast(hqof_idcd, base_idcd, base_code, base_name, prnt_idcd, line_stat, line_levl) VALUES ('N1000WINFO', 'N1000WINFO3104282', '282', '청녹색반투명', '3104', '0', '1');</v>
      </c>
    </row>
    <row r="819" spans="1:9">
      <c r="A819" s="7" t="s">
        <v>1443</v>
      </c>
      <c r="B819" s="6" t="str">
        <f t="shared" si="15"/>
        <v>N1000WINFO3104283</v>
      </c>
      <c r="C819" s="8" t="s">
        <v>2177</v>
      </c>
      <c r="D819" s="10" t="s">
        <v>1752</v>
      </c>
      <c r="E819" s="8" t="s">
        <v>1894</v>
      </c>
      <c r="F819" s="8" t="s">
        <v>686</v>
      </c>
      <c r="G819" s="8" t="s">
        <v>684</v>
      </c>
      <c r="I819" s="7" t="str">
        <f>IF(B819&lt;&gt;"",CREATE_QUERY($B$1,A$2:G$2,A819:G819),"")</f>
        <v>INSERT INTO base_mast(hqof_idcd, base_idcd, base_code, base_name, prnt_idcd, line_stat, line_levl) VALUES ('N1000WINFO', 'N1000WINFO3104283', '283', '청록색', '3104', '0', '1');</v>
      </c>
    </row>
    <row r="820" spans="1:9">
      <c r="A820" s="7" t="s">
        <v>1443</v>
      </c>
      <c r="B820" s="6" t="str">
        <f t="shared" si="15"/>
        <v>N1000WINFO3104284</v>
      </c>
      <c r="C820" s="8" t="s">
        <v>2178</v>
      </c>
      <c r="D820" s="10" t="s">
        <v>1753</v>
      </c>
      <c r="E820" s="8" t="s">
        <v>1894</v>
      </c>
      <c r="F820" s="8" t="s">
        <v>686</v>
      </c>
      <c r="G820" s="8" t="s">
        <v>684</v>
      </c>
      <c r="I820" s="7" t="str">
        <f>IF(B820&lt;&gt;"",CREATE_QUERY($B$1,A$2:G$2,A820:G820),"")</f>
        <v>INSERT INTO base_mast(hqof_idcd, base_idcd, base_code, base_name, prnt_idcd, line_stat, line_levl) VALUES ('N1000WINFO', 'N1000WINFO3104284', '284', '청록색투명', '3104', '0', '1');</v>
      </c>
    </row>
    <row r="821" spans="1:9">
      <c r="A821" s="7" t="s">
        <v>1443</v>
      </c>
      <c r="B821" s="6" t="str">
        <f t="shared" si="15"/>
        <v>N1000WINFO3104285</v>
      </c>
      <c r="C821" s="8" t="s">
        <v>2179</v>
      </c>
      <c r="D821" s="10" t="s">
        <v>1754</v>
      </c>
      <c r="E821" s="8" t="s">
        <v>1894</v>
      </c>
      <c r="F821" s="8" t="s">
        <v>686</v>
      </c>
      <c r="G821" s="8" t="s">
        <v>684</v>
      </c>
      <c r="I821" s="7" t="str">
        <f>IF(B821&lt;&gt;"",CREATE_QUERY($B$1,A$2:G$2,A821:G821),"")</f>
        <v>INSERT INTO base_mast(hqof_idcd, base_idcd, base_code, base_name, prnt_idcd, line_stat, line_levl) VALUES ('N1000WINFO', 'N1000WINFO3104285', '285', '청보라색투명', '3104', '0', '1');</v>
      </c>
    </row>
    <row r="822" spans="1:9">
      <c r="A822" s="7" t="s">
        <v>1443</v>
      </c>
      <c r="B822" s="6" t="str">
        <f t="shared" si="15"/>
        <v>N1000WINFO3104286</v>
      </c>
      <c r="C822" s="8" t="s">
        <v>2180</v>
      </c>
      <c r="D822" s="10" t="s">
        <v>1755</v>
      </c>
      <c r="E822" s="8" t="s">
        <v>1894</v>
      </c>
      <c r="F822" s="8" t="s">
        <v>686</v>
      </c>
      <c r="G822" s="8" t="s">
        <v>684</v>
      </c>
      <c r="I822" s="7" t="str">
        <f>IF(B822&lt;&gt;"",CREATE_QUERY($B$1,A$2:G$2,A822:G822),"")</f>
        <v>INSERT INTO base_mast(hqof_idcd, base_idcd, base_code, base_name, prnt_idcd, line_stat, line_levl) VALUES ('N1000WINFO', 'N1000WINFO3104286', '286', '청색', '3104', '0', '1');</v>
      </c>
    </row>
    <row r="823" spans="1:9">
      <c r="A823" s="7" t="s">
        <v>1443</v>
      </c>
      <c r="B823" s="6" t="str">
        <f t="shared" si="15"/>
        <v>N1000WINFO3104287</v>
      </c>
      <c r="C823" s="8" t="s">
        <v>2181</v>
      </c>
      <c r="D823" s="10" t="s">
        <v>1756</v>
      </c>
      <c r="E823" s="8" t="s">
        <v>1894</v>
      </c>
      <c r="F823" s="8" t="s">
        <v>686</v>
      </c>
      <c r="G823" s="8" t="s">
        <v>684</v>
      </c>
      <c r="I823" s="7" t="str">
        <f>IF(B823&lt;&gt;"",CREATE_QUERY($B$1,A$2:G$2,A823:G823),"")</f>
        <v>INSERT INTO base_mast(hqof_idcd, base_idcd, base_code, base_name, prnt_idcd, line_stat, line_levl) VALUES ('N1000WINFO', 'N1000WINFO3104287', '287', '청색반투명', '3104', '0', '1');</v>
      </c>
    </row>
    <row r="824" spans="1:9">
      <c r="A824" s="7" t="s">
        <v>1443</v>
      </c>
      <c r="B824" s="6" t="str">
        <f t="shared" si="15"/>
        <v>N1000WINFO3104288</v>
      </c>
      <c r="C824" s="8" t="s">
        <v>2182</v>
      </c>
      <c r="D824" s="10" t="s">
        <v>1757</v>
      </c>
      <c r="E824" s="8" t="s">
        <v>1894</v>
      </c>
      <c r="F824" s="8" t="s">
        <v>686</v>
      </c>
      <c r="G824" s="8" t="s">
        <v>684</v>
      </c>
      <c r="I824" s="7" t="str">
        <f>IF(B824&lt;&gt;"",CREATE_QUERY($B$1,A$2:G$2,A824:G824),"")</f>
        <v>INSERT INTO base_mast(hqof_idcd, base_idcd, base_code, base_name, prnt_idcd, line_stat, line_levl) VALUES ('N1000WINFO', 'N1000WINFO3104288', '288', '청색투명', '3104', '0', '1');</v>
      </c>
    </row>
    <row r="825" spans="1:9">
      <c r="A825" s="7" t="s">
        <v>1443</v>
      </c>
      <c r="B825" s="6" t="str">
        <f t="shared" si="15"/>
        <v>N1000WINFO3104289</v>
      </c>
      <c r="C825" s="8" t="s">
        <v>2183</v>
      </c>
      <c r="D825" s="12" t="s">
        <v>1758</v>
      </c>
      <c r="E825" s="8" t="s">
        <v>1894</v>
      </c>
      <c r="F825" s="8" t="s">
        <v>686</v>
      </c>
      <c r="G825" s="8" t="s">
        <v>684</v>
      </c>
      <c r="I825" s="7" t="str">
        <f>IF(B825&lt;&gt;"",CREATE_QUERY($B$1,A$2:G$2,A825:G825),"")</f>
        <v>INSERT INTO base_mast(hqof_idcd, base_idcd, base_code, base_name, prnt_idcd, line_stat, line_levl) VALUES ('N1000WINFO', 'N1000WINFO3104289', '289', '초록색반투명', '3104', '0', '1');</v>
      </c>
    </row>
    <row r="826" spans="1:9">
      <c r="A826" s="7" t="s">
        <v>1443</v>
      </c>
      <c r="B826" s="6" t="str">
        <f t="shared" si="15"/>
        <v>N1000WINFO3104290</v>
      </c>
      <c r="C826" s="8" t="s">
        <v>2184</v>
      </c>
      <c r="D826" s="10" t="s">
        <v>1759</v>
      </c>
      <c r="E826" s="8" t="s">
        <v>1894</v>
      </c>
      <c r="F826" s="8" t="s">
        <v>686</v>
      </c>
      <c r="G826" s="8" t="s">
        <v>684</v>
      </c>
      <c r="I826" s="7" t="str">
        <f>IF(B826&lt;&gt;"",CREATE_QUERY($B$1,A$2:G$2,A826:G826),"")</f>
        <v>INSERT INTO base_mast(hqof_idcd, base_idcd, base_code, base_name, prnt_idcd, line_stat, line_levl) VALUES ('N1000WINFO', 'N1000WINFO3104290', '290', '초록색투명', '3104', '0', '1');</v>
      </c>
    </row>
    <row r="827" spans="1:9">
      <c r="A827" s="7" t="s">
        <v>1443</v>
      </c>
      <c r="B827" s="6" t="str">
        <f t="shared" si="15"/>
        <v>N1000WINFO3104291</v>
      </c>
      <c r="C827" s="8" t="s">
        <v>2185</v>
      </c>
      <c r="D827" s="10" t="s">
        <v>1760</v>
      </c>
      <c r="E827" s="8" t="s">
        <v>1894</v>
      </c>
      <c r="F827" s="8" t="s">
        <v>686</v>
      </c>
      <c r="G827" s="8" t="s">
        <v>684</v>
      </c>
      <c r="I827" s="7" t="str">
        <f>IF(B827&lt;&gt;"",CREATE_QUERY($B$1,A$2:G$2,A827:G827),"")</f>
        <v>INSERT INTO base_mast(hqof_idcd, base_idcd, base_code, base_name, prnt_idcd, line_stat, line_levl) VALUES ('N1000WINFO', 'N1000WINFO3104291', '291', '코팅', '3104', '0', '1');</v>
      </c>
    </row>
    <row r="828" spans="1:9">
      <c r="A828" s="7" t="s">
        <v>1443</v>
      </c>
      <c r="B828" s="6" t="str">
        <f t="shared" si="15"/>
        <v>N1000WINFO3104292</v>
      </c>
      <c r="C828" s="8" t="s">
        <v>2186</v>
      </c>
      <c r="D828" s="10" t="s">
        <v>1761</v>
      </c>
      <c r="E828" s="8" t="s">
        <v>1894</v>
      </c>
      <c r="F828" s="8" t="s">
        <v>686</v>
      </c>
      <c r="G828" s="8" t="s">
        <v>684</v>
      </c>
      <c r="I828" s="7" t="str">
        <f>IF(B828&lt;&gt;"",CREATE_QUERY($B$1,A$2:G$2,A828:G828),"")</f>
        <v>INSERT INTO base_mast(hqof_idcd, base_idcd, base_code, base_name, prnt_idcd, line_stat, line_levl) VALUES ('N1000WINFO', 'N1000WINFO3104292', '292', '크롬증착', '3104', '0', '1');</v>
      </c>
    </row>
    <row r="829" spans="1:9">
      <c r="A829" s="7" t="s">
        <v>1443</v>
      </c>
      <c r="B829" s="6" t="str">
        <f t="shared" si="15"/>
        <v>N1000WINFO3104293</v>
      </c>
      <c r="C829" s="8" t="s">
        <v>2187</v>
      </c>
      <c r="D829" s="13" t="s">
        <v>1762</v>
      </c>
      <c r="E829" s="8" t="s">
        <v>1894</v>
      </c>
      <c r="F829" s="8" t="s">
        <v>686</v>
      </c>
      <c r="G829" s="8" t="s">
        <v>684</v>
      </c>
      <c r="I829" s="7" t="str">
        <f>IF(B829&lt;&gt;"",CREATE_QUERY($B$1,A$2:G$2,A829:G829),"")</f>
        <v>INSERT INTO base_mast(hqof_idcd, base_idcd, base_code, base_name, prnt_idcd, line_stat, line_levl) VALUES ('N1000WINFO', 'N1000WINFO3104293', '293', '투명', '3104', '0', '1');</v>
      </c>
    </row>
    <row r="830" spans="1:9">
      <c r="A830" s="7" t="s">
        <v>1443</v>
      </c>
      <c r="B830" s="6" t="str">
        <f t="shared" si="15"/>
        <v>N1000WINFO3104294</v>
      </c>
      <c r="C830" s="8" t="s">
        <v>2188</v>
      </c>
      <c r="D830" s="10" t="s">
        <v>1763</v>
      </c>
      <c r="E830" s="8" t="s">
        <v>1894</v>
      </c>
      <c r="F830" s="8" t="s">
        <v>686</v>
      </c>
      <c r="G830" s="8" t="s">
        <v>684</v>
      </c>
      <c r="I830" s="7" t="str">
        <f>IF(B830&lt;&gt;"",CREATE_QUERY($B$1,A$2:G$2,A830:G830),"")</f>
        <v>INSERT INTO base_mast(hqof_idcd, base_idcd, base_code, base_name, prnt_idcd, line_stat, line_levl) VALUES ('N1000WINFO', 'N1000WINFO3104294', '294', '투명 UV차단', '3104', '0', '1');</v>
      </c>
    </row>
    <row r="831" spans="1:9">
      <c r="A831" s="7" t="s">
        <v>1443</v>
      </c>
      <c r="B831" s="6" t="str">
        <f t="shared" si="15"/>
        <v>N1000WINFO3104295</v>
      </c>
      <c r="C831" s="8" t="s">
        <v>2189</v>
      </c>
      <c r="D831" s="10" t="s">
        <v>1764</v>
      </c>
      <c r="E831" s="8" t="s">
        <v>1894</v>
      </c>
      <c r="F831" s="8" t="s">
        <v>686</v>
      </c>
      <c r="G831" s="8" t="s">
        <v>684</v>
      </c>
      <c r="I831" s="7" t="str">
        <f>IF(B831&lt;&gt;"",CREATE_QUERY($B$1,A$2:G$2,A831:G831),"")</f>
        <v>INSERT INTO base_mast(hqof_idcd, base_idcd, base_code, base_name, prnt_idcd, line_stat, line_levl) VALUES ('N1000WINFO', 'N1000WINFO3104295', '295', '투명-UV차단제4%', '3104', '0', '1');</v>
      </c>
    </row>
    <row r="832" spans="1:9">
      <c r="A832" s="7" t="s">
        <v>1443</v>
      </c>
      <c r="B832" s="6" t="str">
        <f t="shared" si="15"/>
        <v>N1000WINFO3104296</v>
      </c>
      <c r="C832" s="8" t="s">
        <v>2190</v>
      </c>
      <c r="D832" s="10" t="s">
        <v>1765</v>
      </c>
      <c r="E832" s="8" t="s">
        <v>1894</v>
      </c>
      <c r="F832" s="8" t="s">
        <v>686</v>
      </c>
      <c r="G832" s="8" t="s">
        <v>684</v>
      </c>
      <c r="I832" s="7" t="str">
        <f>IF(B832&lt;&gt;"",CREATE_QUERY($B$1,A$2:G$2,A832:G832),"")</f>
        <v>INSERT INTO base_mast(hqof_idcd, base_idcd, base_code, base_name, prnt_idcd, line_stat, line_levl) VALUES ('N1000WINFO', 'N1000WINFO3104296', '296', '투명적색', '3104', '0', '1');</v>
      </c>
    </row>
    <row r="833" spans="1:9">
      <c r="A833" s="7" t="s">
        <v>1443</v>
      </c>
      <c r="B833" s="6" t="str">
        <f t="shared" si="15"/>
        <v>N1000WINFO3104297</v>
      </c>
      <c r="C833" s="8" t="s">
        <v>2191</v>
      </c>
      <c r="D833" s="10" t="s">
        <v>1766</v>
      </c>
      <c r="E833" s="8" t="s">
        <v>1894</v>
      </c>
      <c r="F833" s="8" t="s">
        <v>686</v>
      </c>
      <c r="G833" s="8" t="s">
        <v>684</v>
      </c>
      <c r="I833" s="7" t="str">
        <f>IF(B833&lt;&gt;"",CREATE_QUERY($B$1,A$2:G$2,A833:G833),"")</f>
        <v>INSERT INTO base_mast(hqof_idcd, base_idcd, base_code, base_name, prnt_idcd, line_stat, line_levl) VALUES ('N1000WINFO', 'N1000WINFO3104297', '297', '파랑반색투명', '3104', '0', '1');</v>
      </c>
    </row>
    <row r="834" spans="1:9">
      <c r="A834" s="7" t="s">
        <v>1443</v>
      </c>
      <c r="B834" s="6" t="str">
        <f t="shared" si="15"/>
        <v>N1000WINFO3104298</v>
      </c>
      <c r="C834" s="8" t="s">
        <v>2192</v>
      </c>
      <c r="D834" s="10" t="s">
        <v>1767</v>
      </c>
      <c r="E834" s="8" t="s">
        <v>1894</v>
      </c>
      <c r="F834" s="8" t="s">
        <v>686</v>
      </c>
      <c r="G834" s="8" t="s">
        <v>684</v>
      </c>
      <c r="I834" s="7" t="str">
        <f>IF(B834&lt;&gt;"",CREATE_QUERY($B$1,A$2:G$2,A834:G834),"")</f>
        <v>INSERT INTO base_mast(hqof_idcd, base_idcd, base_code, base_name, prnt_idcd, line_stat, line_levl) VALUES ('N1000WINFO', 'N1000WINFO3104298', '298', '파랑색', '3104', '0', '1');</v>
      </c>
    </row>
    <row r="835" spans="1:9">
      <c r="A835" s="7" t="s">
        <v>1443</v>
      </c>
      <c r="B835" s="6" t="str">
        <f t="shared" si="15"/>
        <v>N1000WINFO3104299</v>
      </c>
      <c r="C835" s="8" t="s">
        <v>2193</v>
      </c>
      <c r="D835" s="10" t="s">
        <v>1768</v>
      </c>
      <c r="E835" s="8" t="s">
        <v>1894</v>
      </c>
      <c r="F835" s="8" t="s">
        <v>686</v>
      </c>
      <c r="G835" s="8" t="s">
        <v>684</v>
      </c>
      <c r="I835" s="7" t="str">
        <f>IF(B835&lt;&gt;"",CREATE_QUERY($B$1,A$2:G$2,A835:G835),"")</f>
        <v>INSERT INTO base_mast(hqof_idcd, base_idcd, base_code, base_name, prnt_idcd, line_stat, line_levl) VALUES ('N1000WINFO', 'N1000WINFO3104299', '299', '파랑색반투명', '3104', '0', '1');</v>
      </c>
    </row>
    <row r="836" spans="1:9">
      <c r="A836" s="7" t="s">
        <v>1443</v>
      </c>
      <c r="B836" s="6" t="str">
        <f t="shared" si="15"/>
        <v>N1000WINFO3104300</v>
      </c>
      <c r="C836" s="8" t="s">
        <v>2194</v>
      </c>
      <c r="D836" s="10" t="s">
        <v>1769</v>
      </c>
      <c r="E836" s="8" t="s">
        <v>1894</v>
      </c>
      <c r="F836" s="8" t="s">
        <v>686</v>
      </c>
      <c r="G836" s="8" t="s">
        <v>684</v>
      </c>
      <c r="I836" s="7" t="str">
        <f>IF(B836&lt;&gt;"",CREATE_QUERY($B$1,A$2:G$2,A836:G836),"")</f>
        <v>INSERT INTO base_mast(hqof_idcd, base_idcd, base_code, base_name, prnt_idcd, line_stat, line_levl) VALUES ('N1000WINFO', 'N1000WINFO3104300', '300', '파랑색투명', '3104', '0', '1');</v>
      </c>
    </row>
    <row r="837" spans="1:9">
      <c r="A837" s="7" t="s">
        <v>1443</v>
      </c>
      <c r="B837" s="6" t="str">
        <f t="shared" si="15"/>
        <v>N1000WINFO3104301</v>
      </c>
      <c r="C837" s="8" t="s">
        <v>2195</v>
      </c>
      <c r="D837" s="10" t="s">
        <v>1770</v>
      </c>
      <c r="E837" s="8" t="s">
        <v>1894</v>
      </c>
      <c r="F837" s="8" t="s">
        <v>686</v>
      </c>
      <c r="G837" s="8" t="s">
        <v>684</v>
      </c>
      <c r="I837" s="7" t="str">
        <f>IF(B837&lt;&gt;"",CREATE_QUERY($B$1,A$2:G$2,A837:G837),"")</f>
        <v>INSERT INTO base_mast(hqof_idcd, base_idcd, base_code, base_name, prnt_idcd, line_stat, line_levl) VALUES ('N1000WINFO', 'N1000WINFO3104301', '301', '펄갈색', '3104', '0', '1');</v>
      </c>
    </row>
    <row r="838" spans="1:9">
      <c r="A838" s="7" t="s">
        <v>1443</v>
      </c>
      <c r="B838" s="6" t="str">
        <f t="shared" si="15"/>
        <v>N1000WINFO3104302</v>
      </c>
      <c r="C838" s="8" t="s">
        <v>2196</v>
      </c>
      <c r="D838" s="10" t="s">
        <v>1771</v>
      </c>
      <c r="E838" s="8" t="s">
        <v>1894</v>
      </c>
      <c r="F838" s="8" t="s">
        <v>686</v>
      </c>
      <c r="G838" s="8" t="s">
        <v>684</v>
      </c>
      <c r="I838" s="7" t="str">
        <f>IF(B838&lt;&gt;"",CREATE_QUERY($B$1,A$2:G$2,A838:G838),"")</f>
        <v>INSERT INTO base_mast(hqof_idcd, base_idcd, base_code, base_name, prnt_idcd, line_stat, line_levl) VALUES ('N1000WINFO', 'N1000WINFO3104302', '302', '펄갈색반투명', '3104', '0', '1');</v>
      </c>
    </row>
    <row r="839" spans="1:9">
      <c r="A839" s="7" t="s">
        <v>1443</v>
      </c>
      <c r="B839" s="6" t="str">
        <f t="shared" si="15"/>
        <v>N1000WINFO3104303</v>
      </c>
      <c r="C839" s="8" t="s">
        <v>2197</v>
      </c>
      <c r="D839" s="10" t="s">
        <v>1772</v>
      </c>
      <c r="E839" s="8" t="s">
        <v>1894</v>
      </c>
      <c r="F839" s="8" t="s">
        <v>686</v>
      </c>
      <c r="G839" s="8" t="s">
        <v>684</v>
      </c>
      <c r="I839" s="7" t="str">
        <f>IF(B839&lt;&gt;"",CREATE_QUERY($B$1,A$2:G$2,A839:G839),"")</f>
        <v>INSERT INTO base_mast(hqof_idcd, base_idcd, base_code, base_name, prnt_idcd, line_stat, line_levl) VALUES ('N1000WINFO', 'N1000WINFO3104303', '303', '펄갈색투명', '3104', '0', '1');</v>
      </c>
    </row>
    <row r="840" spans="1:9">
      <c r="A840" s="7" t="s">
        <v>1443</v>
      </c>
      <c r="B840" s="6" t="str">
        <f t="shared" si="15"/>
        <v>N1000WINFO3104304</v>
      </c>
      <c r="C840" s="8" t="s">
        <v>2198</v>
      </c>
      <c r="D840" s="10" t="s">
        <v>1773</v>
      </c>
      <c r="E840" s="8" t="s">
        <v>1894</v>
      </c>
      <c r="F840" s="8" t="s">
        <v>686</v>
      </c>
      <c r="G840" s="8" t="s">
        <v>684</v>
      </c>
      <c r="I840" s="7" t="str">
        <f>IF(B840&lt;&gt;"",CREATE_QUERY($B$1,A$2:G$2,A840:G840),"")</f>
        <v>INSERT INTO base_mast(hqof_idcd, base_idcd, base_code, base_name, prnt_idcd, line_stat, line_levl) VALUES ('N1000WINFO', 'N1000WINFO3104304', '304', '펄검정색', '3104', '0', '1');</v>
      </c>
    </row>
    <row r="841" spans="1:9">
      <c r="A841" s="7" t="s">
        <v>1443</v>
      </c>
      <c r="B841" s="6" t="str">
        <f t="shared" si="15"/>
        <v>N1000WINFO3104305</v>
      </c>
      <c r="C841" s="8" t="s">
        <v>2199</v>
      </c>
      <c r="D841" s="10" t="s">
        <v>1774</v>
      </c>
      <c r="E841" s="8" t="s">
        <v>1894</v>
      </c>
      <c r="F841" s="8" t="s">
        <v>686</v>
      </c>
      <c r="G841" s="8" t="s">
        <v>684</v>
      </c>
      <c r="I841" s="7" t="str">
        <f>IF(B841&lt;&gt;"",CREATE_QUERY($B$1,A$2:G$2,A841:G841),"")</f>
        <v>INSERT INTO base_mast(hqof_idcd, base_idcd, base_code, base_name, prnt_idcd, line_stat, line_levl) VALUES ('N1000WINFO', 'N1000WINFO3104305', '305', '펄고동색', '3104', '0', '1');</v>
      </c>
    </row>
    <row r="842" spans="1:9">
      <c r="A842" s="7" t="s">
        <v>1443</v>
      </c>
      <c r="B842" s="6" t="str">
        <f t="shared" si="15"/>
        <v>N1000WINFO3104306</v>
      </c>
      <c r="C842" s="8" t="s">
        <v>2200</v>
      </c>
      <c r="D842" s="10" t="s">
        <v>1775</v>
      </c>
      <c r="E842" s="8" t="s">
        <v>1894</v>
      </c>
      <c r="F842" s="8" t="s">
        <v>686</v>
      </c>
      <c r="G842" s="8" t="s">
        <v>684</v>
      </c>
      <c r="I842" s="7" t="str">
        <f>IF(B842&lt;&gt;"",CREATE_QUERY($B$1,A$2:G$2,A842:G842),"")</f>
        <v>INSERT INTO base_mast(hqof_idcd, base_idcd, base_code, base_name, prnt_idcd, line_stat, line_levl) VALUES ('N1000WINFO', 'N1000WINFO3104306', '306', '펄고동색반투명', '3104', '0', '1');</v>
      </c>
    </row>
    <row r="843" spans="1:9">
      <c r="A843" s="7" t="s">
        <v>1443</v>
      </c>
      <c r="B843" s="6" t="str">
        <f t="shared" si="15"/>
        <v>N1000WINFO3104307</v>
      </c>
      <c r="C843" s="8" t="s">
        <v>2201</v>
      </c>
      <c r="D843" s="10" t="s">
        <v>1776</v>
      </c>
      <c r="E843" s="8" t="s">
        <v>1894</v>
      </c>
      <c r="F843" s="8" t="s">
        <v>686</v>
      </c>
      <c r="G843" s="8" t="s">
        <v>684</v>
      </c>
      <c r="I843" s="7" t="str">
        <f>IF(B843&lt;&gt;"",CREATE_QUERY($B$1,A$2:G$2,A843:G843),"")</f>
        <v>INSERT INTO base_mast(hqof_idcd, base_idcd, base_code, base_name, prnt_idcd, line_stat, line_levl) VALUES ('N1000WINFO', 'N1000WINFO3104307', '307', '펄골드', '3104', '0', '1');</v>
      </c>
    </row>
    <row r="844" spans="1:9">
      <c r="A844" s="7" t="s">
        <v>1443</v>
      </c>
      <c r="B844" s="6" t="str">
        <f t="shared" si="15"/>
        <v>N1000WINFO3104308</v>
      </c>
      <c r="C844" s="8" t="s">
        <v>2202</v>
      </c>
      <c r="D844" s="10" t="s">
        <v>1777</v>
      </c>
      <c r="E844" s="8" t="s">
        <v>1894</v>
      </c>
      <c r="F844" s="8" t="s">
        <v>686</v>
      </c>
      <c r="G844" s="8" t="s">
        <v>684</v>
      </c>
      <c r="I844" s="7" t="str">
        <f>IF(B844&lt;&gt;"",CREATE_QUERY($B$1,A$2:G$2,A844:G844),"")</f>
        <v>INSERT INTO base_mast(hqof_idcd, base_idcd, base_code, base_name, prnt_idcd, line_stat, line_levl) VALUES ('N1000WINFO', 'N1000WINFO3104308', '308', '펄골드반투명', '3104', '0', '1');</v>
      </c>
    </row>
    <row r="845" spans="1:9">
      <c r="A845" s="7" t="s">
        <v>1443</v>
      </c>
      <c r="B845" s="6" t="str">
        <f t="shared" si="15"/>
        <v>N1000WINFO3104309</v>
      </c>
      <c r="C845" s="8" t="s">
        <v>2203</v>
      </c>
      <c r="D845" s="10" t="s">
        <v>1778</v>
      </c>
      <c r="E845" s="8" t="s">
        <v>1894</v>
      </c>
      <c r="F845" s="8" t="s">
        <v>686</v>
      </c>
      <c r="G845" s="8" t="s">
        <v>684</v>
      </c>
      <c r="I845" s="7" t="str">
        <f>IF(B845&lt;&gt;"",CREATE_QUERY($B$1,A$2:G$2,A845:G845),"")</f>
        <v>INSERT INTO base_mast(hqof_idcd, base_idcd, base_code, base_name, prnt_idcd, line_stat, line_levl) VALUES ('N1000WINFO', 'N1000WINFO3104309', '309', '펄골드백색', '3104', '0', '1');</v>
      </c>
    </row>
    <row r="846" spans="1:9">
      <c r="A846" s="7" t="s">
        <v>1443</v>
      </c>
      <c r="B846" s="6" t="str">
        <f t="shared" si="15"/>
        <v>N1000WINFO3104310</v>
      </c>
      <c r="C846" s="8" t="s">
        <v>2204</v>
      </c>
      <c r="D846" s="10" t="s">
        <v>1779</v>
      </c>
      <c r="E846" s="8" t="s">
        <v>1894</v>
      </c>
      <c r="F846" s="8" t="s">
        <v>686</v>
      </c>
      <c r="G846" s="8" t="s">
        <v>684</v>
      </c>
      <c r="I846" s="7" t="str">
        <f>IF(B846&lt;&gt;"",CREATE_QUERY($B$1,A$2:G$2,A846:G846),"")</f>
        <v>INSERT INTO base_mast(hqof_idcd, base_idcd, base_code, base_name, prnt_idcd, line_stat, line_levl) VALUES ('N1000WINFO', 'N1000WINFO3104310', '310', '펄골드색', '3104', '0', '1');</v>
      </c>
    </row>
    <row r="847" spans="1:9">
      <c r="A847" s="7" t="s">
        <v>1443</v>
      </c>
      <c r="B847" s="6" t="str">
        <f t="shared" si="15"/>
        <v>N1000WINFO3104311</v>
      </c>
      <c r="C847" s="8" t="s">
        <v>2205</v>
      </c>
      <c r="D847" s="10" t="s">
        <v>1780</v>
      </c>
      <c r="E847" s="8" t="s">
        <v>1894</v>
      </c>
      <c r="F847" s="8" t="s">
        <v>686</v>
      </c>
      <c r="G847" s="8" t="s">
        <v>684</v>
      </c>
      <c r="I847" s="7" t="str">
        <f>IF(B847&lt;&gt;"",CREATE_QUERY($B$1,A$2:G$2,A847:G847),"")</f>
        <v>INSERT INTO base_mast(hqof_idcd, base_idcd, base_code, base_name, prnt_idcd, line_stat, line_levl) VALUES ('N1000WINFO', 'N1000WINFO3104311', '311', '펄골드색반투명', '3104', '0', '1');</v>
      </c>
    </row>
    <row r="848" spans="1:9">
      <c r="A848" s="7" t="s">
        <v>1443</v>
      </c>
      <c r="B848" s="6" t="str">
        <f t="shared" si="15"/>
        <v>N1000WINFO3104312</v>
      </c>
      <c r="C848" s="8" t="s">
        <v>2206</v>
      </c>
      <c r="D848" s="10" t="s">
        <v>1781</v>
      </c>
      <c r="E848" s="8" t="s">
        <v>1894</v>
      </c>
      <c r="F848" s="8" t="s">
        <v>686</v>
      </c>
      <c r="G848" s="8" t="s">
        <v>684</v>
      </c>
      <c r="I848" s="7" t="str">
        <f>IF(B848&lt;&gt;"",CREATE_QUERY($B$1,A$2:G$2,A848:G848),"")</f>
        <v>INSERT INTO base_mast(hqof_idcd, base_idcd, base_code, base_name, prnt_idcd, line_stat, line_levl) VALUES ('N1000WINFO', 'N1000WINFO3104312', '312', '펄골드아이스반투명', '3104', '0', '1');</v>
      </c>
    </row>
    <row r="849" spans="1:9">
      <c r="A849" s="7" t="s">
        <v>1443</v>
      </c>
      <c r="B849" s="6" t="str">
        <f t="shared" si="15"/>
        <v>N1000WINFO3104313</v>
      </c>
      <c r="C849" s="8" t="s">
        <v>2207</v>
      </c>
      <c r="D849" s="10" t="s">
        <v>1782</v>
      </c>
      <c r="E849" s="8" t="s">
        <v>1894</v>
      </c>
      <c r="F849" s="8" t="s">
        <v>686</v>
      </c>
      <c r="G849" s="8" t="s">
        <v>684</v>
      </c>
      <c r="I849" s="7" t="str">
        <f>IF(B849&lt;&gt;"",CREATE_QUERY($B$1,A$2:G$2,A849:G849),"")</f>
        <v>INSERT INTO base_mast(hqof_idcd, base_idcd, base_code, base_name, prnt_idcd, line_stat, line_levl) VALUES ('N1000WINFO', 'N1000WINFO3104313', '313', '펄골드자주색투명', '3104', '0', '1');</v>
      </c>
    </row>
    <row r="850" spans="1:9">
      <c r="A850" s="7" t="s">
        <v>1443</v>
      </c>
      <c r="B850" s="6" t="str">
        <f t="shared" si="15"/>
        <v>N1000WINFO3104314</v>
      </c>
      <c r="C850" s="8" t="s">
        <v>2208</v>
      </c>
      <c r="D850" s="10" t="s">
        <v>1783</v>
      </c>
      <c r="E850" s="8" t="s">
        <v>1894</v>
      </c>
      <c r="F850" s="8" t="s">
        <v>686</v>
      </c>
      <c r="G850" s="8" t="s">
        <v>684</v>
      </c>
      <c r="I850" s="7" t="str">
        <f>IF(B850&lt;&gt;"",CREATE_QUERY($B$1,A$2:G$2,A850:G850),"")</f>
        <v>INSERT INTO base_mast(hqof_idcd, base_idcd, base_code, base_name, prnt_idcd, line_stat, line_levl) VALUES ('N1000WINFO', 'N1000WINFO3104314', '314', '펄골드적색', '3104', '0', '1');</v>
      </c>
    </row>
    <row r="851" spans="1:9">
      <c r="A851" s="7" t="s">
        <v>1443</v>
      </c>
      <c r="B851" s="6" t="str">
        <f t="shared" si="15"/>
        <v>N1000WINFO3104315</v>
      </c>
      <c r="C851" s="8" t="s">
        <v>2209</v>
      </c>
      <c r="D851" s="10" t="s">
        <v>1784</v>
      </c>
      <c r="E851" s="8" t="s">
        <v>1894</v>
      </c>
      <c r="F851" s="8" t="s">
        <v>686</v>
      </c>
      <c r="G851" s="8" t="s">
        <v>684</v>
      </c>
      <c r="I851" s="7" t="str">
        <f>IF(B851&lt;&gt;"",CREATE_QUERY($B$1,A$2:G$2,A851:G851),"")</f>
        <v>INSERT INTO base_mast(hqof_idcd, base_idcd, base_code, base_name, prnt_idcd, line_stat, line_levl) VALUES ('N1000WINFO', 'N1000WINFO3104315', '315', '펄골드진녹색투명', '3104', '0', '1');</v>
      </c>
    </row>
    <row r="852" spans="1:9">
      <c r="A852" s="7" t="s">
        <v>1443</v>
      </c>
      <c r="B852" s="6" t="str">
        <f t="shared" si="15"/>
        <v>N1000WINFO3104316</v>
      </c>
      <c r="C852" s="8" t="s">
        <v>2210</v>
      </c>
      <c r="D852" s="10" t="s">
        <v>1785</v>
      </c>
      <c r="E852" s="8" t="s">
        <v>1894</v>
      </c>
      <c r="F852" s="8" t="s">
        <v>686</v>
      </c>
      <c r="G852" s="8" t="s">
        <v>684</v>
      </c>
      <c r="I852" s="7" t="str">
        <f>IF(B852&lt;&gt;"",CREATE_QUERY($B$1,A$2:G$2,A852:G852),"")</f>
        <v>INSERT INTO base_mast(hqof_idcd, base_idcd, base_code, base_name, prnt_idcd, line_stat, line_levl) VALUES ('N1000WINFO', 'N1000WINFO3104316', '316', '펄골드투명', '3104', '0', '1');</v>
      </c>
    </row>
    <row r="853" spans="1:9">
      <c r="A853" s="7" t="s">
        <v>1443</v>
      </c>
      <c r="B853" s="6" t="str">
        <f t="shared" si="15"/>
        <v>N1000WINFO3104317</v>
      </c>
      <c r="C853" s="8" t="s">
        <v>2211</v>
      </c>
      <c r="D853" s="10" t="s">
        <v>1786</v>
      </c>
      <c r="E853" s="8" t="s">
        <v>1894</v>
      </c>
      <c r="F853" s="8" t="s">
        <v>686</v>
      </c>
      <c r="G853" s="8" t="s">
        <v>684</v>
      </c>
      <c r="I853" s="7" t="str">
        <f>IF(B853&lt;&gt;"",CREATE_QUERY($B$1,A$2:G$2,A853:G853),"")</f>
        <v>INSERT INTO base_mast(hqof_idcd, base_idcd, base_code, base_name, prnt_idcd, line_stat, line_levl) VALUES ('N1000WINFO', 'N1000WINFO3104317', '317', '펄골드편광', '3104', '0', '1');</v>
      </c>
    </row>
    <row r="854" spans="1:9">
      <c r="A854" s="7" t="s">
        <v>1443</v>
      </c>
      <c r="B854" s="6" t="str">
        <f t="shared" si="15"/>
        <v>N1000WINFO3104318</v>
      </c>
      <c r="C854" s="8" t="s">
        <v>2212</v>
      </c>
      <c r="D854" s="10" t="s">
        <v>1787</v>
      </c>
      <c r="E854" s="8" t="s">
        <v>1894</v>
      </c>
      <c r="F854" s="8" t="s">
        <v>686</v>
      </c>
      <c r="G854" s="8" t="s">
        <v>684</v>
      </c>
      <c r="I854" s="7" t="str">
        <f>IF(B854&lt;&gt;"",CREATE_QUERY($B$1,A$2:G$2,A854:G854),"")</f>
        <v>INSERT INTO base_mast(hqof_idcd, base_idcd, base_code, base_name, prnt_idcd, line_stat, line_levl) VALUES ('N1000WINFO', 'N1000WINFO3104318', '318', '펄골드편광반투명', '3104', '0', '1');</v>
      </c>
    </row>
    <row r="855" spans="1:9">
      <c r="A855" s="7" t="s">
        <v>1443</v>
      </c>
      <c r="B855" s="6" t="str">
        <f t="shared" si="15"/>
        <v>N1000WINFO3104319</v>
      </c>
      <c r="C855" s="8" t="s">
        <v>2213</v>
      </c>
      <c r="D855" s="10" t="s">
        <v>1788</v>
      </c>
      <c r="E855" s="8" t="s">
        <v>1894</v>
      </c>
      <c r="F855" s="8" t="s">
        <v>686</v>
      </c>
      <c r="G855" s="8" t="s">
        <v>684</v>
      </c>
      <c r="I855" s="7" t="str">
        <f>IF(B855&lt;&gt;"",CREATE_QUERY($B$1,A$2:G$2,A855:G855),"")</f>
        <v>INSERT INTO base_mast(hqof_idcd, base_idcd, base_code, base_name, prnt_idcd, line_stat, line_levl) VALUES ('N1000WINFO', 'N1000WINFO3104319', '319', '펄군청색', '3104', '0', '1');</v>
      </c>
    </row>
    <row r="856" spans="1:9">
      <c r="A856" s="7" t="s">
        <v>1443</v>
      </c>
      <c r="B856" s="6" t="str">
        <f t="shared" si="15"/>
        <v>N1000WINFO3104320</v>
      </c>
      <c r="C856" s="8" t="s">
        <v>2214</v>
      </c>
      <c r="D856" s="10" t="s">
        <v>1789</v>
      </c>
      <c r="E856" s="8" t="s">
        <v>1894</v>
      </c>
      <c r="F856" s="8" t="s">
        <v>686</v>
      </c>
      <c r="G856" s="8" t="s">
        <v>684</v>
      </c>
      <c r="I856" s="7" t="str">
        <f>IF(B856&lt;&gt;"",CREATE_QUERY($B$1,A$2:G$2,A856:G856),"")</f>
        <v>INSERT INTO base_mast(hqof_idcd, base_idcd, base_code, base_name, prnt_idcd, line_stat, line_levl) VALUES ('N1000WINFO', 'N1000WINFO3104320', '320', '펄군청색반투명', '3104', '0', '1');</v>
      </c>
    </row>
    <row r="857" spans="1:9">
      <c r="A857" s="7" t="s">
        <v>1443</v>
      </c>
      <c r="B857" s="6" t="str">
        <f t="shared" ref="B857:B920" si="16">A857&amp;E857&amp;C857</f>
        <v>N1000WINFO3104321</v>
      </c>
      <c r="C857" s="8" t="s">
        <v>2215</v>
      </c>
      <c r="D857" s="10" t="s">
        <v>1790</v>
      </c>
      <c r="E857" s="8" t="s">
        <v>1894</v>
      </c>
      <c r="F857" s="8" t="s">
        <v>686</v>
      </c>
      <c r="G857" s="8" t="s">
        <v>684</v>
      </c>
      <c r="I857" s="7" t="str">
        <f>IF(B857&lt;&gt;"",CREATE_QUERY($B$1,A$2:G$2,A857:G857),"")</f>
        <v>INSERT INTO base_mast(hqof_idcd, base_idcd, base_code, base_name, prnt_idcd, line_stat, line_levl) VALUES ('N1000WINFO', 'N1000WINFO3104321', '321', '펄그린투명', '3104', '0', '1');</v>
      </c>
    </row>
    <row r="858" spans="1:9">
      <c r="A858" s="7" t="s">
        <v>1443</v>
      </c>
      <c r="B858" s="6" t="str">
        <f t="shared" si="16"/>
        <v>N1000WINFO3104322</v>
      </c>
      <c r="C858" s="8" t="s">
        <v>2216</v>
      </c>
      <c r="D858" s="10" t="s">
        <v>1791</v>
      </c>
      <c r="E858" s="8" t="s">
        <v>1894</v>
      </c>
      <c r="F858" s="8" t="s">
        <v>686</v>
      </c>
      <c r="G858" s="8" t="s">
        <v>684</v>
      </c>
      <c r="I858" s="7" t="str">
        <f>IF(B858&lt;&gt;"",CREATE_QUERY($B$1,A$2:G$2,A858:G858),"")</f>
        <v>INSERT INTO base_mast(hqof_idcd, base_idcd, base_code, base_name, prnt_idcd, line_stat, line_levl) VALUES ('N1000WINFO', 'N1000WINFO3104322', '322', '펄녹색', '3104', '0', '1');</v>
      </c>
    </row>
    <row r="859" spans="1:9">
      <c r="A859" s="7" t="s">
        <v>1443</v>
      </c>
      <c r="B859" s="6" t="str">
        <f t="shared" si="16"/>
        <v>N1000WINFO3104323</v>
      </c>
      <c r="C859" s="8" t="s">
        <v>2217</v>
      </c>
      <c r="D859" s="10" t="s">
        <v>1792</v>
      </c>
      <c r="E859" s="8" t="s">
        <v>1894</v>
      </c>
      <c r="F859" s="8" t="s">
        <v>686</v>
      </c>
      <c r="G859" s="8" t="s">
        <v>684</v>
      </c>
      <c r="I859" s="7" t="str">
        <f>IF(B859&lt;&gt;"",CREATE_QUERY($B$1,A$2:G$2,A859:G859),"")</f>
        <v>INSERT INTO base_mast(hqof_idcd, base_idcd, base_code, base_name, prnt_idcd, line_stat, line_levl) VALUES ('N1000WINFO', 'N1000WINFO3104323', '323', '펄녹색반투명', '3104', '0', '1');</v>
      </c>
    </row>
    <row r="860" spans="1:9">
      <c r="A860" s="7" t="s">
        <v>1443</v>
      </c>
      <c r="B860" s="6" t="str">
        <f t="shared" si="16"/>
        <v>N1000WINFO3104324</v>
      </c>
      <c r="C860" s="8" t="s">
        <v>2218</v>
      </c>
      <c r="D860" s="10" t="s">
        <v>1793</v>
      </c>
      <c r="E860" s="8" t="s">
        <v>1894</v>
      </c>
      <c r="F860" s="8" t="s">
        <v>686</v>
      </c>
      <c r="G860" s="8" t="s">
        <v>684</v>
      </c>
      <c r="I860" s="7" t="str">
        <f>IF(B860&lt;&gt;"",CREATE_QUERY($B$1,A$2:G$2,A860:G860),"")</f>
        <v>INSERT INTO base_mast(hqof_idcd, base_idcd, base_code, base_name, prnt_idcd, line_stat, line_levl) VALUES ('N1000WINFO', 'N1000WINFO3104324', '324', '펄밝은연두색투명', '3104', '0', '1');</v>
      </c>
    </row>
    <row r="861" spans="1:9">
      <c r="A861" s="7" t="s">
        <v>1443</v>
      </c>
      <c r="B861" s="6" t="str">
        <f t="shared" si="16"/>
        <v>N1000WINFO3104325</v>
      </c>
      <c r="C861" s="8" t="s">
        <v>2219</v>
      </c>
      <c r="D861" s="10" t="s">
        <v>1794</v>
      </c>
      <c r="E861" s="8" t="s">
        <v>1894</v>
      </c>
      <c r="F861" s="8" t="s">
        <v>686</v>
      </c>
      <c r="G861" s="8" t="s">
        <v>684</v>
      </c>
      <c r="I861" s="7" t="str">
        <f>IF(B861&lt;&gt;"",CREATE_QUERY($B$1,A$2:G$2,A861:G861),"")</f>
        <v>INSERT INTO base_mast(hqof_idcd, base_idcd, base_code, base_name, prnt_idcd, line_stat, line_levl) VALUES ('N1000WINFO', 'N1000WINFO3104325', '325', '펄백색', '3104', '0', '1');</v>
      </c>
    </row>
    <row r="862" spans="1:9">
      <c r="A862" s="7" t="s">
        <v>1443</v>
      </c>
      <c r="B862" s="6" t="str">
        <f t="shared" si="16"/>
        <v>N1000WINFO3104326</v>
      </c>
      <c r="C862" s="8" t="s">
        <v>2220</v>
      </c>
      <c r="D862" s="10" t="s">
        <v>1795</v>
      </c>
      <c r="E862" s="8" t="s">
        <v>1894</v>
      </c>
      <c r="F862" s="8" t="s">
        <v>686</v>
      </c>
      <c r="G862" s="8" t="s">
        <v>684</v>
      </c>
      <c r="I862" s="7" t="str">
        <f>IF(B862&lt;&gt;"",CREATE_QUERY($B$1,A$2:G$2,A862:G862),"")</f>
        <v>INSERT INTO base_mast(hqof_idcd, base_idcd, base_code, base_name, prnt_idcd, line_stat, line_levl) VALUES ('N1000WINFO', 'N1000WINFO3104326', '326', '펄백색반투명', '3104', '0', '1');</v>
      </c>
    </row>
    <row r="863" spans="1:9">
      <c r="A863" s="7" t="s">
        <v>1443</v>
      </c>
      <c r="B863" s="6" t="str">
        <f t="shared" si="16"/>
        <v>N1000WINFO3104327</v>
      </c>
      <c r="C863" s="8" t="s">
        <v>2221</v>
      </c>
      <c r="D863" s="10" t="s">
        <v>1796</v>
      </c>
      <c r="E863" s="8" t="s">
        <v>1894</v>
      </c>
      <c r="F863" s="8" t="s">
        <v>686</v>
      </c>
      <c r="G863" s="8" t="s">
        <v>684</v>
      </c>
      <c r="I863" s="7" t="str">
        <f>IF(B863&lt;&gt;"",CREATE_QUERY($B$1,A$2:G$2,A863:G863),"")</f>
        <v>INSERT INTO base_mast(hqof_idcd, base_idcd, base_code, base_name, prnt_idcd, line_stat, line_levl) VALUES ('N1000WINFO', 'N1000WINFO3104327', '327', '펄백색투명', '3104', '0', '1');</v>
      </c>
    </row>
    <row r="864" spans="1:9">
      <c r="A864" s="7" t="s">
        <v>1443</v>
      </c>
      <c r="B864" s="6" t="str">
        <f t="shared" si="16"/>
        <v>N1000WINFO3104328</v>
      </c>
      <c r="C864" s="8" t="s">
        <v>2222</v>
      </c>
      <c r="D864" s="10" t="s">
        <v>1797</v>
      </c>
      <c r="E864" s="8" t="s">
        <v>1894</v>
      </c>
      <c r="F864" s="8" t="s">
        <v>686</v>
      </c>
      <c r="G864" s="8" t="s">
        <v>684</v>
      </c>
      <c r="I864" s="7" t="str">
        <f>IF(B864&lt;&gt;"",CREATE_QUERY($B$1,A$2:G$2,A864:G864),"")</f>
        <v>INSERT INTO base_mast(hqof_idcd, base_idcd, base_code, base_name, prnt_idcd, line_stat, line_levl) VALUES ('N1000WINFO', 'N1000WINFO3104328', '328', '펄베이지', '3104', '0', '1');</v>
      </c>
    </row>
    <row r="865" spans="1:9">
      <c r="A865" s="7" t="s">
        <v>1443</v>
      </c>
      <c r="B865" s="6" t="str">
        <f t="shared" si="16"/>
        <v>N1000WINFO3104329</v>
      </c>
      <c r="C865" s="8" t="s">
        <v>2223</v>
      </c>
      <c r="D865" s="10" t="s">
        <v>1798</v>
      </c>
      <c r="E865" s="8" t="s">
        <v>1894</v>
      </c>
      <c r="F865" s="8" t="s">
        <v>686</v>
      </c>
      <c r="G865" s="8" t="s">
        <v>684</v>
      </c>
      <c r="I865" s="7" t="str">
        <f>IF(B865&lt;&gt;"",CREATE_QUERY($B$1,A$2:G$2,A865:G865),"")</f>
        <v>INSERT INTO base_mast(hqof_idcd, base_idcd, base_code, base_name, prnt_idcd, line_stat, line_levl) VALUES ('N1000WINFO', 'N1000WINFO3104329', '329', '펄베이지색', '3104', '0', '1');</v>
      </c>
    </row>
    <row r="866" spans="1:9">
      <c r="A866" s="7" t="s">
        <v>1443</v>
      </c>
      <c r="B866" s="6" t="str">
        <f t="shared" si="16"/>
        <v>N1000WINFO3104330</v>
      </c>
      <c r="C866" s="8" t="s">
        <v>2224</v>
      </c>
      <c r="D866" s="10" t="s">
        <v>1799</v>
      </c>
      <c r="E866" s="8" t="s">
        <v>1894</v>
      </c>
      <c r="F866" s="8" t="s">
        <v>686</v>
      </c>
      <c r="G866" s="8" t="s">
        <v>684</v>
      </c>
      <c r="I866" s="7" t="str">
        <f>IF(B866&lt;&gt;"",CREATE_QUERY($B$1,A$2:G$2,A866:G866),"")</f>
        <v>INSERT INTO base_mast(hqof_idcd, base_idcd, base_code, base_name, prnt_idcd, line_stat, line_levl) VALUES ('N1000WINFO', 'N1000WINFO3104330', '330', '펄베이지색반투명', '3104', '0', '1');</v>
      </c>
    </row>
    <row r="867" spans="1:9">
      <c r="A867" s="7" t="s">
        <v>1443</v>
      </c>
      <c r="B867" s="6" t="str">
        <f t="shared" si="16"/>
        <v>N1000WINFO3104331</v>
      </c>
      <c r="C867" s="8" t="s">
        <v>2225</v>
      </c>
      <c r="D867" s="10" t="s">
        <v>1800</v>
      </c>
      <c r="E867" s="8" t="s">
        <v>1894</v>
      </c>
      <c r="F867" s="8" t="s">
        <v>686</v>
      </c>
      <c r="G867" s="8" t="s">
        <v>684</v>
      </c>
      <c r="I867" s="7" t="str">
        <f>IF(B867&lt;&gt;"",CREATE_QUERY($B$1,A$2:G$2,A867:G867),"")</f>
        <v>INSERT INTO base_mast(hqof_idcd, base_idcd, base_code, base_name, prnt_idcd, line_stat, line_levl) VALUES ('N1000WINFO', 'N1000WINFO3104331', '331', '펄베이지투명', '3104', '0', '1');</v>
      </c>
    </row>
    <row r="868" spans="1:9">
      <c r="A868" s="7" t="s">
        <v>1443</v>
      </c>
      <c r="B868" s="6" t="str">
        <f t="shared" si="16"/>
        <v>N1000WINFO3104332</v>
      </c>
      <c r="C868" s="8" t="s">
        <v>2226</v>
      </c>
      <c r="D868" s="10" t="s">
        <v>1801</v>
      </c>
      <c r="E868" s="8" t="s">
        <v>1894</v>
      </c>
      <c r="F868" s="8" t="s">
        <v>686</v>
      </c>
      <c r="G868" s="8" t="s">
        <v>684</v>
      </c>
      <c r="I868" s="7" t="str">
        <f>IF(B868&lt;&gt;"",CREATE_QUERY($B$1,A$2:G$2,A868:G868),"")</f>
        <v>INSERT INTO base_mast(hqof_idcd, base_idcd, base_code, base_name, prnt_idcd, line_stat, line_levl) VALUES ('N1000WINFO', 'N1000WINFO3104332', '332', '펄보라색', '3104', '0', '1');</v>
      </c>
    </row>
    <row r="869" spans="1:9">
      <c r="A869" s="7" t="s">
        <v>1443</v>
      </c>
      <c r="B869" s="6" t="str">
        <f t="shared" si="16"/>
        <v>N1000WINFO3104333</v>
      </c>
      <c r="C869" s="8" t="s">
        <v>2227</v>
      </c>
      <c r="D869" s="10" t="s">
        <v>1802</v>
      </c>
      <c r="E869" s="8" t="s">
        <v>1894</v>
      </c>
      <c r="F869" s="8" t="s">
        <v>686</v>
      </c>
      <c r="G869" s="8" t="s">
        <v>684</v>
      </c>
      <c r="I869" s="7" t="str">
        <f>IF(B869&lt;&gt;"",CREATE_QUERY($B$1,A$2:G$2,A869:G869),"")</f>
        <v>INSERT INTO base_mast(hqof_idcd, base_idcd, base_code, base_name, prnt_idcd, line_stat, line_levl) VALUES ('N1000WINFO', 'N1000WINFO3104333', '333', '펄보라색반투명', '3104', '0', '1');</v>
      </c>
    </row>
    <row r="870" spans="1:9">
      <c r="A870" s="7" t="s">
        <v>1443</v>
      </c>
      <c r="B870" s="6" t="str">
        <f t="shared" si="16"/>
        <v>N1000WINFO3104334</v>
      </c>
      <c r="C870" s="8" t="s">
        <v>2228</v>
      </c>
      <c r="D870" s="10" t="s">
        <v>1803</v>
      </c>
      <c r="E870" s="8" t="s">
        <v>1894</v>
      </c>
      <c r="F870" s="8" t="s">
        <v>686</v>
      </c>
      <c r="G870" s="8" t="s">
        <v>684</v>
      </c>
      <c r="I870" s="7" t="str">
        <f>IF(B870&lt;&gt;"",CREATE_QUERY($B$1,A$2:G$2,A870:G870),"")</f>
        <v>INSERT INTO base_mast(hqof_idcd, base_idcd, base_code, base_name, prnt_idcd, line_stat, line_levl) VALUES ('N1000WINFO', 'N1000WINFO3104334', '334', '펄보라색투명', '3104', '0', '1');</v>
      </c>
    </row>
    <row r="871" spans="1:9">
      <c r="A871" s="7" t="s">
        <v>1443</v>
      </c>
      <c r="B871" s="6" t="str">
        <f t="shared" si="16"/>
        <v>N1000WINFO3104335</v>
      </c>
      <c r="C871" s="8" t="s">
        <v>2229</v>
      </c>
      <c r="D871" s="10" t="s">
        <v>1804</v>
      </c>
      <c r="E871" s="8" t="s">
        <v>1894</v>
      </c>
      <c r="F871" s="8" t="s">
        <v>686</v>
      </c>
      <c r="G871" s="8" t="s">
        <v>684</v>
      </c>
      <c r="I871" s="7" t="str">
        <f>IF(B871&lt;&gt;"",CREATE_QUERY($B$1,A$2:G$2,A871:G871),"")</f>
        <v>INSERT INTO base_mast(hqof_idcd, base_idcd, base_code, base_name, prnt_idcd, line_stat, line_levl) VALUES ('N1000WINFO', 'N1000WINFO3104335', '335', '펄분홍색', '3104', '0', '1');</v>
      </c>
    </row>
    <row r="872" spans="1:9">
      <c r="A872" s="7" t="s">
        <v>1443</v>
      </c>
      <c r="B872" s="6" t="str">
        <f t="shared" si="16"/>
        <v>N1000WINFO3104336</v>
      </c>
      <c r="C872" s="8" t="s">
        <v>2230</v>
      </c>
      <c r="D872" s="10" t="s">
        <v>1805</v>
      </c>
      <c r="E872" s="8" t="s">
        <v>1894</v>
      </c>
      <c r="F872" s="8" t="s">
        <v>686</v>
      </c>
      <c r="G872" s="8" t="s">
        <v>684</v>
      </c>
      <c r="I872" s="7" t="str">
        <f>IF(B872&lt;&gt;"",CREATE_QUERY($B$1,A$2:G$2,A872:G872),"")</f>
        <v>INSERT INTO base_mast(hqof_idcd, base_idcd, base_code, base_name, prnt_idcd, line_stat, line_levl) VALUES ('N1000WINFO', 'N1000WINFO3104336', '336', '펄분홍반투명', '3104', '0', '1');</v>
      </c>
    </row>
    <row r="873" spans="1:9">
      <c r="A873" s="7" t="s">
        <v>1443</v>
      </c>
      <c r="B873" s="6" t="str">
        <f t="shared" si="16"/>
        <v>N1000WINFO3104337</v>
      </c>
      <c r="C873" s="8" t="s">
        <v>2231</v>
      </c>
      <c r="D873" s="10" t="s">
        <v>1806</v>
      </c>
      <c r="E873" s="8" t="s">
        <v>1894</v>
      </c>
      <c r="F873" s="8" t="s">
        <v>686</v>
      </c>
      <c r="G873" s="8" t="s">
        <v>684</v>
      </c>
      <c r="I873" s="7" t="str">
        <f>IF(B873&lt;&gt;"",CREATE_QUERY($B$1,A$2:G$2,A873:G873),"")</f>
        <v>INSERT INTO base_mast(hqof_idcd, base_idcd, base_code, base_name, prnt_idcd, line_stat, line_levl) VALUES ('N1000WINFO', 'N1000WINFO3104337', '337', '펄브라운', '3104', '0', '1');</v>
      </c>
    </row>
    <row r="874" spans="1:9">
      <c r="A874" s="7" t="s">
        <v>1443</v>
      </c>
      <c r="B874" s="6" t="str">
        <f t="shared" si="16"/>
        <v>N1000WINFO3104338</v>
      </c>
      <c r="C874" s="8" t="s">
        <v>2232</v>
      </c>
      <c r="D874" s="10" t="s">
        <v>1807</v>
      </c>
      <c r="E874" s="8" t="s">
        <v>1894</v>
      </c>
      <c r="F874" s="8" t="s">
        <v>686</v>
      </c>
      <c r="G874" s="8" t="s">
        <v>684</v>
      </c>
      <c r="I874" s="7" t="str">
        <f>IF(B874&lt;&gt;"",CREATE_QUERY($B$1,A$2:G$2,A874:G874),"")</f>
        <v>INSERT INTO base_mast(hqof_idcd, base_idcd, base_code, base_name, prnt_idcd, line_stat, line_levl) VALUES ('N1000WINFO', 'N1000WINFO3104338', '338', '펄브라운반투명', '3104', '0', '1');</v>
      </c>
    </row>
    <row r="875" spans="1:9">
      <c r="A875" s="7" t="s">
        <v>1443</v>
      </c>
      <c r="B875" s="6" t="str">
        <f t="shared" si="16"/>
        <v>N1000WINFO3104339</v>
      </c>
      <c r="C875" s="8" t="s">
        <v>2233</v>
      </c>
      <c r="D875" s="10" t="s">
        <v>1808</v>
      </c>
      <c r="E875" s="8" t="s">
        <v>1894</v>
      </c>
      <c r="F875" s="8" t="s">
        <v>686</v>
      </c>
      <c r="G875" s="8" t="s">
        <v>684</v>
      </c>
      <c r="I875" s="7" t="str">
        <f>IF(B875&lt;&gt;"",CREATE_QUERY($B$1,A$2:G$2,A875:G875),"")</f>
        <v>INSERT INTO base_mast(hqof_idcd, base_idcd, base_code, base_name, prnt_idcd, line_stat, line_levl) VALUES ('N1000WINFO', 'N1000WINFO3104339', '339', '펄브라운투명', '3104', '0', '1');</v>
      </c>
    </row>
    <row r="876" spans="1:9">
      <c r="A876" s="7" t="s">
        <v>1443</v>
      </c>
      <c r="B876" s="6" t="str">
        <f t="shared" si="16"/>
        <v>N1000WINFO3104340</v>
      </c>
      <c r="C876" s="8" t="s">
        <v>2234</v>
      </c>
      <c r="D876" s="10" t="s">
        <v>1809</v>
      </c>
      <c r="E876" s="8" t="s">
        <v>1894</v>
      </c>
      <c r="F876" s="8" t="s">
        <v>686</v>
      </c>
      <c r="G876" s="8" t="s">
        <v>684</v>
      </c>
      <c r="I876" s="7" t="str">
        <f>IF(B876&lt;&gt;"",CREATE_QUERY($B$1,A$2:G$2,A876:G876),"")</f>
        <v>INSERT INTO base_mast(hqof_idcd, base_idcd, base_code, base_name, prnt_idcd, line_stat, line_levl) VALUES ('N1000WINFO', 'N1000WINFO3104340', '340', '펄블루반투명', '3104', '0', '1');</v>
      </c>
    </row>
    <row r="877" spans="1:9">
      <c r="A877" s="7" t="s">
        <v>1443</v>
      </c>
      <c r="B877" s="6" t="str">
        <f t="shared" si="16"/>
        <v>N1000WINFO3104341</v>
      </c>
      <c r="C877" s="8" t="s">
        <v>2235</v>
      </c>
      <c r="D877" s="10" t="s">
        <v>1810</v>
      </c>
      <c r="E877" s="8" t="s">
        <v>1894</v>
      </c>
      <c r="F877" s="8" t="s">
        <v>686</v>
      </c>
      <c r="G877" s="8" t="s">
        <v>684</v>
      </c>
      <c r="I877" s="7" t="str">
        <f>IF(B877&lt;&gt;"",CREATE_QUERY($B$1,A$2:G$2,A877:G877),"")</f>
        <v>INSERT INTO base_mast(hqof_idcd, base_idcd, base_code, base_name, prnt_idcd, line_stat, line_levl) VALUES ('N1000WINFO', 'N1000WINFO3104341', '341', '펄빨간색', '3104', '0', '1');</v>
      </c>
    </row>
    <row r="878" spans="1:9">
      <c r="A878" s="7" t="s">
        <v>1443</v>
      </c>
      <c r="B878" s="6" t="str">
        <f t="shared" si="16"/>
        <v>N1000WINFO3104342</v>
      </c>
      <c r="C878" s="8" t="s">
        <v>2236</v>
      </c>
      <c r="D878" s="10" t="s">
        <v>1811</v>
      </c>
      <c r="E878" s="8" t="s">
        <v>1894</v>
      </c>
      <c r="F878" s="8" t="s">
        <v>686</v>
      </c>
      <c r="G878" s="8" t="s">
        <v>684</v>
      </c>
      <c r="I878" s="7" t="str">
        <f>IF(B878&lt;&gt;"",CREATE_QUERY($B$1,A$2:G$2,A878:G878),"")</f>
        <v>INSERT INTO base_mast(hqof_idcd, base_idcd, base_code, base_name, prnt_idcd, line_stat, line_levl) VALUES ('N1000WINFO', 'N1000WINFO3104342', '342', '펄빨강색반투명', '3104', '0', '1');</v>
      </c>
    </row>
    <row r="879" spans="1:9">
      <c r="A879" s="7" t="s">
        <v>1443</v>
      </c>
      <c r="B879" s="6" t="str">
        <f t="shared" si="16"/>
        <v>N1000WINFO3104343</v>
      </c>
      <c r="C879" s="8" t="s">
        <v>2237</v>
      </c>
      <c r="D879" s="10" t="s">
        <v>1812</v>
      </c>
      <c r="E879" s="8" t="s">
        <v>1894</v>
      </c>
      <c r="F879" s="8" t="s">
        <v>686</v>
      </c>
      <c r="G879" s="8" t="s">
        <v>684</v>
      </c>
      <c r="I879" s="7" t="str">
        <f>IF(B879&lt;&gt;"",CREATE_QUERY($B$1,A$2:G$2,A879:G879),"")</f>
        <v>INSERT INTO base_mast(hqof_idcd, base_idcd, base_code, base_name, prnt_idcd, line_stat, line_levl) VALUES ('N1000WINFO', 'N1000WINFO3104343', '343', '펄살구', '3104', '0', '1');</v>
      </c>
    </row>
    <row r="880" spans="1:9">
      <c r="A880" s="7" t="s">
        <v>1443</v>
      </c>
      <c r="B880" s="6" t="str">
        <f t="shared" si="16"/>
        <v>N1000WINFO3104344</v>
      </c>
      <c r="C880" s="8" t="s">
        <v>2238</v>
      </c>
      <c r="D880" s="10" t="s">
        <v>1813</v>
      </c>
      <c r="E880" s="8" t="s">
        <v>1894</v>
      </c>
      <c r="F880" s="8" t="s">
        <v>686</v>
      </c>
      <c r="G880" s="8" t="s">
        <v>684</v>
      </c>
      <c r="I880" s="7" t="str">
        <f>IF(B880&lt;&gt;"",CREATE_QUERY($B$1,A$2:G$2,A880:G880),"")</f>
        <v>INSERT INTO base_mast(hqof_idcd, base_idcd, base_code, base_name, prnt_idcd, line_stat, line_levl) VALUES ('N1000WINFO', 'N1000WINFO3104344', '344', '펄살구색반투명', '3104', '0', '1');</v>
      </c>
    </row>
    <row r="881" spans="1:9">
      <c r="A881" s="7" t="s">
        <v>1443</v>
      </c>
      <c r="B881" s="6" t="str">
        <f t="shared" si="16"/>
        <v>N1000WINFO3104345</v>
      </c>
      <c r="C881" s="8" t="s">
        <v>2239</v>
      </c>
      <c r="D881" s="10" t="s">
        <v>1814</v>
      </c>
      <c r="E881" s="8" t="s">
        <v>1894</v>
      </c>
      <c r="F881" s="8" t="s">
        <v>686</v>
      </c>
      <c r="G881" s="8" t="s">
        <v>684</v>
      </c>
      <c r="I881" s="7" t="str">
        <f>IF(B881&lt;&gt;"",CREATE_QUERY($B$1,A$2:G$2,A881:G881),"")</f>
        <v>INSERT INTO base_mast(hqof_idcd, base_idcd, base_code, base_name, prnt_idcd, line_stat, line_levl) VALUES ('N1000WINFO', 'N1000WINFO3104345', '345', '펄살색', '3104', '0', '1');</v>
      </c>
    </row>
    <row r="882" spans="1:9">
      <c r="A882" s="7" t="s">
        <v>1443</v>
      </c>
      <c r="B882" s="6" t="str">
        <f t="shared" si="16"/>
        <v>N1000WINFO3104346</v>
      </c>
      <c r="C882" s="8" t="s">
        <v>2240</v>
      </c>
      <c r="D882" s="10" t="s">
        <v>1815</v>
      </c>
      <c r="E882" s="8" t="s">
        <v>1894</v>
      </c>
      <c r="F882" s="8" t="s">
        <v>686</v>
      </c>
      <c r="G882" s="8" t="s">
        <v>684</v>
      </c>
      <c r="I882" s="7" t="str">
        <f>IF(B882&lt;&gt;"",CREATE_QUERY($B$1,A$2:G$2,A882:G882),"")</f>
        <v>INSERT INTO base_mast(hqof_idcd, base_idcd, base_code, base_name, prnt_idcd, line_stat, line_levl) VALUES ('N1000WINFO', 'N1000WINFO3104346', '346', '펄아이보리색', '3104', '0', '1');</v>
      </c>
    </row>
    <row r="883" spans="1:9">
      <c r="A883" s="7" t="s">
        <v>1443</v>
      </c>
      <c r="B883" s="6" t="str">
        <f t="shared" si="16"/>
        <v>N1000WINFO3104347</v>
      </c>
      <c r="C883" s="8" t="s">
        <v>2241</v>
      </c>
      <c r="D883" s="10" t="s">
        <v>1816</v>
      </c>
      <c r="E883" s="8" t="s">
        <v>1894</v>
      </c>
      <c r="F883" s="8" t="s">
        <v>686</v>
      </c>
      <c r="G883" s="8" t="s">
        <v>684</v>
      </c>
      <c r="I883" s="7" t="str">
        <f>IF(B883&lt;&gt;"",CREATE_QUERY($B$1,A$2:G$2,A883:G883),"")</f>
        <v>INSERT INTO base_mast(hqof_idcd, base_idcd, base_code, base_name, prnt_idcd, line_stat, line_levl) VALUES ('N1000WINFO', 'N1000WINFO3104347', '347', '펄아이스', '3104', '0', '1');</v>
      </c>
    </row>
    <row r="884" spans="1:9">
      <c r="A884" s="7" t="s">
        <v>1443</v>
      </c>
      <c r="B884" s="6" t="str">
        <f t="shared" si="16"/>
        <v>N1000WINFO3104348</v>
      </c>
      <c r="C884" s="8" t="s">
        <v>2242</v>
      </c>
      <c r="D884" s="10" t="s">
        <v>1817</v>
      </c>
      <c r="E884" s="8" t="s">
        <v>1894</v>
      </c>
      <c r="F884" s="8" t="s">
        <v>686</v>
      </c>
      <c r="G884" s="8" t="s">
        <v>684</v>
      </c>
      <c r="I884" s="7" t="str">
        <f>IF(B884&lt;&gt;"",CREATE_QUERY($B$1,A$2:G$2,A884:G884),"")</f>
        <v>INSERT INTO base_mast(hqof_idcd, base_idcd, base_code, base_name, prnt_idcd, line_stat, line_levl) VALUES ('N1000WINFO', 'N1000WINFO3104348', '348', '펄아이스반투명', '3104', '0', '1');</v>
      </c>
    </row>
    <row r="885" spans="1:9">
      <c r="A885" s="7" t="s">
        <v>1443</v>
      </c>
      <c r="B885" s="6" t="str">
        <f t="shared" si="16"/>
        <v>N1000WINFO3104349</v>
      </c>
      <c r="C885" s="8" t="s">
        <v>2243</v>
      </c>
      <c r="D885" s="10" t="s">
        <v>1818</v>
      </c>
      <c r="E885" s="8" t="s">
        <v>1894</v>
      </c>
      <c r="F885" s="8" t="s">
        <v>686</v>
      </c>
      <c r="G885" s="8" t="s">
        <v>684</v>
      </c>
      <c r="I885" s="7" t="str">
        <f>IF(B885&lt;&gt;"",CREATE_QUERY($B$1,A$2:G$2,A885:G885),"")</f>
        <v>INSERT INTO base_mast(hqof_idcd, base_idcd, base_code, base_name, prnt_idcd, line_stat, line_levl) VALUES ('N1000WINFO', 'N1000WINFO3104349', '349', '펄아이스투명', '3104', '0', '1');</v>
      </c>
    </row>
    <row r="886" spans="1:9">
      <c r="A886" s="7" t="s">
        <v>1443</v>
      </c>
      <c r="B886" s="6" t="str">
        <f t="shared" si="16"/>
        <v>N1000WINFO3104350</v>
      </c>
      <c r="C886" s="8" t="s">
        <v>2244</v>
      </c>
      <c r="D886" s="10" t="s">
        <v>1819</v>
      </c>
      <c r="E886" s="8" t="s">
        <v>1894</v>
      </c>
      <c r="F886" s="8" t="s">
        <v>686</v>
      </c>
      <c r="G886" s="8" t="s">
        <v>684</v>
      </c>
      <c r="I886" s="7" t="str">
        <f>IF(B886&lt;&gt;"",CREATE_QUERY($B$1,A$2:G$2,A886:G886),"")</f>
        <v>INSERT INTO base_mast(hqof_idcd, base_idcd, base_code, base_name, prnt_idcd, line_stat, line_levl) VALUES ('N1000WINFO', 'N1000WINFO3104350', '350', '펄연갈색', '3104', '0', '1');</v>
      </c>
    </row>
    <row r="887" spans="1:9">
      <c r="A887" s="7" t="s">
        <v>1443</v>
      </c>
      <c r="B887" s="6" t="str">
        <f t="shared" si="16"/>
        <v>N1000WINFO3104351</v>
      </c>
      <c r="C887" s="8" t="s">
        <v>2245</v>
      </c>
      <c r="D887" s="10" t="s">
        <v>1820</v>
      </c>
      <c r="E887" s="8" t="s">
        <v>1894</v>
      </c>
      <c r="F887" s="8" t="s">
        <v>686</v>
      </c>
      <c r="G887" s="8" t="s">
        <v>684</v>
      </c>
      <c r="I887" s="7" t="str">
        <f>IF(B887&lt;&gt;"",CREATE_QUERY($B$1,A$2:G$2,A887:G887),"")</f>
        <v>INSERT INTO base_mast(hqof_idcd, base_idcd, base_code, base_name, prnt_idcd, line_stat, line_levl) VALUES ('N1000WINFO', 'N1000WINFO3104351', '351', '펄연갈색투명', '3104', '0', '1');</v>
      </c>
    </row>
    <row r="888" spans="1:9">
      <c r="A888" s="7" t="s">
        <v>1443</v>
      </c>
      <c r="B888" s="6" t="str">
        <f t="shared" si="16"/>
        <v>N1000WINFO3104352</v>
      </c>
      <c r="C888" s="8" t="s">
        <v>2246</v>
      </c>
      <c r="D888" s="10" t="s">
        <v>1821</v>
      </c>
      <c r="E888" s="8" t="s">
        <v>1894</v>
      </c>
      <c r="F888" s="8" t="s">
        <v>686</v>
      </c>
      <c r="G888" s="8" t="s">
        <v>684</v>
      </c>
      <c r="I888" s="7" t="str">
        <f>IF(B888&lt;&gt;"",CREATE_QUERY($B$1,A$2:G$2,A888:G888),"")</f>
        <v>INSERT INTO base_mast(hqof_idcd, base_idcd, base_code, base_name, prnt_idcd, line_stat, line_levl) VALUES ('N1000WINFO', 'N1000WINFO3104352', '352', '펄연골드색', '3104', '0', '1');</v>
      </c>
    </row>
    <row r="889" spans="1:9">
      <c r="A889" s="7" t="s">
        <v>1443</v>
      </c>
      <c r="B889" s="6" t="str">
        <f t="shared" si="16"/>
        <v>N1000WINFO3104353</v>
      </c>
      <c r="C889" s="8" t="s">
        <v>2247</v>
      </c>
      <c r="D889" s="10" t="s">
        <v>1822</v>
      </c>
      <c r="E889" s="8" t="s">
        <v>1894</v>
      </c>
      <c r="F889" s="8" t="s">
        <v>686</v>
      </c>
      <c r="G889" s="8" t="s">
        <v>684</v>
      </c>
      <c r="I889" s="7" t="str">
        <f>IF(B889&lt;&gt;"",CREATE_QUERY($B$1,A$2:G$2,A889:G889),"")</f>
        <v>INSERT INTO base_mast(hqof_idcd, base_idcd, base_code, base_name, prnt_idcd, line_stat, line_levl) VALUES ('N1000WINFO', 'N1000WINFO3104353', '353', '펄연골드투명', '3104', '0', '1');</v>
      </c>
    </row>
    <row r="890" spans="1:9">
      <c r="A890" s="7" t="s">
        <v>1443</v>
      </c>
      <c r="B890" s="6" t="str">
        <f t="shared" si="16"/>
        <v>N1000WINFO3104354</v>
      </c>
      <c r="C890" s="8" t="s">
        <v>2248</v>
      </c>
      <c r="D890" s="10" t="s">
        <v>1823</v>
      </c>
      <c r="E890" s="8" t="s">
        <v>1894</v>
      </c>
      <c r="F890" s="8" t="s">
        <v>686</v>
      </c>
      <c r="G890" s="8" t="s">
        <v>684</v>
      </c>
      <c r="I890" s="7" t="str">
        <f>IF(B890&lt;&gt;"",CREATE_QUERY($B$1,A$2:G$2,A890:G890),"")</f>
        <v>INSERT INTO base_mast(hqof_idcd, base_idcd, base_code, base_name, prnt_idcd, line_stat, line_levl) VALUES ('N1000WINFO', 'N1000WINFO3104354', '354', '펄연노랑투명', '3104', '0', '1');</v>
      </c>
    </row>
    <row r="891" spans="1:9">
      <c r="A891" s="7" t="s">
        <v>1443</v>
      </c>
      <c r="B891" s="6" t="str">
        <f t="shared" si="16"/>
        <v>N1000WINFO3104355</v>
      </c>
      <c r="C891" s="8" t="s">
        <v>2249</v>
      </c>
      <c r="D891" s="10" t="s">
        <v>1824</v>
      </c>
      <c r="E891" s="8" t="s">
        <v>1894</v>
      </c>
      <c r="F891" s="8" t="s">
        <v>686</v>
      </c>
      <c r="G891" s="8" t="s">
        <v>684</v>
      </c>
      <c r="I891" s="7" t="str">
        <f>IF(B891&lt;&gt;"",CREATE_QUERY($B$1,A$2:G$2,A891:G891),"")</f>
        <v>INSERT INTO base_mast(hqof_idcd, base_idcd, base_code, base_name, prnt_idcd, line_stat, line_levl) VALUES ('N1000WINFO', 'N1000WINFO3104355', '355', '펄연베이지', '3104', '0', '1');</v>
      </c>
    </row>
    <row r="892" spans="1:9">
      <c r="A892" s="7" t="s">
        <v>1443</v>
      </c>
      <c r="B892" s="6" t="str">
        <f t="shared" si="16"/>
        <v>N1000WINFO3104356</v>
      </c>
      <c r="C892" s="8" t="s">
        <v>2250</v>
      </c>
      <c r="D892" s="10" t="s">
        <v>1825</v>
      </c>
      <c r="E892" s="8" t="s">
        <v>1894</v>
      </c>
      <c r="F892" s="8" t="s">
        <v>686</v>
      </c>
      <c r="G892" s="8" t="s">
        <v>684</v>
      </c>
      <c r="I892" s="7" t="str">
        <f>IF(B892&lt;&gt;"",CREATE_QUERY($B$1,A$2:G$2,A892:G892),"")</f>
        <v>INSERT INTO base_mast(hqof_idcd, base_idcd, base_code, base_name, prnt_idcd, line_stat, line_levl) VALUES ('N1000WINFO', 'N1000WINFO3104356', '356', '펄연보라색', '3104', '0', '1');</v>
      </c>
    </row>
    <row r="893" spans="1:9">
      <c r="A893" s="7" t="s">
        <v>1443</v>
      </c>
      <c r="B893" s="6" t="str">
        <f t="shared" si="16"/>
        <v>N1000WINFO3104357</v>
      </c>
      <c r="C893" s="8" t="s">
        <v>2251</v>
      </c>
      <c r="D893" s="10" t="s">
        <v>1826</v>
      </c>
      <c r="E893" s="8" t="s">
        <v>1894</v>
      </c>
      <c r="F893" s="8" t="s">
        <v>686</v>
      </c>
      <c r="G893" s="8" t="s">
        <v>684</v>
      </c>
      <c r="I893" s="7" t="str">
        <f>IF(B893&lt;&gt;"",CREATE_QUERY($B$1,A$2:G$2,A893:G893),"")</f>
        <v>INSERT INTO base_mast(hqof_idcd, base_idcd, base_code, base_name, prnt_idcd, line_stat, line_levl) VALUES ('N1000WINFO', 'N1000WINFO3104357', '357', '펄연분홍색', '3104', '0', '1');</v>
      </c>
    </row>
    <row r="894" spans="1:9">
      <c r="A894" s="7" t="s">
        <v>1443</v>
      </c>
      <c r="B894" s="6" t="str">
        <f t="shared" si="16"/>
        <v>N1000WINFO3104358</v>
      </c>
      <c r="C894" s="8" t="s">
        <v>2252</v>
      </c>
      <c r="D894" s="10" t="s">
        <v>1827</v>
      </c>
      <c r="E894" s="8" t="s">
        <v>1894</v>
      </c>
      <c r="F894" s="8" t="s">
        <v>686</v>
      </c>
      <c r="G894" s="8" t="s">
        <v>684</v>
      </c>
      <c r="I894" s="7" t="str">
        <f>IF(B894&lt;&gt;"",CREATE_QUERY($B$1,A$2:G$2,A894:G894),"")</f>
        <v>INSERT INTO base_mast(hqof_idcd, base_idcd, base_code, base_name, prnt_idcd, line_stat, line_levl) VALUES ('N1000WINFO', 'N1000WINFO3104358', '358', '펄연살구색반투명', '3104', '0', '1');</v>
      </c>
    </row>
    <row r="895" spans="1:9">
      <c r="A895" s="7" t="s">
        <v>1443</v>
      </c>
      <c r="B895" s="6" t="str">
        <f t="shared" si="16"/>
        <v>N1000WINFO3104359</v>
      </c>
      <c r="C895" s="8" t="s">
        <v>2253</v>
      </c>
      <c r="D895" s="10" t="s">
        <v>1828</v>
      </c>
      <c r="E895" s="8" t="s">
        <v>1894</v>
      </c>
      <c r="F895" s="8" t="s">
        <v>686</v>
      </c>
      <c r="G895" s="8" t="s">
        <v>684</v>
      </c>
      <c r="I895" s="7" t="str">
        <f>IF(B895&lt;&gt;"",CREATE_QUERY($B$1,A$2:G$2,A895:G895),"")</f>
        <v>INSERT INTO base_mast(hqof_idcd, base_idcd, base_code, base_name, prnt_idcd, line_stat, line_levl) VALUES ('N1000WINFO', 'N1000WINFO3104359', '359', '펄연아이보리색', '3104', '0', '1');</v>
      </c>
    </row>
    <row r="896" spans="1:9">
      <c r="A896" s="7" t="s">
        <v>1443</v>
      </c>
      <c r="B896" s="6" t="str">
        <f t="shared" si="16"/>
        <v>N1000WINFO3104360</v>
      </c>
      <c r="C896" s="8" t="s">
        <v>2254</v>
      </c>
      <c r="D896" s="10" t="s">
        <v>1829</v>
      </c>
      <c r="E896" s="8" t="s">
        <v>1894</v>
      </c>
      <c r="F896" s="8" t="s">
        <v>686</v>
      </c>
      <c r="G896" s="8" t="s">
        <v>684</v>
      </c>
      <c r="I896" s="7" t="str">
        <f>IF(B896&lt;&gt;"",CREATE_QUERY($B$1,A$2:G$2,A896:G896),"")</f>
        <v>INSERT INTO base_mast(hqof_idcd, base_idcd, base_code, base_name, prnt_idcd, line_stat, line_levl) VALUES ('N1000WINFO', 'N1000WINFO3104360', '360', '펄연옥색반투명', '3104', '0', '1');</v>
      </c>
    </row>
    <row r="897" spans="1:9">
      <c r="A897" s="7" t="s">
        <v>1443</v>
      </c>
      <c r="B897" s="6" t="str">
        <f t="shared" si="16"/>
        <v>N1000WINFO3104361</v>
      </c>
      <c r="C897" s="8" t="s">
        <v>2255</v>
      </c>
      <c r="D897" s="10" t="s">
        <v>1830</v>
      </c>
      <c r="E897" s="8" t="s">
        <v>1894</v>
      </c>
      <c r="F897" s="8" t="s">
        <v>686</v>
      </c>
      <c r="G897" s="8" t="s">
        <v>684</v>
      </c>
      <c r="I897" s="7" t="str">
        <f>IF(B897&lt;&gt;"",CREATE_QUERY($B$1,A$2:G$2,A897:G897),"")</f>
        <v>INSERT INTO base_mast(hqof_idcd, base_idcd, base_code, base_name, prnt_idcd, line_stat, line_levl) VALUES ('N1000WINFO', 'N1000WINFO3104361', '361', '펄연회색', '3104', '0', '1');</v>
      </c>
    </row>
    <row r="898" spans="1:9">
      <c r="A898" s="7" t="s">
        <v>1443</v>
      </c>
      <c r="B898" s="6" t="str">
        <f t="shared" si="16"/>
        <v>N1000WINFO3104362</v>
      </c>
      <c r="C898" s="8" t="s">
        <v>2256</v>
      </c>
      <c r="D898" s="10" t="s">
        <v>1831</v>
      </c>
      <c r="E898" s="8" t="s">
        <v>1894</v>
      </c>
      <c r="F898" s="8" t="s">
        <v>686</v>
      </c>
      <c r="G898" s="8" t="s">
        <v>684</v>
      </c>
      <c r="I898" s="7" t="str">
        <f>IF(B898&lt;&gt;"",CREATE_QUERY($B$1,A$2:G$2,A898:G898),"")</f>
        <v>INSERT INTO base_mast(hqof_idcd, base_idcd, base_code, base_name, prnt_idcd, line_stat, line_levl) VALUES ('N1000WINFO', 'N1000WINFO3104362', '362', '펄연흑색', '3104', '0', '1');</v>
      </c>
    </row>
    <row r="899" spans="1:9">
      <c r="A899" s="7" t="s">
        <v>1443</v>
      </c>
      <c r="B899" s="6" t="str">
        <f t="shared" si="16"/>
        <v>N1000WINFO3104363</v>
      </c>
      <c r="C899" s="8" t="s">
        <v>2257</v>
      </c>
      <c r="D899" s="10" t="s">
        <v>1832</v>
      </c>
      <c r="E899" s="8" t="s">
        <v>1894</v>
      </c>
      <c r="F899" s="8" t="s">
        <v>686</v>
      </c>
      <c r="G899" s="8" t="s">
        <v>684</v>
      </c>
      <c r="I899" s="7" t="str">
        <f>IF(B899&lt;&gt;"",CREATE_QUERY($B$1,A$2:G$2,A899:G899),"")</f>
        <v>INSERT INTO base_mast(hqof_idcd, base_idcd, base_code, base_name, prnt_idcd, line_stat, line_levl) VALUES ('N1000WINFO', 'N1000WINFO3104363', '363', '펄오렌지색투명', '3104', '0', '1');</v>
      </c>
    </row>
    <row r="900" spans="1:9">
      <c r="A900" s="7" t="s">
        <v>1443</v>
      </c>
      <c r="B900" s="6" t="str">
        <f t="shared" si="16"/>
        <v>N1000WINFO3104364</v>
      </c>
      <c r="C900" s="8" t="s">
        <v>2258</v>
      </c>
      <c r="D900" s="10" t="s">
        <v>1833</v>
      </c>
      <c r="E900" s="8" t="s">
        <v>1894</v>
      </c>
      <c r="F900" s="8" t="s">
        <v>686</v>
      </c>
      <c r="G900" s="8" t="s">
        <v>684</v>
      </c>
      <c r="I900" s="7" t="str">
        <f>IF(B900&lt;&gt;"",CREATE_QUERY($B$1,A$2:G$2,A900:G900),"")</f>
        <v>INSERT INTO base_mast(hqof_idcd, base_idcd, base_code, base_name, prnt_idcd, line_stat, line_levl) VALUES ('N1000WINFO', 'N1000WINFO3104364', '364', '펄은색', '3104', '0', '1');</v>
      </c>
    </row>
    <row r="901" spans="1:9">
      <c r="A901" s="7" t="s">
        <v>1443</v>
      </c>
      <c r="B901" s="6" t="str">
        <f t="shared" si="16"/>
        <v>N1000WINFO3104365</v>
      </c>
      <c r="C901" s="8" t="s">
        <v>2259</v>
      </c>
      <c r="D901" s="10" t="s">
        <v>1834</v>
      </c>
      <c r="E901" s="8" t="s">
        <v>1894</v>
      </c>
      <c r="F901" s="8" t="s">
        <v>686</v>
      </c>
      <c r="G901" s="8" t="s">
        <v>684</v>
      </c>
      <c r="I901" s="7" t="str">
        <f>IF(B901&lt;&gt;"",CREATE_QUERY($B$1,A$2:G$2,A901:G901),"")</f>
        <v>INSERT INTO base_mast(hqof_idcd, base_idcd, base_code, base_name, prnt_idcd, line_stat, line_levl) VALUES ('N1000WINFO', 'N1000WINFO3104365', '365', '펄자주반투명', '3104', '0', '1');</v>
      </c>
    </row>
    <row r="902" spans="1:9">
      <c r="A902" s="7" t="s">
        <v>1443</v>
      </c>
      <c r="B902" s="6" t="str">
        <f t="shared" si="16"/>
        <v>N1000WINFO3104366</v>
      </c>
      <c r="C902" s="8" t="s">
        <v>2260</v>
      </c>
      <c r="D902" s="10" t="s">
        <v>1835</v>
      </c>
      <c r="E902" s="8" t="s">
        <v>1894</v>
      </c>
      <c r="F902" s="8" t="s">
        <v>686</v>
      </c>
      <c r="G902" s="8" t="s">
        <v>684</v>
      </c>
      <c r="I902" s="7" t="str">
        <f>IF(B902&lt;&gt;"",CREATE_QUERY($B$1,A$2:G$2,A902:G902),"")</f>
        <v>INSERT INTO base_mast(hqof_idcd, base_idcd, base_code, base_name, prnt_idcd, line_stat, line_levl) VALUES ('N1000WINFO', 'N1000WINFO3104366', '366', '펄자주색', '3104', '0', '1');</v>
      </c>
    </row>
    <row r="903" spans="1:9">
      <c r="A903" s="7" t="s">
        <v>1443</v>
      </c>
      <c r="B903" s="6" t="str">
        <f t="shared" si="16"/>
        <v>N1000WINFO3104367</v>
      </c>
      <c r="C903" s="8" t="s">
        <v>2261</v>
      </c>
      <c r="D903" s="10" t="s">
        <v>1836</v>
      </c>
      <c r="E903" s="8" t="s">
        <v>1894</v>
      </c>
      <c r="F903" s="8" t="s">
        <v>686</v>
      </c>
      <c r="G903" s="8" t="s">
        <v>684</v>
      </c>
      <c r="I903" s="7" t="str">
        <f>IF(B903&lt;&gt;"",CREATE_QUERY($B$1,A$2:G$2,A903:G903),"")</f>
        <v>INSERT INTO base_mast(hqof_idcd, base_idcd, base_code, base_name, prnt_idcd, line_stat, line_levl) VALUES ('N1000WINFO', 'N1000WINFO3104367', '367', '펄자주색반투명', '3104', '0', '1');</v>
      </c>
    </row>
    <row r="904" spans="1:9">
      <c r="A904" s="7" t="s">
        <v>1443</v>
      </c>
      <c r="B904" s="6" t="str">
        <f t="shared" si="16"/>
        <v>N1000WINFO3104368</v>
      </c>
      <c r="C904" s="8" t="s">
        <v>2262</v>
      </c>
      <c r="D904" s="10" t="s">
        <v>1837</v>
      </c>
      <c r="E904" s="8" t="s">
        <v>1894</v>
      </c>
      <c r="F904" s="8" t="s">
        <v>686</v>
      </c>
      <c r="G904" s="8" t="s">
        <v>684</v>
      </c>
      <c r="I904" s="7" t="str">
        <f>IF(B904&lt;&gt;"",CREATE_QUERY($B$1,A$2:G$2,A904:G904),"")</f>
        <v>INSERT INTO base_mast(hqof_idcd, base_idcd, base_code, base_name, prnt_idcd, line_stat, line_levl) VALUES ('N1000WINFO', 'N1000WINFO3104368', '368', '펄적색', '3104', '0', '1');</v>
      </c>
    </row>
    <row r="905" spans="1:9">
      <c r="A905" s="7" t="s">
        <v>1443</v>
      </c>
      <c r="B905" s="6" t="str">
        <f t="shared" si="16"/>
        <v>N1000WINFO3104369</v>
      </c>
      <c r="C905" s="8" t="s">
        <v>2263</v>
      </c>
      <c r="D905" s="10" t="s">
        <v>1838</v>
      </c>
      <c r="E905" s="8" t="s">
        <v>1894</v>
      </c>
      <c r="F905" s="8" t="s">
        <v>686</v>
      </c>
      <c r="G905" s="8" t="s">
        <v>684</v>
      </c>
      <c r="I905" s="7" t="str">
        <f>IF(B905&lt;&gt;"",CREATE_QUERY($B$1,A$2:G$2,A905:G905),"")</f>
        <v>INSERT INTO base_mast(hqof_idcd, base_idcd, base_code, base_name, prnt_idcd, line_stat, line_levl) VALUES ('N1000WINFO', 'N1000WINFO3104369', '369', '펄적색반투명', '3104', '0', '1');</v>
      </c>
    </row>
    <row r="906" spans="1:9">
      <c r="A906" s="7" t="s">
        <v>1443</v>
      </c>
      <c r="B906" s="6" t="str">
        <f t="shared" si="16"/>
        <v>N1000WINFO3104370</v>
      </c>
      <c r="C906" s="8" t="s">
        <v>2264</v>
      </c>
      <c r="D906" s="10" t="s">
        <v>1839</v>
      </c>
      <c r="E906" s="8" t="s">
        <v>1894</v>
      </c>
      <c r="F906" s="8" t="s">
        <v>686</v>
      </c>
      <c r="G906" s="8" t="s">
        <v>684</v>
      </c>
      <c r="I906" s="7" t="str">
        <f>IF(B906&lt;&gt;"",CREATE_QUERY($B$1,A$2:G$2,A906:G906),"")</f>
        <v>INSERT INTO base_mast(hqof_idcd, base_idcd, base_code, base_name, prnt_idcd, line_stat, line_levl) VALUES ('N1000WINFO', 'N1000WINFO3104370', '370', '펄적색투명', '3104', '0', '1');</v>
      </c>
    </row>
    <row r="907" spans="1:9">
      <c r="A907" s="7" t="s">
        <v>1443</v>
      </c>
      <c r="B907" s="6" t="str">
        <f t="shared" si="16"/>
        <v>N1000WINFO3104371</v>
      </c>
      <c r="C907" s="8" t="s">
        <v>2265</v>
      </c>
      <c r="D907" s="10" t="s">
        <v>1840</v>
      </c>
      <c r="E907" s="8" t="s">
        <v>1894</v>
      </c>
      <c r="F907" s="8" t="s">
        <v>686</v>
      </c>
      <c r="G907" s="8" t="s">
        <v>684</v>
      </c>
      <c r="I907" s="7" t="str">
        <f>IF(B907&lt;&gt;"",CREATE_QUERY($B$1,A$2:G$2,A907:G907),"")</f>
        <v>INSERT INTO base_mast(hqof_idcd, base_idcd, base_code, base_name, prnt_idcd, line_stat, line_levl) VALUES ('N1000WINFO', 'N1000WINFO3104371', '371', '펄주황색투명', '3104', '0', '1');</v>
      </c>
    </row>
    <row r="908" spans="1:9">
      <c r="A908" s="7" t="s">
        <v>1443</v>
      </c>
      <c r="B908" s="6" t="str">
        <f t="shared" si="16"/>
        <v>N1000WINFO3104372</v>
      </c>
      <c r="C908" s="8" t="s">
        <v>2266</v>
      </c>
      <c r="D908" s="10" t="s">
        <v>1841</v>
      </c>
      <c r="E908" s="8" t="s">
        <v>1894</v>
      </c>
      <c r="F908" s="8" t="s">
        <v>686</v>
      </c>
      <c r="G908" s="8" t="s">
        <v>684</v>
      </c>
      <c r="I908" s="7" t="str">
        <f>IF(B908&lt;&gt;"",CREATE_QUERY($B$1,A$2:G$2,A908:G908),"")</f>
        <v>INSERT INTO base_mast(hqof_idcd, base_idcd, base_code, base_name, prnt_idcd, line_stat, line_levl) VALUES ('N1000WINFO', 'N1000WINFO3104372', '372', '펄진갈색', '3104', '0', '1');</v>
      </c>
    </row>
    <row r="909" spans="1:9">
      <c r="A909" s="7" t="s">
        <v>1443</v>
      </c>
      <c r="B909" s="6" t="str">
        <f t="shared" si="16"/>
        <v>N1000WINFO3104373</v>
      </c>
      <c r="C909" s="8" t="s">
        <v>2267</v>
      </c>
      <c r="D909" s="10" t="s">
        <v>1842</v>
      </c>
      <c r="E909" s="8" t="s">
        <v>1894</v>
      </c>
      <c r="F909" s="8" t="s">
        <v>686</v>
      </c>
      <c r="G909" s="8" t="s">
        <v>684</v>
      </c>
      <c r="I909" s="7" t="str">
        <f>IF(B909&lt;&gt;"",CREATE_QUERY($B$1,A$2:G$2,A909:G909),"")</f>
        <v>INSERT INTO base_mast(hqof_idcd, base_idcd, base_code, base_name, prnt_idcd, line_stat, line_levl) VALUES ('N1000WINFO', 'N1000WINFO3104373', '373', '펄진갈색반투명', '3104', '0', '1');</v>
      </c>
    </row>
    <row r="910" spans="1:9">
      <c r="A910" s="7" t="s">
        <v>1443</v>
      </c>
      <c r="B910" s="6" t="str">
        <f t="shared" si="16"/>
        <v>N1000WINFO3104374</v>
      </c>
      <c r="C910" s="8" t="s">
        <v>2268</v>
      </c>
      <c r="D910" s="10" t="s">
        <v>1843</v>
      </c>
      <c r="E910" s="8" t="s">
        <v>1894</v>
      </c>
      <c r="F910" s="8" t="s">
        <v>686</v>
      </c>
      <c r="G910" s="8" t="s">
        <v>684</v>
      </c>
      <c r="I910" s="7" t="str">
        <f>IF(B910&lt;&gt;"",CREATE_QUERY($B$1,A$2:G$2,A910:G910),"")</f>
        <v>INSERT INTO base_mast(hqof_idcd, base_idcd, base_code, base_name, prnt_idcd, line_stat, line_levl) VALUES ('N1000WINFO', 'N1000WINFO3104374', '374', '펄진갈색투명', '3104', '0', '1');</v>
      </c>
    </row>
    <row r="911" spans="1:9">
      <c r="A911" s="7" t="s">
        <v>1443</v>
      </c>
      <c r="B911" s="6" t="str">
        <f t="shared" si="16"/>
        <v>N1000WINFO3104375</v>
      </c>
      <c r="C911" s="8" t="s">
        <v>2269</v>
      </c>
      <c r="D911" s="10" t="s">
        <v>1844</v>
      </c>
      <c r="E911" s="8" t="s">
        <v>1894</v>
      </c>
      <c r="F911" s="8" t="s">
        <v>686</v>
      </c>
      <c r="G911" s="8" t="s">
        <v>684</v>
      </c>
      <c r="I911" s="7" t="str">
        <f>IF(B911&lt;&gt;"",CREATE_QUERY($B$1,A$2:G$2,A911:G911),"")</f>
        <v>INSERT INTO base_mast(hqof_idcd, base_idcd, base_code, base_name, prnt_idcd, line_stat, line_levl) VALUES ('N1000WINFO', 'N1000WINFO3104375', '375', '펄진골드', '3104', '0', '1');</v>
      </c>
    </row>
    <row r="912" spans="1:9">
      <c r="A912" s="7" t="s">
        <v>1443</v>
      </c>
      <c r="B912" s="6" t="str">
        <f t="shared" si="16"/>
        <v>N1000WINFO3104376</v>
      </c>
      <c r="C912" s="8" t="s">
        <v>2270</v>
      </c>
      <c r="D912" s="10" t="s">
        <v>1845</v>
      </c>
      <c r="E912" s="8" t="s">
        <v>1894</v>
      </c>
      <c r="F912" s="8" t="s">
        <v>686</v>
      </c>
      <c r="G912" s="8" t="s">
        <v>684</v>
      </c>
      <c r="I912" s="7" t="str">
        <f>IF(B912&lt;&gt;"",CREATE_QUERY($B$1,A$2:G$2,A912:G912),"")</f>
        <v>INSERT INTO base_mast(hqof_idcd, base_idcd, base_code, base_name, prnt_idcd, line_stat, line_levl) VALUES ('N1000WINFO', 'N1000WINFO3104376', '376', '펄진녹색', '3104', '0', '1');</v>
      </c>
    </row>
    <row r="913" spans="1:9">
      <c r="A913" s="7" t="s">
        <v>1443</v>
      </c>
      <c r="B913" s="6" t="str">
        <f t="shared" si="16"/>
        <v>N1000WINFO3104377</v>
      </c>
      <c r="C913" s="8" t="s">
        <v>2271</v>
      </c>
      <c r="D913" s="10" t="s">
        <v>1846</v>
      </c>
      <c r="E913" s="8" t="s">
        <v>1894</v>
      </c>
      <c r="F913" s="8" t="s">
        <v>686</v>
      </c>
      <c r="G913" s="8" t="s">
        <v>684</v>
      </c>
      <c r="I913" s="7" t="str">
        <f>IF(B913&lt;&gt;"",CREATE_QUERY($B$1,A$2:G$2,A913:G913),"")</f>
        <v>INSERT INTO base_mast(hqof_idcd, base_idcd, base_code, base_name, prnt_idcd, line_stat, line_levl) VALUES ('N1000WINFO', 'N1000WINFO3104377', '377', '펄진베이지', '3104', '0', '1');</v>
      </c>
    </row>
    <row r="914" spans="1:9">
      <c r="A914" s="7" t="s">
        <v>1443</v>
      </c>
      <c r="B914" s="6" t="str">
        <f t="shared" si="16"/>
        <v>N1000WINFO3104378</v>
      </c>
      <c r="C914" s="8" t="s">
        <v>2272</v>
      </c>
      <c r="D914" s="10" t="s">
        <v>1847</v>
      </c>
      <c r="E914" s="8" t="s">
        <v>1894</v>
      </c>
      <c r="F914" s="8" t="s">
        <v>686</v>
      </c>
      <c r="G914" s="8" t="s">
        <v>684</v>
      </c>
      <c r="I914" s="7" t="str">
        <f>IF(B914&lt;&gt;"",CREATE_QUERY($B$1,A$2:G$2,A914:G914),"")</f>
        <v>INSERT INTO base_mast(hqof_idcd, base_idcd, base_code, base_name, prnt_idcd, line_stat, line_levl) VALUES ('N1000WINFO', 'N1000WINFO3104378', '378', '펄진보라투명', '3104', '0', '1');</v>
      </c>
    </row>
    <row r="915" spans="1:9">
      <c r="A915" s="7" t="s">
        <v>1443</v>
      </c>
      <c r="B915" s="6" t="str">
        <f t="shared" si="16"/>
        <v>N1000WINFO3104379</v>
      </c>
      <c r="C915" s="8" t="s">
        <v>2273</v>
      </c>
      <c r="D915" s="10" t="s">
        <v>1848</v>
      </c>
      <c r="E915" s="8" t="s">
        <v>1894</v>
      </c>
      <c r="F915" s="8" t="s">
        <v>686</v>
      </c>
      <c r="G915" s="8" t="s">
        <v>684</v>
      </c>
      <c r="I915" s="7" t="str">
        <f>IF(B915&lt;&gt;"",CREATE_QUERY($B$1,A$2:G$2,A915:G915),"")</f>
        <v>INSERT INTO base_mast(hqof_idcd, base_idcd, base_code, base_name, prnt_idcd, line_stat, line_levl) VALUES ('N1000WINFO', 'N1000WINFO3104379', '379', '펄진블루', '3104', '0', '1');</v>
      </c>
    </row>
    <row r="916" spans="1:9">
      <c r="A916" s="7" t="s">
        <v>1443</v>
      </c>
      <c r="B916" s="6" t="str">
        <f t="shared" si="16"/>
        <v>N1000WINFO3104380</v>
      </c>
      <c r="C916" s="8" t="s">
        <v>2274</v>
      </c>
      <c r="D916" s="10" t="s">
        <v>1849</v>
      </c>
      <c r="E916" s="8" t="s">
        <v>1894</v>
      </c>
      <c r="F916" s="8" t="s">
        <v>686</v>
      </c>
      <c r="G916" s="8" t="s">
        <v>684</v>
      </c>
      <c r="I916" s="7" t="str">
        <f>IF(B916&lt;&gt;"",CREATE_QUERY($B$1,A$2:G$2,A916:G916),"")</f>
        <v>INSERT INTO base_mast(hqof_idcd, base_idcd, base_code, base_name, prnt_idcd, line_stat, line_levl) VALUES ('N1000WINFO', 'N1000WINFO3104380', '380', '펄진청색', '3104', '0', '1');</v>
      </c>
    </row>
    <row r="917" spans="1:9">
      <c r="A917" s="7" t="s">
        <v>1443</v>
      </c>
      <c r="B917" s="6" t="str">
        <f t="shared" si="16"/>
        <v>N1000WINFO3104381</v>
      </c>
      <c r="C917" s="8" t="s">
        <v>2275</v>
      </c>
      <c r="D917" s="10" t="s">
        <v>1850</v>
      </c>
      <c r="E917" s="8" t="s">
        <v>1894</v>
      </c>
      <c r="F917" s="8" t="s">
        <v>686</v>
      </c>
      <c r="G917" s="8" t="s">
        <v>684</v>
      </c>
      <c r="I917" s="7" t="str">
        <f>IF(B917&lt;&gt;"",CREATE_QUERY($B$1,A$2:G$2,A917:G917),"")</f>
        <v>INSERT INTO base_mast(hqof_idcd, base_idcd, base_code, base_name, prnt_idcd, line_stat, line_levl) VALUES ('N1000WINFO', 'N1000WINFO3104381', '381', '펄진황색', '3104', '0', '1');</v>
      </c>
    </row>
    <row r="918" spans="1:9">
      <c r="A918" s="7" t="s">
        <v>1443</v>
      </c>
      <c r="B918" s="6" t="str">
        <f t="shared" si="16"/>
        <v>N1000WINFO3104382</v>
      </c>
      <c r="C918" s="8" t="s">
        <v>2276</v>
      </c>
      <c r="D918" s="10" t="s">
        <v>1851</v>
      </c>
      <c r="E918" s="8" t="s">
        <v>1894</v>
      </c>
      <c r="F918" s="8" t="s">
        <v>686</v>
      </c>
      <c r="G918" s="8" t="s">
        <v>684</v>
      </c>
      <c r="I918" s="7" t="str">
        <f>IF(B918&lt;&gt;"",CREATE_QUERY($B$1,A$2:G$2,A918:G918),"")</f>
        <v>INSERT INTO base_mast(hqof_idcd, base_idcd, base_code, base_name, prnt_idcd, line_stat, line_levl) VALUES ('N1000WINFO', 'N1000WINFO3104382', '382', '펄진회색', '3104', '0', '1');</v>
      </c>
    </row>
    <row r="919" spans="1:9">
      <c r="A919" s="7" t="s">
        <v>1443</v>
      </c>
      <c r="B919" s="6" t="str">
        <f t="shared" si="16"/>
        <v>N1000WINFO3104383</v>
      </c>
      <c r="C919" s="8" t="s">
        <v>2277</v>
      </c>
      <c r="D919" s="10" t="s">
        <v>1852</v>
      </c>
      <c r="E919" s="8" t="s">
        <v>1894</v>
      </c>
      <c r="F919" s="8" t="s">
        <v>686</v>
      </c>
      <c r="G919" s="8" t="s">
        <v>684</v>
      </c>
      <c r="I919" s="7" t="str">
        <f>IF(B919&lt;&gt;"",CREATE_QUERY($B$1,A$2:G$2,A919:G919),"")</f>
        <v>INSERT INTO base_mast(hqof_idcd, base_idcd, base_code, base_name, prnt_idcd, line_stat, line_levl) VALUES ('N1000WINFO', 'N1000WINFO3104383', '383', '펄청녹색', '3104', '0', '1');</v>
      </c>
    </row>
    <row r="920" spans="1:9">
      <c r="A920" s="7" t="s">
        <v>1443</v>
      </c>
      <c r="B920" s="6" t="str">
        <f t="shared" si="16"/>
        <v>N1000WINFO3104384</v>
      </c>
      <c r="C920" s="8" t="s">
        <v>2278</v>
      </c>
      <c r="D920" s="10" t="s">
        <v>1853</v>
      </c>
      <c r="E920" s="8" t="s">
        <v>1894</v>
      </c>
      <c r="F920" s="8" t="s">
        <v>686</v>
      </c>
      <c r="G920" s="8" t="s">
        <v>684</v>
      </c>
      <c r="I920" s="7" t="str">
        <f>IF(B920&lt;&gt;"",CREATE_QUERY($B$1,A$2:G$2,A920:G920),"")</f>
        <v>INSERT INTO base_mast(hqof_idcd, base_idcd, base_code, base_name, prnt_idcd, line_stat, line_levl) VALUES ('N1000WINFO', 'N1000WINFO3104384', '384', '펄청색', '3104', '0', '1');</v>
      </c>
    </row>
    <row r="921" spans="1:9">
      <c r="A921" s="7" t="s">
        <v>1443</v>
      </c>
      <c r="B921" s="6" t="str">
        <f t="shared" ref="B921:B960" si="17">A921&amp;E921&amp;C921</f>
        <v>N1000WINFO3104385</v>
      </c>
      <c r="C921" s="8" t="s">
        <v>2279</v>
      </c>
      <c r="D921" s="10" t="s">
        <v>1854</v>
      </c>
      <c r="E921" s="8" t="s">
        <v>1894</v>
      </c>
      <c r="F921" s="8" t="s">
        <v>686</v>
      </c>
      <c r="G921" s="8" t="s">
        <v>684</v>
      </c>
      <c r="I921" s="7" t="str">
        <f>IF(B921&lt;&gt;"",CREATE_QUERY($B$1,A$2:G$2,A921:G921),"")</f>
        <v>INSERT INTO base_mast(hqof_idcd, base_idcd, base_code, base_name, prnt_idcd, line_stat, line_levl) VALUES ('N1000WINFO', 'N1000WINFO3104385', '385', '펄청색반투명', '3104', '0', '1');</v>
      </c>
    </row>
    <row r="922" spans="1:9">
      <c r="A922" s="7" t="s">
        <v>1443</v>
      </c>
      <c r="B922" s="6" t="str">
        <f t="shared" si="17"/>
        <v>N1000WINFO3104386</v>
      </c>
      <c r="C922" s="8" t="s">
        <v>2280</v>
      </c>
      <c r="D922" s="10" t="s">
        <v>1855</v>
      </c>
      <c r="E922" s="8" t="s">
        <v>1894</v>
      </c>
      <c r="F922" s="8" t="s">
        <v>686</v>
      </c>
      <c r="G922" s="8" t="s">
        <v>684</v>
      </c>
      <c r="I922" s="7" t="str">
        <f>IF(B922&lt;&gt;"",CREATE_QUERY($B$1,A$2:G$2,A922:G922),"")</f>
        <v>INSERT INTO base_mast(hqof_idcd, base_idcd, base_code, base_name, prnt_idcd, line_stat, line_levl) VALUES ('N1000WINFO', 'N1000WINFO3104386', '386', '펄청색투명', '3104', '0', '1');</v>
      </c>
    </row>
    <row r="923" spans="1:9">
      <c r="A923" s="7" t="s">
        <v>1443</v>
      </c>
      <c r="B923" s="6" t="str">
        <f t="shared" si="17"/>
        <v>N1000WINFO3104387</v>
      </c>
      <c r="C923" s="8" t="s">
        <v>2281</v>
      </c>
      <c r="D923" s="10" t="s">
        <v>1856</v>
      </c>
      <c r="E923" s="8" t="s">
        <v>1894</v>
      </c>
      <c r="F923" s="8" t="s">
        <v>686</v>
      </c>
      <c r="G923" s="8" t="s">
        <v>684</v>
      </c>
      <c r="I923" s="7" t="str">
        <f>IF(B923&lt;&gt;"",CREATE_QUERY($B$1,A$2:G$2,A923:G923),"")</f>
        <v>INSERT INTO base_mast(hqof_idcd, base_idcd, base_code, base_name, prnt_idcd, line_stat, line_levl) VALUES ('N1000WINFO', 'N1000WINFO3104387', '387', '펄초록색', '3104', '0', '1');</v>
      </c>
    </row>
    <row r="924" spans="1:9">
      <c r="A924" s="7" t="s">
        <v>1443</v>
      </c>
      <c r="B924" s="6" t="str">
        <f t="shared" si="17"/>
        <v>N1000WINFO3104388</v>
      </c>
      <c r="C924" s="8" t="s">
        <v>2282</v>
      </c>
      <c r="D924" s="10" t="s">
        <v>1857</v>
      </c>
      <c r="E924" s="8" t="s">
        <v>1894</v>
      </c>
      <c r="F924" s="8" t="s">
        <v>686</v>
      </c>
      <c r="G924" s="8" t="s">
        <v>684</v>
      </c>
      <c r="I924" s="7" t="str">
        <f>IF(B924&lt;&gt;"",CREATE_QUERY($B$1,A$2:G$2,A924:G924),"")</f>
        <v>INSERT INTO base_mast(hqof_idcd, base_idcd, base_code, base_name, prnt_idcd, line_stat, line_levl) VALUES ('N1000WINFO', 'N1000WINFO3104388', '388', '펄크림', '3104', '0', '1');</v>
      </c>
    </row>
    <row r="925" spans="1:9">
      <c r="A925" s="7" t="s">
        <v>1443</v>
      </c>
      <c r="B925" s="6" t="str">
        <f t="shared" si="17"/>
        <v>N1000WINFO3104389</v>
      </c>
      <c r="C925" s="8" t="s">
        <v>2283</v>
      </c>
      <c r="D925" s="10" t="s">
        <v>1858</v>
      </c>
      <c r="E925" s="8" t="s">
        <v>1894</v>
      </c>
      <c r="F925" s="8" t="s">
        <v>686</v>
      </c>
      <c r="G925" s="8" t="s">
        <v>684</v>
      </c>
      <c r="I925" s="7" t="str">
        <f>IF(B925&lt;&gt;"",CREATE_QUERY($B$1,A$2:G$2,A925:G925),"")</f>
        <v>INSERT INTO base_mast(hqof_idcd, base_idcd, base_code, base_name, prnt_idcd, line_stat, line_levl) VALUES ('N1000WINFO', 'N1000WINFO3104389', '389', '펄크림색', '3104', '0', '1');</v>
      </c>
    </row>
    <row r="926" spans="1:9">
      <c r="A926" s="7" t="s">
        <v>1443</v>
      </c>
      <c r="B926" s="6" t="str">
        <f t="shared" si="17"/>
        <v>N1000WINFO3104390</v>
      </c>
      <c r="C926" s="8" t="s">
        <v>2284</v>
      </c>
      <c r="D926" s="10" t="s">
        <v>1859</v>
      </c>
      <c r="E926" s="8" t="s">
        <v>1894</v>
      </c>
      <c r="F926" s="8" t="s">
        <v>686</v>
      </c>
      <c r="G926" s="8" t="s">
        <v>684</v>
      </c>
      <c r="I926" s="7" t="str">
        <f>IF(B926&lt;&gt;"",CREATE_QUERY($B$1,A$2:G$2,A926:G926),"")</f>
        <v>INSERT INTO base_mast(hqof_idcd, base_idcd, base_code, base_name, prnt_idcd, line_stat, line_levl) VALUES ('N1000WINFO', 'N1000WINFO3104390', '390', '펄투명', '3104', '0', '1');</v>
      </c>
    </row>
    <row r="927" spans="1:9">
      <c r="A927" s="7" t="s">
        <v>1443</v>
      </c>
      <c r="B927" s="6" t="str">
        <f t="shared" si="17"/>
        <v>N1000WINFO3104391</v>
      </c>
      <c r="C927" s="8" t="s">
        <v>2285</v>
      </c>
      <c r="D927" s="10" t="s">
        <v>1860</v>
      </c>
      <c r="E927" s="8" t="s">
        <v>1894</v>
      </c>
      <c r="F927" s="8" t="s">
        <v>686</v>
      </c>
      <c r="G927" s="8" t="s">
        <v>684</v>
      </c>
      <c r="I927" s="7" t="str">
        <f>IF(B927&lt;&gt;"",CREATE_QUERY($B$1,A$2:G$2,A927:G927),"")</f>
        <v>INSERT INTO base_mast(hqof_idcd, base_idcd, base_code, base_name, prnt_idcd, line_stat, line_levl) VALUES ('N1000WINFO', 'N1000WINFO3104391', '391', '펄파랑색', '3104', '0', '1');</v>
      </c>
    </row>
    <row r="928" spans="1:9">
      <c r="A928" s="7" t="s">
        <v>1443</v>
      </c>
      <c r="B928" s="6" t="str">
        <f t="shared" si="17"/>
        <v>N1000WINFO3104392</v>
      </c>
      <c r="C928" s="8" t="s">
        <v>2286</v>
      </c>
      <c r="D928" s="10" t="s">
        <v>1861</v>
      </c>
      <c r="E928" s="8" t="s">
        <v>1894</v>
      </c>
      <c r="F928" s="8" t="s">
        <v>686</v>
      </c>
      <c r="G928" s="8" t="s">
        <v>684</v>
      </c>
      <c r="I928" s="7" t="str">
        <f>IF(B928&lt;&gt;"",CREATE_QUERY($B$1,A$2:G$2,A928:G928),"")</f>
        <v>INSERT INTO base_mast(hqof_idcd, base_idcd, base_code, base_name, prnt_idcd, line_stat, line_levl) VALUES ('N1000WINFO', 'N1000WINFO3104392', '392', '펄편광분홍색', '3104', '0', '1');</v>
      </c>
    </row>
    <row r="929" spans="1:9">
      <c r="A929" s="7" t="s">
        <v>1443</v>
      </c>
      <c r="B929" s="6" t="str">
        <f t="shared" si="17"/>
        <v>N1000WINFO3104393</v>
      </c>
      <c r="C929" s="8" t="s">
        <v>2287</v>
      </c>
      <c r="D929" s="10" t="s">
        <v>1862</v>
      </c>
      <c r="E929" s="8" t="s">
        <v>1894</v>
      </c>
      <c r="F929" s="8" t="s">
        <v>686</v>
      </c>
      <c r="G929" s="8" t="s">
        <v>684</v>
      </c>
      <c r="I929" s="7" t="str">
        <f>IF(B929&lt;&gt;"",CREATE_QUERY($B$1,A$2:G$2,A929:G929),"")</f>
        <v>INSERT INTO base_mast(hqof_idcd, base_idcd, base_code, base_name, prnt_idcd, line_stat, line_levl) VALUES ('N1000WINFO', 'N1000WINFO3104393', '393', '펄핑크', '3104', '0', '1');</v>
      </c>
    </row>
    <row r="930" spans="1:9">
      <c r="A930" s="7" t="s">
        <v>1443</v>
      </c>
      <c r="B930" s="6" t="str">
        <f t="shared" si="17"/>
        <v>N1000WINFO3104394</v>
      </c>
      <c r="C930" s="8" t="s">
        <v>2288</v>
      </c>
      <c r="D930" s="10" t="s">
        <v>1863</v>
      </c>
      <c r="E930" s="8" t="s">
        <v>1894</v>
      </c>
      <c r="F930" s="8" t="s">
        <v>686</v>
      </c>
      <c r="G930" s="8" t="s">
        <v>684</v>
      </c>
      <c r="I930" s="7" t="str">
        <f>IF(B930&lt;&gt;"",CREATE_QUERY($B$1,A$2:G$2,A930:G930),"")</f>
        <v>INSERT INTO base_mast(hqof_idcd, base_idcd, base_code, base_name, prnt_idcd, line_stat, line_levl) VALUES ('N1000WINFO', 'N1000WINFO3104394', '394', '펄핑크반투명', '3104', '0', '1');</v>
      </c>
    </row>
    <row r="931" spans="1:9">
      <c r="A931" s="7" t="s">
        <v>1443</v>
      </c>
      <c r="B931" s="6" t="str">
        <f t="shared" si="17"/>
        <v>N1000WINFO3104395</v>
      </c>
      <c r="C931" s="8" t="s">
        <v>2289</v>
      </c>
      <c r="D931" s="10" t="s">
        <v>1864</v>
      </c>
      <c r="E931" s="8" t="s">
        <v>1894</v>
      </c>
      <c r="F931" s="8" t="s">
        <v>686</v>
      </c>
      <c r="G931" s="8" t="s">
        <v>684</v>
      </c>
      <c r="I931" s="7" t="str">
        <f>IF(B931&lt;&gt;"",CREATE_QUERY($B$1,A$2:G$2,A931:G931),"")</f>
        <v>INSERT INTO base_mast(hqof_idcd, base_idcd, base_code, base_name, prnt_idcd, line_stat, line_levl) VALUES ('N1000WINFO', 'N1000WINFO3104395', '395', '펄핑크투명', '3104', '0', '1');</v>
      </c>
    </row>
    <row r="932" spans="1:9">
      <c r="A932" s="7" t="s">
        <v>1443</v>
      </c>
      <c r="B932" s="6" t="str">
        <f t="shared" si="17"/>
        <v>N1000WINFO3104396</v>
      </c>
      <c r="C932" s="8" t="s">
        <v>2290</v>
      </c>
      <c r="D932" s="10" t="s">
        <v>1865</v>
      </c>
      <c r="E932" s="8" t="s">
        <v>1894</v>
      </c>
      <c r="F932" s="8" t="s">
        <v>686</v>
      </c>
      <c r="G932" s="8" t="s">
        <v>684</v>
      </c>
      <c r="I932" s="7" t="str">
        <f>IF(B932&lt;&gt;"",CREATE_QUERY($B$1,A$2:G$2,A932:G932),"")</f>
        <v>INSERT INTO base_mast(hqof_idcd, base_idcd, base_code, base_name, prnt_idcd, line_stat, line_levl) VALUES ('N1000WINFO', 'N1000WINFO3104396', '396', '펄하늘색', '3104', '0', '1');</v>
      </c>
    </row>
    <row r="933" spans="1:9">
      <c r="A933" s="7" t="s">
        <v>1443</v>
      </c>
      <c r="B933" s="6" t="str">
        <f t="shared" si="17"/>
        <v>N1000WINFO3104397</v>
      </c>
      <c r="C933" s="8" t="s">
        <v>2291</v>
      </c>
      <c r="D933" s="10" t="s">
        <v>1866</v>
      </c>
      <c r="E933" s="8" t="s">
        <v>1894</v>
      </c>
      <c r="F933" s="8" t="s">
        <v>686</v>
      </c>
      <c r="G933" s="8" t="s">
        <v>684</v>
      </c>
      <c r="I933" s="7" t="str">
        <f>IF(B933&lt;&gt;"",CREATE_QUERY($B$1,A$2:G$2,A933:G933),"")</f>
        <v>INSERT INTO base_mast(hqof_idcd, base_idcd, base_code, base_name, prnt_idcd, line_stat, line_levl) VALUES ('N1000WINFO', 'N1000WINFO3104397', '397', '펄하늘색반투명', '3104', '0', '1');</v>
      </c>
    </row>
    <row r="934" spans="1:9">
      <c r="A934" s="7" t="s">
        <v>1443</v>
      </c>
      <c r="B934" s="6" t="str">
        <f t="shared" si="17"/>
        <v>N1000WINFO3104398</v>
      </c>
      <c r="C934" s="8" t="s">
        <v>2292</v>
      </c>
      <c r="D934" s="10" t="s">
        <v>1867</v>
      </c>
      <c r="E934" s="8" t="s">
        <v>1894</v>
      </c>
      <c r="F934" s="8" t="s">
        <v>686</v>
      </c>
      <c r="G934" s="8" t="s">
        <v>684</v>
      </c>
      <c r="I934" s="7" t="str">
        <f>IF(B934&lt;&gt;"",CREATE_QUERY($B$1,A$2:G$2,A934:G934),"")</f>
        <v>INSERT INTO base_mast(hqof_idcd, base_idcd, base_code, base_name, prnt_idcd, line_stat, line_levl) VALUES ('N1000WINFO', 'N1000WINFO3104398', '398', '펄하늘색투명', '3104', '0', '1');</v>
      </c>
    </row>
    <row r="935" spans="1:9">
      <c r="A935" s="7" t="s">
        <v>1443</v>
      </c>
      <c r="B935" s="6" t="str">
        <f t="shared" si="17"/>
        <v>N1000WINFO3104399</v>
      </c>
      <c r="C935" s="8" t="s">
        <v>2293</v>
      </c>
      <c r="D935" s="10" t="s">
        <v>1868</v>
      </c>
      <c r="E935" s="8" t="s">
        <v>1894</v>
      </c>
      <c r="F935" s="8" t="s">
        <v>686</v>
      </c>
      <c r="G935" s="8" t="s">
        <v>684</v>
      </c>
      <c r="I935" s="7" t="str">
        <f>IF(B935&lt;&gt;"",CREATE_QUERY($B$1,A$2:G$2,A935:G935),"")</f>
        <v>INSERT INTO base_mast(hqof_idcd, base_idcd, base_code, base_name, prnt_idcd, line_stat, line_levl) VALUES ('N1000WINFO', 'N1000WINFO3104399', '399', '펄황동색투명', '3104', '0', '1');</v>
      </c>
    </row>
    <row r="936" spans="1:9">
      <c r="A936" s="7" t="s">
        <v>1443</v>
      </c>
      <c r="B936" s="6" t="str">
        <f t="shared" si="17"/>
        <v>N1000WINFO3104400</v>
      </c>
      <c r="C936" s="8" t="s">
        <v>2294</v>
      </c>
      <c r="D936" s="10" t="s">
        <v>1869</v>
      </c>
      <c r="E936" s="8" t="s">
        <v>1894</v>
      </c>
      <c r="F936" s="8" t="s">
        <v>686</v>
      </c>
      <c r="G936" s="8" t="s">
        <v>684</v>
      </c>
      <c r="I936" s="7" t="str">
        <f>IF(B936&lt;&gt;"",CREATE_QUERY($B$1,A$2:G$2,A936:G936),"")</f>
        <v>INSERT INTO base_mast(hqof_idcd, base_idcd, base_code, base_name, prnt_idcd, line_stat, line_levl) VALUES ('N1000WINFO', 'N1000WINFO3104400', '400', '펄회색', '3104', '0', '1');</v>
      </c>
    </row>
    <row r="937" spans="1:9">
      <c r="A937" s="7" t="s">
        <v>1443</v>
      </c>
      <c r="B937" s="6" t="str">
        <f t="shared" si="17"/>
        <v>N1000WINFO3104401</v>
      </c>
      <c r="C937" s="8" t="s">
        <v>2295</v>
      </c>
      <c r="D937" s="10" t="s">
        <v>1870</v>
      </c>
      <c r="E937" s="8" t="s">
        <v>1894</v>
      </c>
      <c r="F937" s="8" t="s">
        <v>686</v>
      </c>
      <c r="G937" s="8" t="s">
        <v>684</v>
      </c>
      <c r="I937" s="7" t="str">
        <f>IF(B937&lt;&gt;"",CREATE_QUERY($B$1,A$2:G$2,A937:G937),"")</f>
        <v>INSERT INTO base_mast(hqof_idcd, base_idcd, base_code, base_name, prnt_idcd, line_stat, line_levl) VALUES ('N1000WINFO', 'N1000WINFO3104401', '401', '펄회색반투명', '3104', '0', '1');</v>
      </c>
    </row>
    <row r="938" spans="1:9">
      <c r="A938" s="7" t="s">
        <v>1443</v>
      </c>
      <c r="B938" s="6" t="str">
        <f t="shared" si="17"/>
        <v>N1000WINFO3104402</v>
      </c>
      <c r="C938" s="8" t="s">
        <v>2296</v>
      </c>
      <c r="D938" s="10" t="s">
        <v>1871</v>
      </c>
      <c r="E938" s="8" t="s">
        <v>1894</v>
      </c>
      <c r="F938" s="8" t="s">
        <v>686</v>
      </c>
      <c r="G938" s="8" t="s">
        <v>684</v>
      </c>
      <c r="I938" s="7" t="str">
        <f>IF(B938&lt;&gt;"",CREATE_QUERY($B$1,A$2:G$2,A938:G938),"")</f>
        <v>INSERT INTO base_mast(hqof_idcd, base_idcd, base_code, base_name, prnt_idcd, line_stat, line_levl) VALUES ('N1000WINFO', 'N1000WINFO3104402', '402', '펄회색투명', '3104', '0', '1');</v>
      </c>
    </row>
    <row r="939" spans="1:9">
      <c r="A939" s="7" t="s">
        <v>1443</v>
      </c>
      <c r="B939" s="6" t="str">
        <f t="shared" si="17"/>
        <v>N1000WINFO3104403</v>
      </c>
      <c r="C939" s="8" t="s">
        <v>2297</v>
      </c>
      <c r="D939" s="10" t="s">
        <v>1872</v>
      </c>
      <c r="E939" s="8" t="s">
        <v>1894</v>
      </c>
      <c r="F939" s="8" t="s">
        <v>686</v>
      </c>
      <c r="G939" s="8" t="s">
        <v>684</v>
      </c>
      <c r="I939" s="7" t="str">
        <f>IF(B939&lt;&gt;"",CREATE_QUERY($B$1,A$2:G$2,A939:G939),"")</f>
        <v>INSERT INTO base_mast(hqof_idcd, base_idcd, base_code, base_name, prnt_idcd, line_stat, line_levl) VALUES ('N1000WINFO', 'N1000WINFO3104403', '403', '펄흑갈색', '3104', '0', '1');</v>
      </c>
    </row>
    <row r="940" spans="1:9">
      <c r="A940" s="7" t="s">
        <v>1443</v>
      </c>
      <c r="B940" s="6" t="str">
        <f t="shared" si="17"/>
        <v>N1000WINFO3104404</v>
      </c>
      <c r="C940" s="8" t="s">
        <v>2298</v>
      </c>
      <c r="D940" s="10" t="s">
        <v>1873</v>
      </c>
      <c r="E940" s="8" t="s">
        <v>1894</v>
      </c>
      <c r="F940" s="8" t="s">
        <v>686</v>
      </c>
      <c r="G940" s="8" t="s">
        <v>684</v>
      </c>
      <c r="I940" s="7" t="str">
        <f>IF(B940&lt;&gt;"",CREATE_QUERY($B$1,A$2:G$2,A940:G940),"")</f>
        <v>INSERT INTO base_mast(hqof_idcd, base_idcd, base_code, base_name, prnt_idcd, line_stat, line_levl) VALUES ('N1000WINFO', 'N1000WINFO3104404', '404', '펄흑색', '3104', '0', '1');</v>
      </c>
    </row>
    <row r="941" spans="1:9">
      <c r="A941" s="7" t="s">
        <v>1443</v>
      </c>
      <c r="B941" s="6" t="str">
        <f t="shared" si="17"/>
        <v>N1000WINFO3104405</v>
      </c>
      <c r="C941" s="8" t="s">
        <v>2299</v>
      </c>
      <c r="D941" s="10" t="s">
        <v>1874</v>
      </c>
      <c r="E941" s="8" t="s">
        <v>1894</v>
      </c>
      <c r="F941" s="8" t="s">
        <v>686</v>
      </c>
      <c r="G941" s="8" t="s">
        <v>684</v>
      </c>
      <c r="I941" s="7" t="str">
        <f>IF(B941&lt;&gt;"",CREATE_QUERY($B$1,A$2:G$2,A941:G941),"")</f>
        <v>INSERT INTO base_mast(hqof_idcd, base_idcd, base_code, base_name, prnt_idcd, line_stat, line_levl) VALUES ('N1000WINFO', 'N1000WINFO3104405', '405', '핑크', '3104', '0', '1');</v>
      </c>
    </row>
    <row r="942" spans="1:9">
      <c r="A942" s="7" t="s">
        <v>1443</v>
      </c>
      <c r="B942" s="6" t="str">
        <f t="shared" si="17"/>
        <v>N1000WINFO3104406</v>
      </c>
      <c r="C942" s="8" t="s">
        <v>2300</v>
      </c>
      <c r="D942" s="10" t="s">
        <v>1875</v>
      </c>
      <c r="E942" s="8" t="s">
        <v>1894</v>
      </c>
      <c r="F942" s="8" t="s">
        <v>686</v>
      </c>
      <c r="G942" s="8" t="s">
        <v>684</v>
      </c>
      <c r="I942" s="7" t="str">
        <f>IF(B942&lt;&gt;"",CREATE_QUERY($B$1,A$2:G$2,A942:G942),"")</f>
        <v>INSERT INTO base_mast(hqof_idcd, base_idcd, base_code, base_name, prnt_idcd, line_stat, line_levl) VALUES ('N1000WINFO', 'N1000WINFO3104406', '406', '핑크반투명', '3104', '0', '1');</v>
      </c>
    </row>
    <row r="943" spans="1:9">
      <c r="A943" s="7" t="s">
        <v>1443</v>
      </c>
      <c r="B943" s="6" t="str">
        <f t="shared" si="17"/>
        <v>N1000WINFO3104407</v>
      </c>
      <c r="C943" s="8" t="s">
        <v>2301</v>
      </c>
      <c r="D943" s="10" t="s">
        <v>1876</v>
      </c>
      <c r="E943" s="8" t="s">
        <v>1894</v>
      </c>
      <c r="F943" s="8" t="s">
        <v>686</v>
      </c>
      <c r="G943" s="8" t="s">
        <v>684</v>
      </c>
      <c r="I943" s="7" t="str">
        <f>IF(B943&lt;&gt;"",CREATE_QUERY($B$1,A$2:G$2,A943:G943),"")</f>
        <v>INSERT INTO base_mast(hqof_idcd, base_idcd, base_code, base_name, prnt_idcd, line_stat, line_levl) VALUES ('N1000WINFO', 'N1000WINFO3104407', '407', '핑크투명', '3104', '0', '1');</v>
      </c>
    </row>
    <row r="944" spans="1:9">
      <c r="A944" s="7" t="s">
        <v>1443</v>
      </c>
      <c r="B944" s="6" t="str">
        <f t="shared" si="17"/>
        <v>N1000WINFO3104408</v>
      </c>
      <c r="C944" s="8" t="s">
        <v>2302</v>
      </c>
      <c r="D944" s="10" t="s">
        <v>1877</v>
      </c>
      <c r="E944" s="8" t="s">
        <v>1894</v>
      </c>
      <c r="F944" s="8" t="s">
        <v>686</v>
      </c>
      <c r="G944" s="8" t="s">
        <v>684</v>
      </c>
      <c r="I944" s="7" t="str">
        <f>IF(B944&lt;&gt;"",CREATE_QUERY($B$1,A$2:G$2,A944:G944),"")</f>
        <v>INSERT INTO base_mast(hqof_idcd, base_idcd, base_code, base_name, prnt_idcd, line_stat, line_levl) VALUES ('N1000WINFO', 'N1000WINFO3104408', '408', '핑크오로라펄백색반투명', '3104', '0', '1');</v>
      </c>
    </row>
    <row r="945" spans="1:9">
      <c r="A945" s="7" t="s">
        <v>1443</v>
      </c>
      <c r="B945" s="6" t="str">
        <f t="shared" si="17"/>
        <v>N1000WINFO3104409</v>
      </c>
      <c r="C945" s="8" t="s">
        <v>2303</v>
      </c>
      <c r="D945" s="10" t="s">
        <v>1878</v>
      </c>
      <c r="E945" s="8" t="s">
        <v>1894</v>
      </c>
      <c r="F945" s="8" t="s">
        <v>686</v>
      </c>
      <c r="G945" s="8" t="s">
        <v>684</v>
      </c>
      <c r="I945" s="7" t="str">
        <f>IF(B945&lt;&gt;"",CREATE_QUERY($B$1,A$2:G$2,A945:G945),"")</f>
        <v>INSERT INTO base_mast(hqof_idcd, base_idcd, base_code, base_name, prnt_idcd, line_stat, line_levl) VALUES ('N1000WINFO', 'N1000WINFO3104409', '409', '핑크펄투명', '3104', '0', '1');</v>
      </c>
    </row>
    <row r="946" spans="1:9">
      <c r="A946" s="7" t="s">
        <v>1443</v>
      </c>
      <c r="B946" s="6" t="str">
        <f t="shared" si="17"/>
        <v>N1000WINFO3104410</v>
      </c>
      <c r="C946" s="8" t="s">
        <v>2304</v>
      </c>
      <c r="D946" s="10" t="s">
        <v>1879</v>
      </c>
      <c r="E946" s="8" t="s">
        <v>1894</v>
      </c>
      <c r="F946" s="8" t="s">
        <v>686</v>
      </c>
      <c r="G946" s="8" t="s">
        <v>684</v>
      </c>
      <c r="I946" s="7" t="str">
        <f>IF(B946&lt;&gt;"",CREATE_QUERY($B$1,A$2:G$2,A946:G946),"")</f>
        <v>INSERT INTO base_mast(hqof_idcd, base_idcd, base_code, base_name, prnt_idcd, line_stat, line_levl) VALUES ('N1000WINFO', 'N1000WINFO3104410', '410', '하늘색', '3104', '0', '1');</v>
      </c>
    </row>
    <row r="947" spans="1:9">
      <c r="A947" s="7" t="s">
        <v>1443</v>
      </c>
      <c r="B947" s="6" t="str">
        <f t="shared" si="17"/>
        <v>N1000WINFO3104411</v>
      </c>
      <c r="C947" s="8" t="s">
        <v>2305</v>
      </c>
      <c r="D947" s="10" t="s">
        <v>1880</v>
      </c>
      <c r="E947" s="8" t="s">
        <v>1894</v>
      </c>
      <c r="F947" s="8" t="s">
        <v>686</v>
      </c>
      <c r="G947" s="8" t="s">
        <v>684</v>
      </c>
      <c r="I947" s="7" t="str">
        <f>IF(B947&lt;&gt;"",CREATE_QUERY($B$1,A$2:G$2,A947:G947),"")</f>
        <v>INSERT INTO base_mast(hqof_idcd, base_idcd, base_code, base_name, prnt_idcd, line_stat, line_levl) VALUES ('N1000WINFO', 'N1000WINFO3104411', '411', '하늘색반투명', '3104', '0', '1');</v>
      </c>
    </row>
    <row r="948" spans="1:9">
      <c r="A948" s="7" t="s">
        <v>1443</v>
      </c>
      <c r="B948" s="6" t="str">
        <f t="shared" si="17"/>
        <v>N1000WINFO3104412</v>
      </c>
      <c r="C948" s="8" t="s">
        <v>2306</v>
      </c>
      <c r="D948" s="10" t="s">
        <v>1881</v>
      </c>
      <c r="E948" s="8" t="s">
        <v>1894</v>
      </c>
      <c r="F948" s="8" t="s">
        <v>686</v>
      </c>
      <c r="G948" s="8" t="s">
        <v>684</v>
      </c>
      <c r="I948" s="7" t="str">
        <f>IF(B948&lt;&gt;"",CREATE_QUERY($B$1,A$2:G$2,A948:G948),"")</f>
        <v>INSERT INTO base_mast(hqof_idcd, base_idcd, base_code, base_name, prnt_idcd, line_stat, line_levl) VALUES ('N1000WINFO', 'N1000WINFO3104412', '412', '하늘색투명', '3104', '0', '1');</v>
      </c>
    </row>
    <row r="949" spans="1:9">
      <c r="A949" s="7" t="s">
        <v>1443</v>
      </c>
      <c r="B949" s="6" t="str">
        <f t="shared" si="17"/>
        <v>N1000WINFO3104413</v>
      </c>
      <c r="C949" s="8" t="s">
        <v>2307</v>
      </c>
      <c r="D949" s="10" t="s">
        <v>1882</v>
      </c>
      <c r="E949" s="8" t="s">
        <v>1894</v>
      </c>
      <c r="F949" s="8" t="s">
        <v>686</v>
      </c>
      <c r="G949" s="8" t="s">
        <v>684</v>
      </c>
      <c r="I949" s="7" t="str">
        <f>IF(B949&lt;&gt;"",CREATE_QUERY($B$1,A$2:G$2,A949:G949),"")</f>
        <v>INSERT INTO base_mast(hqof_idcd, base_idcd, base_code, base_name, prnt_idcd, line_stat, line_levl) VALUES ('N1000WINFO', 'N1000WINFO3104413', '413', '황금색', '3104', '0', '1');</v>
      </c>
    </row>
    <row r="950" spans="1:9">
      <c r="A950" s="7" t="s">
        <v>1443</v>
      </c>
      <c r="B950" s="6" t="str">
        <f t="shared" si="17"/>
        <v>N1000WINFO3104414</v>
      </c>
      <c r="C950" s="8" t="s">
        <v>2308</v>
      </c>
      <c r="D950" s="10" t="s">
        <v>1883</v>
      </c>
      <c r="E950" s="8" t="s">
        <v>1894</v>
      </c>
      <c r="F950" s="8" t="s">
        <v>686</v>
      </c>
      <c r="G950" s="8" t="s">
        <v>684</v>
      </c>
      <c r="I950" s="7" t="str">
        <f>IF(B950&lt;&gt;"",CREATE_QUERY($B$1,A$2:G$2,A950:G950),"")</f>
        <v>INSERT INTO base_mast(hqof_idcd, base_idcd, base_code, base_name, prnt_idcd, line_stat, line_levl) VALUES ('N1000WINFO', 'N1000WINFO3104414', '414', '황동골드색', '3104', '0', '1');</v>
      </c>
    </row>
    <row r="951" spans="1:9">
      <c r="A951" s="7" t="s">
        <v>1443</v>
      </c>
      <c r="B951" s="6" t="str">
        <f t="shared" si="17"/>
        <v>N1000WINFO3104415</v>
      </c>
      <c r="C951" s="8" t="s">
        <v>2309</v>
      </c>
      <c r="D951" s="10" t="s">
        <v>1884</v>
      </c>
      <c r="E951" s="8" t="s">
        <v>1894</v>
      </c>
      <c r="F951" s="8" t="s">
        <v>686</v>
      </c>
      <c r="G951" s="8" t="s">
        <v>684</v>
      </c>
      <c r="I951" s="7" t="str">
        <f>IF(B951&lt;&gt;"",CREATE_QUERY($B$1,A$2:G$2,A951:G951),"")</f>
        <v>INSERT INTO base_mast(hqof_idcd, base_idcd, base_code, base_name, prnt_idcd, line_stat, line_levl) VALUES ('N1000WINFO', 'N1000WINFO3104415', '415', '황토색', '3104', '0', '1');</v>
      </c>
    </row>
    <row r="952" spans="1:9">
      <c r="A952" s="7" t="s">
        <v>1443</v>
      </c>
      <c r="B952" s="6" t="str">
        <f t="shared" si="17"/>
        <v>N1000WINFO3104416</v>
      </c>
      <c r="C952" s="8" t="s">
        <v>2310</v>
      </c>
      <c r="D952" s="10" t="s">
        <v>1885</v>
      </c>
      <c r="E952" s="8" t="s">
        <v>1894</v>
      </c>
      <c r="F952" s="8" t="s">
        <v>686</v>
      </c>
      <c r="G952" s="8" t="s">
        <v>684</v>
      </c>
      <c r="I952" s="7" t="str">
        <f>IF(B952&lt;&gt;"",CREATE_QUERY($B$1,A$2:G$2,A952:G952),"")</f>
        <v>INSERT INTO base_mast(hqof_idcd, base_idcd, base_code, base_name, prnt_idcd, line_stat, line_levl) VALUES ('N1000WINFO', 'N1000WINFO3104416', '416', '회갈색', '3104', '0', '1');</v>
      </c>
    </row>
    <row r="953" spans="1:9">
      <c r="A953" s="7" t="s">
        <v>1443</v>
      </c>
      <c r="B953" s="6" t="str">
        <f t="shared" si="17"/>
        <v>N1000WINFO3104417</v>
      </c>
      <c r="C953" s="8" t="s">
        <v>2311</v>
      </c>
      <c r="D953" s="10" t="s">
        <v>1886</v>
      </c>
      <c r="E953" s="8" t="s">
        <v>1894</v>
      </c>
      <c r="F953" s="8" t="s">
        <v>686</v>
      </c>
      <c r="G953" s="8" t="s">
        <v>684</v>
      </c>
      <c r="I953" s="7" t="str">
        <f>IF(B953&lt;&gt;"",CREATE_QUERY($B$1,A$2:G$2,A953:G953),"")</f>
        <v>INSERT INTO base_mast(hqof_idcd, base_idcd, base_code, base_name, prnt_idcd, line_stat, line_levl) VALUES ('N1000WINFO', 'N1000WINFO3104417', '417', '회갈색투명', '3104', '0', '1');</v>
      </c>
    </row>
    <row r="954" spans="1:9">
      <c r="A954" s="7" t="s">
        <v>1443</v>
      </c>
      <c r="B954" s="6" t="str">
        <f t="shared" si="17"/>
        <v>N1000WINFO3104418</v>
      </c>
      <c r="C954" s="8" t="s">
        <v>2312</v>
      </c>
      <c r="D954" s="10" t="s">
        <v>1887</v>
      </c>
      <c r="E954" s="8" t="s">
        <v>1894</v>
      </c>
      <c r="F954" s="8" t="s">
        <v>686</v>
      </c>
      <c r="G954" s="8" t="s">
        <v>684</v>
      </c>
      <c r="I954" s="7" t="str">
        <f>IF(B954&lt;&gt;"",CREATE_QUERY($B$1,A$2:G$2,A954:G954),"")</f>
        <v>INSERT INTO base_mast(hqof_idcd, base_idcd, base_code, base_name, prnt_idcd, line_stat, line_levl) VALUES ('N1000WINFO', 'N1000WINFO3104418', '418', '회색', '3104', '0', '1');</v>
      </c>
    </row>
    <row r="955" spans="1:9">
      <c r="A955" s="7" t="s">
        <v>1443</v>
      </c>
      <c r="B955" s="6" t="str">
        <f t="shared" si="17"/>
        <v>N1000WINFO3104419</v>
      </c>
      <c r="C955" s="8" t="s">
        <v>2313</v>
      </c>
      <c r="D955" s="10" t="s">
        <v>1888</v>
      </c>
      <c r="E955" s="8" t="s">
        <v>1894</v>
      </c>
      <c r="F955" s="8" t="s">
        <v>686</v>
      </c>
      <c r="G955" s="8" t="s">
        <v>684</v>
      </c>
      <c r="I955" s="7" t="str">
        <f>IF(B955&lt;&gt;"",CREATE_QUERY($B$1,A$2:G$2,A955:G955),"")</f>
        <v>INSERT INTO base_mast(hqof_idcd, base_idcd, base_code, base_name, prnt_idcd, line_stat, line_levl) VALUES ('N1000WINFO', 'N1000WINFO3104419', '419', '회색반투명', '3104', '0', '1');</v>
      </c>
    </row>
    <row r="956" spans="1:9">
      <c r="A956" s="7" t="s">
        <v>1443</v>
      </c>
      <c r="B956" s="6" t="str">
        <f t="shared" si="17"/>
        <v>N1000WINFO3104420</v>
      </c>
      <c r="C956" s="8" t="s">
        <v>2314</v>
      </c>
      <c r="D956" s="10" t="s">
        <v>1889</v>
      </c>
      <c r="E956" s="8" t="s">
        <v>1894</v>
      </c>
      <c r="F956" s="8" t="s">
        <v>686</v>
      </c>
      <c r="G956" s="8" t="s">
        <v>684</v>
      </c>
      <c r="I956" s="7" t="str">
        <f>IF(B956&lt;&gt;"",CREATE_QUERY($B$1,A$2:G$2,A956:G956),"")</f>
        <v>INSERT INTO base_mast(hqof_idcd, base_idcd, base_code, base_name, prnt_idcd, line_stat, line_levl) VALUES ('N1000WINFO', 'N1000WINFO3104420', '420', '회색투명', '3104', '0', '1');</v>
      </c>
    </row>
    <row r="957" spans="1:9">
      <c r="A957" s="7" t="s">
        <v>1443</v>
      </c>
      <c r="B957" s="6" t="str">
        <f t="shared" si="17"/>
        <v>N1000WINFO3104421</v>
      </c>
      <c r="C957" s="8" t="s">
        <v>2315</v>
      </c>
      <c r="D957" s="10" t="s">
        <v>1890</v>
      </c>
      <c r="E957" s="8" t="s">
        <v>1894</v>
      </c>
      <c r="F957" s="8" t="s">
        <v>686</v>
      </c>
      <c r="G957" s="8" t="s">
        <v>684</v>
      </c>
      <c r="I957" s="7" t="str">
        <f>IF(B957&lt;&gt;"",CREATE_QUERY($B$1,A$2:G$2,A957:G957),"")</f>
        <v>INSERT INTO base_mast(hqof_idcd, base_idcd, base_code, base_name, prnt_idcd, line_stat, line_levl) VALUES ('N1000WINFO', 'N1000WINFO3104421', '421', '흑갈색반투명', '3104', '0', '1');</v>
      </c>
    </row>
    <row r="958" spans="1:9">
      <c r="A958" s="7" t="s">
        <v>1443</v>
      </c>
      <c r="B958" s="6" t="str">
        <f t="shared" si="17"/>
        <v>N1000WINFO3104422</v>
      </c>
      <c r="C958" s="8" t="s">
        <v>2316</v>
      </c>
      <c r="D958" s="10" t="s">
        <v>1891</v>
      </c>
      <c r="E958" s="8" t="s">
        <v>1894</v>
      </c>
      <c r="F958" s="8" t="s">
        <v>686</v>
      </c>
      <c r="G958" s="8" t="s">
        <v>684</v>
      </c>
      <c r="I958" s="7" t="str">
        <f>IF(B958&lt;&gt;"",CREATE_QUERY($B$1,A$2:G$2,A958:G958),"")</f>
        <v>INSERT INTO base_mast(hqof_idcd, base_idcd, base_code, base_name, prnt_idcd, line_stat, line_levl) VALUES ('N1000WINFO', 'N1000WINFO3104422', '422', '흑녹색반투명', '3104', '0', '1');</v>
      </c>
    </row>
    <row r="959" spans="1:9">
      <c r="A959" s="7" t="s">
        <v>1443</v>
      </c>
      <c r="B959" s="6" t="str">
        <f t="shared" si="17"/>
        <v>N1000WINFO3104423</v>
      </c>
      <c r="C959" s="8" t="s">
        <v>2317</v>
      </c>
      <c r="D959" s="10" t="s">
        <v>1892</v>
      </c>
      <c r="E959" s="8" t="s">
        <v>1894</v>
      </c>
      <c r="F959" s="8" t="s">
        <v>686</v>
      </c>
      <c r="G959" s="8" t="s">
        <v>684</v>
      </c>
      <c r="I959" s="7" t="str">
        <f>IF(B959&lt;&gt;"",CREATE_QUERY($B$1,A$2:G$2,A959:G959),"")</f>
        <v>INSERT INTO base_mast(hqof_idcd, base_idcd, base_code, base_name, prnt_idcd, line_stat, line_levl) VALUES ('N1000WINFO', 'N1000WINFO3104423', '423', '흑녹색투명', '3104', '0', '1');</v>
      </c>
    </row>
    <row r="960" spans="1:9">
      <c r="A960" s="7" t="s">
        <v>1443</v>
      </c>
      <c r="B960" s="6" t="str">
        <f t="shared" si="17"/>
        <v>N1000WINFO3104424</v>
      </c>
      <c r="C960" s="8" t="s">
        <v>2318</v>
      </c>
      <c r="D960" s="10" t="s">
        <v>1893</v>
      </c>
      <c r="E960" s="8" t="s">
        <v>1894</v>
      </c>
      <c r="F960" s="8" t="s">
        <v>686</v>
      </c>
      <c r="G960" s="8" t="s">
        <v>684</v>
      </c>
      <c r="I960" s="7" t="str">
        <f>IF(B960&lt;&gt;"",CREATE_QUERY($B$1,A$2:G$2,A960:G960),"")</f>
        <v>INSERT INTO base_mast(hqof_idcd, base_idcd, base_code, base_name, prnt_idcd, line_stat, line_levl) VALUES ('N1000WINFO', 'N1000WINFO3104424', '424', '흑색', '3104', '0', '1');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sscd_mast</vt:lpstr>
      <vt:lpstr>변경내용 메모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박병진</dc:creator>
  <cp:lastModifiedBy>Byengjin Park</cp:lastModifiedBy>
  <dcterms:created xsi:type="dcterms:W3CDTF">2019-05-31T10:54:46Z</dcterms:created>
  <dcterms:modified xsi:type="dcterms:W3CDTF">2025-03-12T01:26:56Z</dcterms:modified>
</cp:coreProperties>
</file>